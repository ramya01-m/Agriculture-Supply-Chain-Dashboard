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D:\Projects\Agriculture Supply Chain Performance Analytics Dashboard\"/>
    </mc:Choice>
  </mc:AlternateContent>
  <xr:revisionPtr revIDLastSave="0" documentId="13_ncr:1_{EAE8E180-A48F-4154-ABA9-C04806B12717}" xr6:coauthVersionLast="47" xr6:coauthVersionMax="47" xr10:uidLastSave="{00000000-0000-0000-0000-000000000000}"/>
  <bookViews>
    <workbookView xWindow="-120" yWindow="-120" windowWidth="20730" windowHeight="11040" xr2:uid="{E392C805-81FD-4C3B-AF56-5AA5B74A9270}"/>
  </bookViews>
  <sheets>
    <sheet name="agri_supplychain_cleaned" sheetId="1" r:id="rId1"/>
    <sheet name="KPI" sheetId="3" r:id="rId2"/>
    <sheet name="PT_Crop_Performance" sheetId="4" r:id="rId3"/>
    <sheet name="PT_Region_Performance" sheetId="5" r:id="rId4"/>
    <sheet name="PT_Season_Performance" sheetId="6" r:id="rId5"/>
    <sheet name="PT_Stage_Performance" sheetId="7" r:id="rId6"/>
    <sheet name="PT_Risk_Loss" sheetId="8" r:id="rId7"/>
    <sheet name="Dashboard" sheetId="10" r:id="rId8"/>
  </sheets>
  <definedNames>
    <definedName name="_xlnm._FilterDatabase" localSheetId="0" hidden="1">agri_supplychain_cleaned!$A$1:$Q$2001</definedName>
    <definedName name="Slicer_crop_type">#N/A</definedName>
    <definedName name="Slicer_region">#N/A</definedName>
  </definedNames>
  <calcPr calcId="191029"/>
  <pivotCaches>
    <pivotCache cacheId="0" r:id="rId9"/>
  </pivotCaches>
  <extLst>
    <ext xmlns:x14="http://schemas.microsoft.com/office/spreadsheetml/2009/9/main" uri="{BBE1A952-AA13-448e-AADC-164F8A28A991}">
      <x14:slicerCaches>
        <x14:slicerCache r:id="rId10"/>
        <x14:slicerCache r:id="rId11"/>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2" i="3" l="1"/>
  <c r="M12" i="10" s="1"/>
  <c r="E11" i="3"/>
  <c r="J12" i="10" s="1"/>
  <c r="E10" i="3"/>
  <c r="G12" i="10" s="1"/>
  <c r="E9" i="3"/>
  <c r="D12" i="10" s="1"/>
  <c r="E8" i="3"/>
  <c r="M8" i="10" s="1"/>
  <c r="E7" i="3"/>
  <c r="J8" i="10" s="1"/>
  <c r="E6" i="3"/>
  <c r="G8" i="10" s="1"/>
  <c r="E5" i="3"/>
  <c r="D8" i="10" s="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8" i="1"/>
  <c r="V989" i="1"/>
  <c r="V990" i="1"/>
  <c r="V991" i="1"/>
  <c r="V992" i="1"/>
  <c r="V993" i="1"/>
  <c r="V994" i="1"/>
  <c r="V995" i="1"/>
  <c r="V996" i="1"/>
  <c r="V997" i="1"/>
  <c r="V998" i="1"/>
  <c r="V999" i="1"/>
  <c r="V1000" i="1"/>
  <c r="V1001" i="1"/>
  <c r="V1002" i="1"/>
  <c r="V1003" i="1"/>
  <c r="V1004" i="1"/>
  <c r="V1005" i="1"/>
  <c r="V1006" i="1"/>
  <c r="V1007" i="1"/>
  <c r="V1008" i="1"/>
  <c r="V1009" i="1"/>
  <c r="V1010" i="1"/>
  <c r="V1011" i="1"/>
  <c r="V1012" i="1"/>
  <c r="V1013" i="1"/>
  <c r="V1014" i="1"/>
  <c r="V1015" i="1"/>
  <c r="V1016" i="1"/>
  <c r="V1017" i="1"/>
  <c r="V1018" i="1"/>
  <c r="V1019" i="1"/>
  <c r="V1020" i="1"/>
  <c r="V1021" i="1"/>
  <c r="V1022" i="1"/>
  <c r="V1023" i="1"/>
  <c r="V1024" i="1"/>
  <c r="V1025" i="1"/>
  <c r="V1026" i="1"/>
  <c r="V1027" i="1"/>
  <c r="V1028" i="1"/>
  <c r="V1029" i="1"/>
  <c r="V1030" i="1"/>
  <c r="V1031" i="1"/>
  <c r="V1032" i="1"/>
  <c r="V1033" i="1"/>
  <c r="V1034" i="1"/>
  <c r="V1035" i="1"/>
  <c r="V1036" i="1"/>
  <c r="V1037" i="1"/>
  <c r="V1038" i="1"/>
  <c r="V1039" i="1"/>
  <c r="V1040" i="1"/>
  <c r="V1041" i="1"/>
  <c r="V1042" i="1"/>
  <c r="V1043" i="1"/>
  <c r="V1044" i="1"/>
  <c r="V1045" i="1"/>
  <c r="V1046" i="1"/>
  <c r="V1047" i="1"/>
  <c r="V1048" i="1"/>
  <c r="V1049" i="1"/>
  <c r="V1050" i="1"/>
  <c r="V1051" i="1"/>
  <c r="V1052" i="1"/>
  <c r="V1053" i="1"/>
  <c r="V1054" i="1"/>
  <c r="V1055" i="1"/>
  <c r="V1056" i="1"/>
  <c r="V1057" i="1"/>
  <c r="V1058" i="1"/>
  <c r="V1059" i="1"/>
  <c r="V1060" i="1"/>
  <c r="V1061" i="1"/>
  <c r="V1062" i="1"/>
  <c r="V1063" i="1"/>
  <c r="V1064" i="1"/>
  <c r="V1065" i="1"/>
  <c r="V1066" i="1"/>
  <c r="V1067" i="1"/>
  <c r="V1068" i="1"/>
  <c r="V1069" i="1"/>
  <c r="V1070" i="1"/>
  <c r="V1071" i="1"/>
  <c r="V1072" i="1"/>
  <c r="V1073" i="1"/>
  <c r="V1074" i="1"/>
  <c r="V1075" i="1"/>
  <c r="V1076" i="1"/>
  <c r="V1077" i="1"/>
  <c r="V1078" i="1"/>
  <c r="V1079" i="1"/>
  <c r="V1080" i="1"/>
  <c r="V1081" i="1"/>
  <c r="V1082" i="1"/>
  <c r="V1083" i="1"/>
  <c r="V1084" i="1"/>
  <c r="V1085" i="1"/>
  <c r="V1086" i="1"/>
  <c r="V1087" i="1"/>
  <c r="V1088" i="1"/>
  <c r="V1089" i="1"/>
  <c r="V1090" i="1"/>
  <c r="V1091" i="1"/>
  <c r="V1092" i="1"/>
  <c r="V1093" i="1"/>
  <c r="V1094" i="1"/>
  <c r="V1095" i="1"/>
  <c r="V1096" i="1"/>
  <c r="V1097" i="1"/>
  <c r="V1098" i="1"/>
  <c r="V1099" i="1"/>
  <c r="V1100" i="1"/>
  <c r="V1101" i="1"/>
  <c r="V1102" i="1"/>
  <c r="V1103" i="1"/>
  <c r="V1104" i="1"/>
  <c r="V1105" i="1"/>
  <c r="V1106" i="1"/>
  <c r="V1107" i="1"/>
  <c r="V1108" i="1"/>
  <c r="V1109" i="1"/>
  <c r="V1110" i="1"/>
  <c r="V1111" i="1"/>
  <c r="V1112" i="1"/>
  <c r="V1113" i="1"/>
  <c r="V1114" i="1"/>
  <c r="V1115" i="1"/>
  <c r="V1116" i="1"/>
  <c r="V1117" i="1"/>
  <c r="V1118" i="1"/>
  <c r="V1119" i="1"/>
  <c r="V1120" i="1"/>
  <c r="V1121" i="1"/>
  <c r="V1122" i="1"/>
  <c r="V1123" i="1"/>
  <c r="V1124" i="1"/>
  <c r="V1125" i="1"/>
  <c r="V1126" i="1"/>
  <c r="V1127" i="1"/>
  <c r="V1128" i="1"/>
  <c r="V1129" i="1"/>
  <c r="V1130" i="1"/>
  <c r="V1131" i="1"/>
  <c r="V1132" i="1"/>
  <c r="V1133" i="1"/>
  <c r="V1134" i="1"/>
  <c r="V1135" i="1"/>
  <c r="V1136" i="1"/>
  <c r="V1137" i="1"/>
  <c r="V1138" i="1"/>
  <c r="V1139" i="1"/>
  <c r="V1140" i="1"/>
  <c r="V1141" i="1"/>
  <c r="V1142" i="1"/>
  <c r="V1143" i="1"/>
  <c r="V1144" i="1"/>
  <c r="V1145" i="1"/>
  <c r="V1146" i="1"/>
  <c r="V1147" i="1"/>
  <c r="V1148" i="1"/>
  <c r="V1149" i="1"/>
  <c r="V1150" i="1"/>
  <c r="V1151" i="1"/>
  <c r="V1152" i="1"/>
  <c r="V1153" i="1"/>
  <c r="V1154" i="1"/>
  <c r="V1155" i="1"/>
  <c r="V1156" i="1"/>
  <c r="V1157" i="1"/>
  <c r="V1158" i="1"/>
  <c r="V1159" i="1"/>
  <c r="V1160" i="1"/>
  <c r="V1161" i="1"/>
  <c r="V1162" i="1"/>
  <c r="V1163" i="1"/>
  <c r="V1164" i="1"/>
  <c r="V1165" i="1"/>
  <c r="V1166" i="1"/>
  <c r="V1167" i="1"/>
  <c r="V1168" i="1"/>
  <c r="V1169" i="1"/>
  <c r="V1170" i="1"/>
  <c r="V1171" i="1"/>
  <c r="V1172" i="1"/>
  <c r="V1173" i="1"/>
  <c r="V1174" i="1"/>
  <c r="V1175" i="1"/>
  <c r="V1176" i="1"/>
  <c r="V1177" i="1"/>
  <c r="V1178" i="1"/>
  <c r="V1179" i="1"/>
  <c r="V1180" i="1"/>
  <c r="V1181" i="1"/>
  <c r="V1182" i="1"/>
  <c r="V1183" i="1"/>
  <c r="V1184" i="1"/>
  <c r="V1185" i="1"/>
  <c r="V1186" i="1"/>
  <c r="V1187" i="1"/>
  <c r="V1188" i="1"/>
  <c r="V1189" i="1"/>
  <c r="V1190" i="1"/>
  <c r="V1191" i="1"/>
  <c r="V1192" i="1"/>
  <c r="V1193" i="1"/>
  <c r="V1194" i="1"/>
  <c r="V1195" i="1"/>
  <c r="V1196" i="1"/>
  <c r="V1197" i="1"/>
  <c r="V1198" i="1"/>
  <c r="V1199" i="1"/>
  <c r="V1200" i="1"/>
  <c r="V1201" i="1"/>
  <c r="V1202" i="1"/>
  <c r="V1203" i="1"/>
  <c r="V1204" i="1"/>
  <c r="V1205" i="1"/>
  <c r="V1206" i="1"/>
  <c r="V1207" i="1"/>
  <c r="V1208" i="1"/>
  <c r="V1209" i="1"/>
  <c r="V1210" i="1"/>
  <c r="V1211" i="1"/>
  <c r="V1212" i="1"/>
  <c r="V1213" i="1"/>
  <c r="V1214" i="1"/>
  <c r="V1215" i="1"/>
  <c r="V1216" i="1"/>
  <c r="V1217" i="1"/>
  <c r="V1218" i="1"/>
  <c r="V1219" i="1"/>
  <c r="V1220" i="1"/>
  <c r="V1221" i="1"/>
  <c r="V1222" i="1"/>
  <c r="V1223" i="1"/>
  <c r="V1224" i="1"/>
  <c r="V1225" i="1"/>
  <c r="V1226" i="1"/>
  <c r="V1227" i="1"/>
  <c r="V1228" i="1"/>
  <c r="V1229" i="1"/>
  <c r="V1230" i="1"/>
  <c r="V1231" i="1"/>
  <c r="V1232" i="1"/>
  <c r="V1233" i="1"/>
  <c r="V1234" i="1"/>
  <c r="V1235" i="1"/>
  <c r="V1236" i="1"/>
  <c r="V1237" i="1"/>
  <c r="V1238" i="1"/>
  <c r="V1239" i="1"/>
  <c r="V1240" i="1"/>
  <c r="V1241" i="1"/>
  <c r="V1242" i="1"/>
  <c r="V1243" i="1"/>
  <c r="V1244" i="1"/>
  <c r="V1245" i="1"/>
  <c r="V1246" i="1"/>
  <c r="V1247" i="1"/>
  <c r="V1248" i="1"/>
  <c r="V1249" i="1"/>
  <c r="V1250" i="1"/>
  <c r="V1251" i="1"/>
  <c r="V1252" i="1"/>
  <c r="V1253" i="1"/>
  <c r="V1254" i="1"/>
  <c r="V1255" i="1"/>
  <c r="V1256" i="1"/>
  <c r="V1257" i="1"/>
  <c r="V1258" i="1"/>
  <c r="V1259" i="1"/>
  <c r="V1260" i="1"/>
  <c r="V1261" i="1"/>
  <c r="V1262" i="1"/>
  <c r="V1263" i="1"/>
  <c r="V1264" i="1"/>
  <c r="V1265" i="1"/>
  <c r="V1266" i="1"/>
  <c r="V1267" i="1"/>
  <c r="V1268" i="1"/>
  <c r="V1269" i="1"/>
  <c r="V1270" i="1"/>
  <c r="V1271" i="1"/>
  <c r="V1272" i="1"/>
  <c r="V1273" i="1"/>
  <c r="V1274" i="1"/>
  <c r="V1275" i="1"/>
  <c r="V1276" i="1"/>
  <c r="V1277" i="1"/>
  <c r="V1278" i="1"/>
  <c r="V1279" i="1"/>
  <c r="V1280" i="1"/>
  <c r="V1281" i="1"/>
  <c r="V1282" i="1"/>
  <c r="V1283" i="1"/>
  <c r="V1284" i="1"/>
  <c r="V1285" i="1"/>
  <c r="V1286" i="1"/>
  <c r="V1287" i="1"/>
  <c r="V1288" i="1"/>
  <c r="V1289" i="1"/>
  <c r="V1290" i="1"/>
  <c r="V1291" i="1"/>
  <c r="V1292" i="1"/>
  <c r="V1293" i="1"/>
  <c r="V1294" i="1"/>
  <c r="V1295" i="1"/>
  <c r="V1296" i="1"/>
  <c r="V1297" i="1"/>
  <c r="V1298" i="1"/>
  <c r="V1299" i="1"/>
  <c r="V1300" i="1"/>
  <c r="V1301" i="1"/>
  <c r="V1302" i="1"/>
  <c r="V1303" i="1"/>
  <c r="V1304" i="1"/>
  <c r="V1305" i="1"/>
  <c r="V1306" i="1"/>
  <c r="V1307" i="1"/>
  <c r="V1308" i="1"/>
  <c r="V1309" i="1"/>
  <c r="V1310" i="1"/>
  <c r="V1311" i="1"/>
  <c r="V1312" i="1"/>
  <c r="V1313" i="1"/>
  <c r="V1314" i="1"/>
  <c r="V1315" i="1"/>
  <c r="V1316" i="1"/>
  <c r="V1317" i="1"/>
  <c r="V1318" i="1"/>
  <c r="V1319" i="1"/>
  <c r="V1320" i="1"/>
  <c r="V1321" i="1"/>
  <c r="V1322" i="1"/>
  <c r="V1323" i="1"/>
  <c r="V1324" i="1"/>
  <c r="V1325" i="1"/>
  <c r="V1326" i="1"/>
  <c r="V1327" i="1"/>
  <c r="V1328" i="1"/>
  <c r="V1329" i="1"/>
  <c r="V1330" i="1"/>
  <c r="V1331" i="1"/>
  <c r="V1332" i="1"/>
  <c r="V1333" i="1"/>
  <c r="V1334" i="1"/>
  <c r="V1335" i="1"/>
  <c r="V1336" i="1"/>
  <c r="V1337" i="1"/>
  <c r="V1338" i="1"/>
  <c r="V1339" i="1"/>
  <c r="V1340" i="1"/>
  <c r="V1341" i="1"/>
  <c r="V1342" i="1"/>
  <c r="V1343" i="1"/>
  <c r="V1344" i="1"/>
  <c r="V1345" i="1"/>
  <c r="V1346" i="1"/>
  <c r="V1347" i="1"/>
  <c r="V1348" i="1"/>
  <c r="V1349" i="1"/>
  <c r="V1350" i="1"/>
  <c r="V1351" i="1"/>
  <c r="V1352" i="1"/>
  <c r="V1353" i="1"/>
  <c r="V1354" i="1"/>
  <c r="V1355" i="1"/>
  <c r="V1356" i="1"/>
  <c r="V1357" i="1"/>
  <c r="V1358" i="1"/>
  <c r="V1359" i="1"/>
  <c r="V1360" i="1"/>
  <c r="V1361" i="1"/>
  <c r="V1362" i="1"/>
  <c r="V1363" i="1"/>
  <c r="V1364" i="1"/>
  <c r="V1365" i="1"/>
  <c r="V1366" i="1"/>
  <c r="V1367" i="1"/>
  <c r="V1368" i="1"/>
  <c r="V1369" i="1"/>
  <c r="V1370" i="1"/>
  <c r="V1371" i="1"/>
  <c r="V1372" i="1"/>
  <c r="V1373" i="1"/>
  <c r="V1374" i="1"/>
  <c r="V1375" i="1"/>
  <c r="V1376" i="1"/>
  <c r="V1377" i="1"/>
  <c r="V1378" i="1"/>
  <c r="V1379" i="1"/>
  <c r="V1380" i="1"/>
  <c r="V1381" i="1"/>
  <c r="V1382" i="1"/>
  <c r="V1383" i="1"/>
  <c r="V1384" i="1"/>
  <c r="V1385" i="1"/>
  <c r="V1386" i="1"/>
  <c r="V1387" i="1"/>
  <c r="V1388" i="1"/>
  <c r="V1389" i="1"/>
  <c r="V1390" i="1"/>
  <c r="V1391" i="1"/>
  <c r="V1392" i="1"/>
  <c r="V1393" i="1"/>
  <c r="V1394" i="1"/>
  <c r="V1395" i="1"/>
  <c r="V1396" i="1"/>
  <c r="V1397" i="1"/>
  <c r="V1398" i="1"/>
  <c r="V1399" i="1"/>
  <c r="V1400" i="1"/>
  <c r="V1401" i="1"/>
  <c r="V1402" i="1"/>
  <c r="V1403" i="1"/>
  <c r="V1404" i="1"/>
  <c r="V1405" i="1"/>
  <c r="V1406" i="1"/>
  <c r="V1407" i="1"/>
  <c r="V1408" i="1"/>
  <c r="V1409" i="1"/>
  <c r="V1410" i="1"/>
  <c r="V1411" i="1"/>
  <c r="V1412" i="1"/>
  <c r="V1413" i="1"/>
  <c r="V1414" i="1"/>
  <c r="V1415" i="1"/>
  <c r="V1416" i="1"/>
  <c r="V1417" i="1"/>
  <c r="V1418" i="1"/>
  <c r="V1419" i="1"/>
  <c r="V1420" i="1"/>
  <c r="V1421" i="1"/>
  <c r="V1422" i="1"/>
  <c r="V1423" i="1"/>
  <c r="V1424" i="1"/>
  <c r="V1425" i="1"/>
  <c r="V1426" i="1"/>
  <c r="V1427" i="1"/>
  <c r="V1428" i="1"/>
  <c r="V1429" i="1"/>
  <c r="V1430" i="1"/>
  <c r="V1431" i="1"/>
  <c r="V1432" i="1"/>
  <c r="V1433" i="1"/>
  <c r="V1434" i="1"/>
  <c r="V1435" i="1"/>
  <c r="V1436" i="1"/>
  <c r="V1437" i="1"/>
  <c r="V1438" i="1"/>
  <c r="V1439" i="1"/>
  <c r="V1440" i="1"/>
  <c r="V1441" i="1"/>
  <c r="V1442" i="1"/>
  <c r="V1443" i="1"/>
  <c r="V1444" i="1"/>
  <c r="V1445" i="1"/>
  <c r="V1446" i="1"/>
  <c r="V1447" i="1"/>
  <c r="V1448" i="1"/>
  <c r="V1449" i="1"/>
  <c r="V1450" i="1"/>
  <c r="V1451" i="1"/>
  <c r="V1452" i="1"/>
  <c r="V1453" i="1"/>
  <c r="V1454" i="1"/>
  <c r="V1455" i="1"/>
  <c r="V1456" i="1"/>
  <c r="V1457" i="1"/>
  <c r="V1458" i="1"/>
  <c r="V1459" i="1"/>
  <c r="V1460" i="1"/>
  <c r="V1461" i="1"/>
  <c r="V1462" i="1"/>
  <c r="V1463" i="1"/>
  <c r="V1464" i="1"/>
  <c r="V1465" i="1"/>
  <c r="V1466" i="1"/>
  <c r="V1467" i="1"/>
  <c r="V1468" i="1"/>
  <c r="V1469" i="1"/>
  <c r="V1470" i="1"/>
  <c r="V1471" i="1"/>
  <c r="V1472" i="1"/>
  <c r="V1473" i="1"/>
  <c r="V1474" i="1"/>
  <c r="V1475" i="1"/>
  <c r="V1476" i="1"/>
  <c r="V1477" i="1"/>
  <c r="V1478" i="1"/>
  <c r="V1479" i="1"/>
  <c r="V1480" i="1"/>
  <c r="V1481" i="1"/>
  <c r="V1482" i="1"/>
  <c r="V1483" i="1"/>
  <c r="V1484" i="1"/>
  <c r="V1485" i="1"/>
  <c r="V1486" i="1"/>
  <c r="V1487" i="1"/>
  <c r="V1488" i="1"/>
  <c r="V1489" i="1"/>
  <c r="V1490" i="1"/>
  <c r="V1491" i="1"/>
  <c r="V1492" i="1"/>
  <c r="V1493" i="1"/>
  <c r="V1494" i="1"/>
  <c r="V1495" i="1"/>
  <c r="V1496" i="1"/>
  <c r="V1497" i="1"/>
  <c r="V1498" i="1"/>
  <c r="V1499" i="1"/>
  <c r="V1500" i="1"/>
  <c r="V1501" i="1"/>
  <c r="V1502" i="1"/>
  <c r="V1503" i="1"/>
  <c r="V1504" i="1"/>
  <c r="V1505" i="1"/>
  <c r="V1506" i="1"/>
  <c r="V1507" i="1"/>
  <c r="V1508" i="1"/>
  <c r="V1509" i="1"/>
  <c r="V1510" i="1"/>
  <c r="V1511" i="1"/>
  <c r="V1512" i="1"/>
  <c r="V1513" i="1"/>
  <c r="V1514" i="1"/>
  <c r="V1515" i="1"/>
  <c r="V1516" i="1"/>
  <c r="V1517" i="1"/>
  <c r="V1518" i="1"/>
  <c r="V1519" i="1"/>
  <c r="V1520" i="1"/>
  <c r="V1521" i="1"/>
  <c r="V1522" i="1"/>
  <c r="V1523" i="1"/>
  <c r="V1524" i="1"/>
  <c r="V1525" i="1"/>
  <c r="V1526" i="1"/>
  <c r="V1527" i="1"/>
  <c r="V1528" i="1"/>
  <c r="V1529" i="1"/>
  <c r="V1530" i="1"/>
  <c r="V1531" i="1"/>
  <c r="V1532" i="1"/>
  <c r="V1533" i="1"/>
  <c r="V1534" i="1"/>
  <c r="V1535" i="1"/>
  <c r="V1536" i="1"/>
  <c r="V1537" i="1"/>
  <c r="V1538" i="1"/>
  <c r="V1539" i="1"/>
  <c r="V1540" i="1"/>
  <c r="V1541" i="1"/>
  <c r="V1542" i="1"/>
  <c r="V1543" i="1"/>
  <c r="V1544" i="1"/>
  <c r="V1545" i="1"/>
  <c r="V1546" i="1"/>
  <c r="V1547" i="1"/>
  <c r="V1548" i="1"/>
  <c r="V1549" i="1"/>
  <c r="V1550" i="1"/>
  <c r="V1551" i="1"/>
  <c r="V1552" i="1"/>
  <c r="V1553" i="1"/>
  <c r="V1554" i="1"/>
  <c r="V1555" i="1"/>
  <c r="V1556" i="1"/>
  <c r="V1557" i="1"/>
  <c r="V1558" i="1"/>
  <c r="V1559" i="1"/>
  <c r="V1560" i="1"/>
  <c r="V1561" i="1"/>
  <c r="V1562" i="1"/>
  <c r="V1563" i="1"/>
  <c r="V1564" i="1"/>
  <c r="V1565" i="1"/>
  <c r="V1566" i="1"/>
  <c r="V1567" i="1"/>
  <c r="V1568" i="1"/>
  <c r="V1569" i="1"/>
  <c r="V1570" i="1"/>
  <c r="V1571" i="1"/>
  <c r="V1572" i="1"/>
  <c r="V1573" i="1"/>
  <c r="V1574" i="1"/>
  <c r="V1575" i="1"/>
  <c r="V1576" i="1"/>
  <c r="V1577" i="1"/>
  <c r="V1578" i="1"/>
  <c r="V1579" i="1"/>
  <c r="V1580" i="1"/>
  <c r="V1581" i="1"/>
  <c r="V1582" i="1"/>
  <c r="V1583" i="1"/>
  <c r="V1584" i="1"/>
  <c r="V1585" i="1"/>
  <c r="V1586" i="1"/>
  <c r="V1587" i="1"/>
  <c r="V1588" i="1"/>
  <c r="V1589" i="1"/>
  <c r="V1590" i="1"/>
  <c r="V1591" i="1"/>
  <c r="V1592" i="1"/>
  <c r="V1593" i="1"/>
  <c r="V1594" i="1"/>
  <c r="V1595" i="1"/>
  <c r="V1596" i="1"/>
  <c r="V1597" i="1"/>
  <c r="V1598" i="1"/>
  <c r="V1599" i="1"/>
  <c r="V1600" i="1"/>
  <c r="V1601" i="1"/>
  <c r="V1602" i="1"/>
  <c r="V1603" i="1"/>
  <c r="V1604" i="1"/>
  <c r="V1605" i="1"/>
  <c r="V1606" i="1"/>
  <c r="V1607" i="1"/>
  <c r="V1608" i="1"/>
  <c r="V1609" i="1"/>
  <c r="V1610" i="1"/>
  <c r="V1611" i="1"/>
  <c r="V1612" i="1"/>
  <c r="V1613" i="1"/>
  <c r="V1614" i="1"/>
  <c r="V1615" i="1"/>
  <c r="V1616" i="1"/>
  <c r="V1617" i="1"/>
  <c r="V1618" i="1"/>
  <c r="V1619" i="1"/>
  <c r="V1620" i="1"/>
  <c r="V1621" i="1"/>
  <c r="V1622" i="1"/>
  <c r="V1623" i="1"/>
  <c r="V1624" i="1"/>
  <c r="V1625" i="1"/>
  <c r="V1626" i="1"/>
  <c r="V1627" i="1"/>
  <c r="V1628" i="1"/>
  <c r="V1629" i="1"/>
  <c r="V1630" i="1"/>
  <c r="V1631" i="1"/>
  <c r="V1632" i="1"/>
  <c r="V1633" i="1"/>
  <c r="V1634" i="1"/>
  <c r="V1635" i="1"/>
  <c r="V1636" i="1"/>
  <c r="V1637" i="1"/>
  <c r="V1638" i="1"/>
  <c r="V1639" i="1"/>
  <c r="V1640" i="1"/>
  <c r="V1641" i="1"/>
  <c r="V1642" i="1"/>
  <c r="V1643" i="1"/>
  <c r="V1644" i="1"/>
  <c r="V1645" i="1"/>
  <c r="V1646" i="1"/>
  <c r="V1647" i="1"/>
  <c r="V1648" i="1"/>
  <c r="V1649" i="1"/>
  <c r="V1650" i="1"/>
  <c r="V1651" i="1"/>
  <c r="V1652" i="1"/>
  <c r="V1653" i="1"/>
  <c r="V1654" i="1"/>
  <c r="V1655" i="1"/>
  <c r="V1656" i="1"/>
  <c r="V1657" i="1"/>
  <c r="V1658" i="1"/>
  <c r="V1659" i="1"/>
  <c r="V1660" i="1"/>
  <c r="V1661" i="1"/>
  <c r="V1662" i="1"/>
  <c r="V1663" i="1"/>
  <c r="V1664" i="1"/>
  <c r="V1665" i="1"/>
  <c r="V1666" i="1"/>
  <c r="V1667" i="1"/>
  <c r="V1668" i="1"/>
  <c r="V1669" i="1"/>
  <c r="V1670" i="1"/>
  <c r="V1671" i="1"/>
  <c r="V1672" i="1"/>
  <c r="V1673" i="1"/>
  <c r="V1674" i="1"/>
  <c r="V1675" i="1"/>
  <c r="V1676" i="1"/>
  <c r="V1677" i="1"/>
  <c r="V1678" i="1"/>
  <c r="V1679" i="1"/>
  <c r="V1680" i="1"/>
  <c r="V1681" i="1"/>
  <c r="V1682" i="1"/>
  <c r="V1683" i="1"/>
  <c r="V1684" i="1"/>
  <c r="V1685" i="1"/>
  <c r="V1686" i="1"/>
  <c r="V1687" i="1"/>
  <c r="V1688" i="1"/>
  <c r="V1689" i="1"/>
  <c r="V1690" i="1"/>
  <c r="V1691" i="1"/>
  <c r="V1692" i="1"/>
  <c r="V1693" i="1"/>
  <c r="V1694" i="1"/>
  <c r="V1695" i="1"/>
  <c r="V1696" i="1"/>
  <c r="V1697" i="1"/>
  <c r="V1698" i="1"/>
  <c r="V1699" i="1"/>
  <c r="V1700" i="1"/>
  <c r="V1701" i="1"/>
  <c r="V1702" i="1"/>
  <c r="V1703" i="1"/>
  <c r="V1704" i="1"/>
  <c r="V1705" i="1"/>
  <c r="V1706" i="1"/>
  <c r="V1707" i="1"/>
  <c r="V1708" i="1"/>
  <c r="V1709" i="1"/>
  <c r="V1710" i="1"/>
  <c r="V1711" i="1"/>
  <c r="V1712" i="1"/>
  <c r="V1713" i="1"/>
  <c r="V1714" i="1"/>
  <c r="V1715" i="1"/>
  <c r="V1716" i="1"/>
  <c r="V1717" i="1"/>
  <c r="V1718" i="1"/>
  <c r="V1719" i="1"/>
  <c r="V1720" i="1"/>
  <c r="V1721" i="1"/>
  <c r="V1722" i="1"/>
  <c r="V1723" i="1"/>
  <c r="V1724" i="1"/>
  <c r="V1725" i="1"/>
  <c r="V1726" i="1"/>
  <c r="V1727" i="1"/>
  <c r="V1728" i="1"/>
  <c r="V1729" i="1"/>
  <c r="V1730" i="1"/>
  <c r="V1731" i="1"/>
  <c r="V1732" i="1"/>
  <c r="V1733" i="1"/>
  <c r="V1734" i="1"/>
  <c r="V1735" i="1"/>
  <c r="V1736" i="1"/>
  <c r="V1737" i="1"/>
  <c r="V1738" i="1"/>
  <c r="V1739" i="1"/>
  <c r="V1740" i="1"/>
  <c r="V1741" i="1"/>
  <c r="V1742" i="1"/>
  <c r="V1743" i="1"/>
  <c r="V1744" i="1"/>
  <c r="V1745" i="1"/>
  <c r="V1746" i="1"/>
  <c r="V1747" i="1"/>
  <c r="V1748" i="1"/>
  <c r="V1749" i="1"/>
  <c r="V1750" i="1"/>
  <c r="V1751" i="1"/>
  <c r="V1752" i="1"/>
  <c r="V1753" i="1"/>
  <c r="V1754" i="1"/>
  <c r="V1755" i="1"/>
  <c r="V1756" i="1"/>
  <c r="V1757" i="1"/>
  <c r="V1758" i="1"/>
  <c r="V1759" i="1"/>
  <c r="V1760" i="1"/>
  <c r="V1761" i="1"/>
  <c r="V1762" i="1"/>
  <c r="V1763" i="1"/>
  <c r="V1764" i="1"/>
  <c r="V1765" i="1"/>
  <c r="V1766" i="1"/>
  <c r="V1767" i="1"/>
  <c r="V1768" i="1"/>
  <c r="V1769" i="1"/>
  <c r="V1770" i="1"/>
  <c r="V1771" i="1"/>
  <c r="V1772" i="1"/>
  <c r="V1773" i="1"/>
  <c r="V1774" i="1"/>
  <c r="V1775" i="1"/>
  <c r="V1776" i="1"/>
  <c r="V1777" i="1"/>
  <c r="V1778" i="1"/>
  <c r="V1779" i="1"/>
  <c r="V1780" i="1"/>
  <c r="V1781" i="1"/>
  <c r="V1782" i="1"/>
  <c r="V1783" i="1"/>
  <c r="V1784" i="1"/>
  <c r="V1785" i="1"/>
  <c r="V1786" i="1"/>
  <c r="V1787" i="1"/>
  <c r="V1788" i="1"/>
  <c r="V1789" i="1"/>
  <c r="V1790" i="1"/>
  <c r="V1791" i="1"/>
  <c r="V1792" i="1"/>
  <c r="V1793" i="1"/>
  <c r="V1794" i="1"/>
  <c r="V1795" i="1"/>
  <c r="V1796" i="1"/>
  <c r="V1797" i="1"/>
  <c r="V1798" i="1"/>
  <c r="V1799" i="1"/>
  <c r="V1800" i="1"/>
  <c r="V1801" i="1"/>
  <c r="V1802" i="1"/>
  <c r="V1803" i="1"/>
  <c r="V1804" i="1"/>
  <c r="V1805" i="1"/>
  <c r="V1806" i="1"/>
  <c r="V1807" i="1"/>
  <c r="V1808" i="1"/>
  <c r="V1809" i="1"/>
  <c r="V1810" i="1"/>
  <c r="V1811" i="1"/>
  <c r="V1812" i="1"/>
  <c r="V1813" i="1"/>
  <c r="V1814" i="1"/>
  <c r="V1815" i="1"/>
  <c r="V1816" i="1"/>
  <c r="V1817" i="1"/>
  <c r="V1818" i="1"/>
  <c r="V1819" i="1"/>
  <c r="V1820" i="1"/>
  <c r="V1821" i="1"/>
  <c r="V1822" i="1"/>
  <c r="V1823" i="1"/>
  <c r="V1824" i="1"/>
  <c r="V1825" i="1"/>
  <c r="V1826" i="1"/>
  <c r="V1827" i="1"/>
  <c r="V1828" i="1"/>
  <c r="V1829" i="1"/>
  <c r="V1830" i="1"/>
  <c r="V1831" i="1"/>
  <c r="V1832" i="1"/>
  <c r="V1833" i="1"/>
  <c r="V1834" i="1"/>
  <c r="V1835" i="1"/>
  <c r="V1836" i="1"/>
  <c r="V1837" i="1"/>
  <c r="V1838" i="1"/>
  <c r="V1839" i="1"/>
  <c r="V1840" i="1"/>
  <c r="V1841" i="1"/>
  <c r="V1842" i="1"/>
  <c r="V1843" i="1"/>
  <c r="V1844" i="1"/>
  <c r="V1845" i="1"/>
  <c r="V1846" i="1"/>
  <c r="V1847" i="1"/>
  <c r="V1848" i="1"/>
  <c r="V1849" i="1"/>
  <c r="V1850" i="1"/>
  <c r="V1851" i="1"/>
  <c r="V1852" i="1"/>
  <c r="V1853" i="1"/>
  <c r="V1854" i="1"/>
  <c r="V1855" i="1"/>
  <c r="V1856" i="1"/>
  <c r="V1857" i="1"/>
  <c r="V1858" i="1"/>
  <c r="V1859" i="1"/>
  <c r="V1860" i="1"/>
  <c r="V1861" i="1"/>
  <c r="V1862" i="1"/>
  <c r="V1863" i="1"/>
  <c r="V1864" i="1"/>
  <c r="V1865" i="1"/>
  <c r="V1866" i="1"/>
  <c r="V1867" i="1"/>
  <c r="V1868" i="1"/>
  <c r="V1869" i="1"/>
  <c r="V1870" i="1"/>
  <c r="V1871" i="1"/>
  <c r="V1872" i="1"/>
  <c r="V1873" i="1"/>
  <c r="V1874" i="1"/>
  <c r="V1875" i="1"/>
  <c r="V1876" i="1"/>
  <c r="V1877" i="1"/>
  <c r="V1878" i="1"/>
  <c r="V1879" i="1"/>
  <c r="V1880" i="1"/>
  <c r="V1881" i="1"/>
  <c r="V1882" i="1"/>
  <c r="V1883" i="1"/>
  <c r="V1884" i="1"/>
  <c r="V1885" i="1"/>
  <c r="V1886" i="1"/>
  <c r="V1887" i="1"/>
  <c r="V1888" i="1"/>
  <c r="V1889" i="1"/>
  <c r="V1890" i="1"/>
  <c r="V1891" i="1"/>
  <c r="V1892" i="1"/>
  <c r="V1893" i="1"/>
  <c r="V1894" i="1"/>
  <c r="V1895" i="1"/>
  <c r="V1896" i="1"/>
  <c r="V1897" i="1"/>
  <c r="V1898" i="1"/>
  <c r="V1899" i="1"/>
  <c r="V1900" i="1"/>
  <c r="V1901" i="1"/>
  <c r="V1902" i="1"/>
  <c r="V1903" i="1"/>
  <c r="V1904" i="1"/>
  <c r="V1905" i="1"/>
  <c r="V1906" i="1"/>
  <c r="V1907" i="1"/>
  <c r="V1908" i="1"/>
  <c r="V1909" i="1"/>
  <c r="V1910" i="1"/>
  <c r="V1911" i="1"/>
  <c r="V1912" i="1"/>
  <c r="V1913" i="1"/>
  <c r="V1914" i="1"/>
  <c r="V1915" i="1"/>
  <c r="V1916" i="1"/>
  <c r="V1917" i="1"/>
  <c r="V1918" i="1"/>
  <c r="V1919" i="1"/>
  <c r="V1920" i="1"/>
  <c r="V1921" i="1"/>
  <c r="V1922" i="1"/>
  <c r="V1923" i="1"/>
  <c r="V1924" i="1"/>
  <c r="V1925" i="1"/>
  <c r="V1926" i="1"/>
  <c r="V1927" i="1"/>
  <c r="V1928" i="1"/>
  <c r="V1929" i="1"/>
  <c r="V1930" i="1"/>
  <c r="V1931" i="1"/>
  <c r="V1932" i="1"/>
  <c r="V1933" i="1"/>
  <c r="V1934" i="1"/>
  <c r="V1935" i="1"/>
  <c r="V1936" i="1"/>
  <c r="V1937" i="1"/>
  <c r="V1938" i="1"/>
  <c r="V1939" i="1"/>
  <c r="V1940" i="1"/>
  <c r="V1941" i="1"/>
  <c r="V1942" i="1"/>
  <c r="V1943" i="1"/>
  <c r="V1944" i="1"/>
  <c r="V1945" i="1"/>
  <c r="V1946" i="1"/>
  <c r="V1947" i="1"/>
  <c r="V1948" i="1"/>
  <c r="V1949" i="1"/>
  <c r="V1950" i="1"/>
  <c r="V1951" i="1"/>
  <c r="V1952" i="1"/>
  <c r="V1953" i="1"/>
  <c r="V1954" i="1"/>
  <c r="V1955" i="1"/>
  <c r="V1956" i="1"/>
  <c r="V1957" i="1"/>
  <c r="V1958" i="1"/>
  <c r="V1959" i="1"/>
  <c r="V1960" i="1"/>
  <c r="V1961" i="1"/>
  <c r="V1962" i="1"/>
  <c r="V1963" i="1"/>
  <c r="V1964" i="1"/>
  <c r="V1965" i="1"/>
  <c r="V1966" i="1"/>
  <c r="V1967" i="1"/>
  <c r="V1968" i="1"/>
  <c r="V1969" i="1"/>
  <c r="V1970" i="1"/>
  <c r="V1971" i="1"/>
  <c r="V1972" i="1"/>
  <c r="V1973" i="1"/>
  <c r="V1974" i="1"/>
  <c r="V1975" i="1"/>
  <c r="V1976" i="1"/>
  <c r="V1977" i="1"/>
  <c r="V1978" i="1"/>
  <c r="V1979" i="1"/>
  <c r="V1980" i="1"/>
  <c r="V1981" i="1"/>
  <c r="V1982" i="1"/>
  <c r="V1983" i="1"/>
  <c r="V1984" i="1"/>
  <c r="V1985" i="1"/>
  <c r="V1986" i="1"/>
  <c r="V1987" i="1"/>
  <c r="V1988" i="1"/>
  <c r="V1989" i="1"/>
  <c r="V1990" i="1"/>
  <c r="V1991" i="1"/>
  <c r="V1992" i="1"/>
  <c r="V1993" i="1"/>
  <c r="V1994" i="1"/>
  <c r="V1995" i="1"/>
  <c r="V1996" i="1"/>
  <c r="V1997" i="1"/>
  <c r="V1998" i="1"/>
  <c r="V1999" i="1"/>
  <c r="V2000" i="1"/>
  <c r="V2001" i="1"/>
  <c r="V2" i="1"/>
  <c r="T1589" i="1"/>
  <c r="U1589" i="1" s="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T1315" i="1" s="1"/>
  <c r="U1315" i="1" s="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T1460" i="1" s="1"/>
  <c r="U1460" i="1" s="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T1525" i="1" s="1"/>
  <c r="U1525" i="1" s="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T1653" i="1" s="1"/>
  <c r="U1653" i="1" s="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T1717" i="1" s="1"/>
  <c r="U1717" i="1" s="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T1781" i="1" s="1"/>
  <c r="U1781" i="1" s="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T1813" i="1" s="1"/>
  <c r="U1813" i="1" s="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T1845" i="1" s="1"/>
  <c r="U1845" i="1" s="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T1877" i="1" s="1"/>
  <c r="U1877" i="1" s="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T1909" i="1" s="1"/>
  <c r="U1909" i="1" s="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T1934" i="1" s="1"/>
  <c r="U1934" i="1" s="1"/>
  <c r="S1935" i="1"/>
  <c r="S1936" i="1"/>
  <c r="S1937" i="1"/>
  <c r="S1938" i="1"/>
  <c r="S1939" i="1"/>
  <c r="S1940" i="1"/>
  <c r="S1941" i="1"/>
  <c r="S1942" i="1"/>
  <c r="S1943" i="1"/>
  <c r="S1944" i="1"/>
  <c r="S1945" i="1"/>
  <c r="S1946" i="1"/>
  <c r="S1947" i="1"/>
  <c r="S1948" i="1"/>
  <c r="S1949" i="1"/>
  <c r="S1950" i="1"/>
  <c r="S1951" i="1"/>
  <c r="T1951" i="1" s="1"/>
  <c r="U1951" i="1" s="1"/>
  <c r="S1952" i="1"/>
  <c r="S1953" i="1"/>
  <c r="S1954" i="1"/>
  <c r="S1955" i="1"/>
  <c r="S1956" i="1"/>
  <c r="S1957" i="1"/>
  <c r="S1958" i="1"/>
  <c r="S1959" i="1"/>
  <c r="S1960" i="1"/>
  <c r="S1961" i="1"/>
  <c r="S1962" i="1"/>
  <c r="S1963" i="1"/>
  <c r="S1964" i="1"/>
  <c r="S1965" i="1"/>
  <c r="S1966" i="1"/>
  <c r="S1967" i="1"/>
  <c r="T1967" i="1" s="1"/>
  <c r="U1967" i="1" s="1"/>
  <c r="S1968" i="1"/>
  <c r="S1969" i="1"/>
  <c r="S1970" i="1"/>
  <c r="S1971" i="1"/>
  <c r="S1972" i="1"/>
  <c r="S1973" i="1"/>
  <c r="S1974" i="1"/>
  <c r="S1975" i="1"/>
  <c r="S1976" i="1"/>
  <c r="S1977" i="1"/>
  <c r="S1978" i="1"/>
  <c r="S1979" i="1"/>
  <c r="S1980" i="1"/>
  <c r="S1981" i="1"/>
  <c r="S1982" i="1"/>
  <c r="S1983" i="1"/>
  <c r="T1983" i="1" s="1"/>
  <c r="U1983" i="1" s="1"/>
  <c r="S1984" i="1"/>
  <c r="S1985" i="1"/>
  <c r="S1986" i="1"/>
  <c r="S1987" i="1"/>
  <c r="S1988" i="1"/>
  <c r="S1989" i="1"/>
  <c r="S1990" i="1"/>
  <c r="S1991" i="1"/>
  <c r="S1992" i="1"/>
  <c r="S1993" i="1"/>
  <c r="S1994" i="1"/>
  <c r="S1995" i="1"/>
  <c r="S1996" i="1"/>
  <c r="S1997" i="1"/>
  <c r="S1998" i="1"/>
  <c r="S1999" i="1"/>
  <c r="T1999" i="1" s="1"/>
  <c r="U1999" i="1" s="1"/>
  <c r="S2000" i="1"/>
  <c r="S2001" i="1"/>
  <c r="S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T84" i="1" s="1"/>
  <c r="U84" i="1" s="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T547" i="1" s="1"/>
  <c r="U547" i="1" s="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T803" i="1" s="1"/>
  <c r="U803" i="1" s="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T1059" i="1" s="1"/>
  <c r="U1059" i="1" s="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 i="1"/>
  <c r="T1990" i="1" l="1"/>
  <c r="U1990" i="1" s="1"/>
  <c r="T1942" i="1"/>
  <c r="U1942" i="1" s="1"/>
  <c r="T1902" i="1"/>
  <c r="U1902" i="1" s="1"/>
  <c r="T1846" i="1"/>
  <c r="U1846" i="1" s="1"/>
  <c r="T1806" i="1"/>
  <c r="U1806" i="1" s="1"/>
  <c r="T1782" i="1"/>
  <c r="U1782" i="1" s="1"/>
  <c r="T1742" i="1"/>
  <c r="U1742" i="1" s="1"/>
  <c r="T1726" i="1"/>
  <c r="U1726" i="1" s="1"/>
  <c r="T1702" i="1"/>
  <c r="U1702" i="1" s="1"/>
  <c r="T1686" i="1"/>
  <c r="U1686" i="1" s="1"/>
  <c r="T1646" i="1"/>
  <c r="U1646" i="1" s="1"/>
  <c r="T1622" i="1"/>
  <c r="U1622" i="1" s="1"/>
  <c r="T1606" i="1"/>
  <c r="U1606" i="1" s="1"/>
  <c r="T1582" i="1"/>
  <c r="U1582" i="1" s="1"/>
  <c r="T1550" i="1"/>
  <c r="U1550" i="1" s="1"/>
  <c r="T1518" i="1"/>
  <c r="U1518" i="1" s="1"/>
  <c r="T1494" i="1"/>
  <c r="U1494" i="1" s="1"/>
  <c r="T1446" i="1"/>
  <c r="U1446" i="1" s="1"/>
  <c r="T1422" i="1"/>
  <c r="U1422" i="1" s="1"/>
  <c r="T1398" i="1"/>
  <c r="U1398" i="1" s="1"/>
  <c r="T1374" i="1"/>
  <c r="U1374" i="1" s="1"/>
  <c r="T1358" i="1"/>
  <c r="U1358" i="1" s="1"/>
  <c r="T1334" i="1"/>
  <c r="U1334" i="1" s="1"/>
  <c r="T1302" i="1"/>
  <c r="U1302" i="1" s="1"/>
  <c r="T1278" i="1"/>
  <c r="U1278" i="1" s="1"/>
  <c r="T1246" i="1"/>
  <c r="U1246" i="1" s="1"/>
  <c r="T1222" i="1"/>
  <c r="U1222" i="1" s="1"/>
  <c r="T1997" i="1"/>
  <c r="U1997" i="1" s="1"/>
  <c r="T1989" i="1"/>
  <c r="U1989" i="1" s="1"/>
  <c r="T1981" i="1"/>
  <c r="U1981" i="1" s="1"/>
  <c r="T1973" i="1"/>
  <c r="U1973" i="1" s="1"/>
  <c r="T1965" i="1"/>
  <c r="U1965" i="1" s="1"/>
  <c r="T1957" i="1"/>
  <c r="U1957" i="1" s="1"/>
  <c r="T1949" i="1"/>
  <c r="U1949" i="1" s="1"/>
  <c r="T1941" i="1"/>
  <c r="U1941" i="1" s="1"/>
  <c r="T1933" i="1"/>
  <c r="U1933" i="1" s="1"/>
  <c r="T1925" i="1"/>
  <c r="U1925" i="1" s="1"/>
  <c r="T1917" i="1"/>
  <c r="U1917" i="1" s="1"/>
  <c r="T1901" i="1"/>
  <c r="U1901" i="1" s="1"/>
  <c r="T1893" i="1"/>
  <c r="U1893" i="1" s="1"/>
  <c r="T1885" i="1"/>
  <c r="U1885" i="1" s="1"/>
  <c r="T1869" i="1"/>
  <c r="U1869" i="1" s="1"/>
  <c r="T1861" i="1"/>
  <c r="U1861" i="1" s="1"/>
  <c r="T1853" i="1"/>
  <c r="U1853" i="1" s="1"/>
  <c r="T1837" i="1"/>
  <c r="U1837" i="1" s="1"/>
  <c r="T1829" i="1"/>
  <c r="U1829" i="1" s="1"/>
  <c r="T1821" i="1"/>
  <c r="U1821" i="1" s="1"/>
  <c r="T1805" i="1"/>
  <c r="U1805" i="1" s="1"/>
  <c r="T1797" i="1"/>
  <c r="U1797" i="1" s="1"/>
  <c r="T1789" i="1"/>
  <c r="U1789" i="1" s="1"/>
  <c r="T1773" i="1"/>
  <c r="U1773" i="1" s="1"/>
  <c r="T1765" i="1"/>
  <c r="U1765" i="1" s="1"/>
  <c r="T1757" i="1"/>
  <c r="U1757" i="1" s="1"/>
  <c r="T1749" i="1"/>
  <c r="U1749" i="1" s="1"/>
  <c r="T1741" i="1"/>
  <c r="U1741" i="1" s="1"/>
  <c r="T1733" i="1"/>
  <c r="U1733" i="1" s="1"/>
  <c r="T1725" i="1"/>
  <c r="U1725" i="1" s="1"/>
  <c r="T1709" i="1"/>
  <c r="U1709" i="1" s="1"/>
  <c r="T1701" i="1"/>
  <c r="U1701" i="1" s="1"/>
  <c r="T1693" i="1"/>
  <c r="U1693" i="1" s="1"/>
  <c r="T1685" i="1"/>
  <c r="U1685" i="1" s="1"/>
  <c r="T1677" i="1"/>
  <c r="U1677" i="1" s="1"/>
  <c r="T1669" i="1"/>
  <c r="U1669" i="1" s="1"/>
  <c r="T1661" i="1"/>
  <c r="U1661" i="1" s="1"/>
  <c r="T1645" i="1"/>
  <c r="U1645" i="1" s="1"/>
  <c r="T1637" i="1"/>
  <c r="U1637" i="1" s="1"/>
  <c r="T1629" i="1"/>
  <c r="U1629" i="1" s="1"/>
  <c r="T1621" i="1"/>
  <c r="U1621" i="1" s="1"/>
  <c r="T1613" i="1"/>
  <c r="U1613" i="1" s="1"/>
  <c r="T1605" i="1"/>
  <c r="U1605" i="1" s="1"/>
  <c r="T1597" i="1"/>
  <c r="U1597" i="1" s="1"/>
  <c r="T1581" i="1"/>
  <c r="U1581" i="1" s="1"/>
  <c r="T1573" i="1"/>
  <c r="U1573" i="1" s="1"/>
  <c r="T1565" i="1"/>
  <c r="U1565" i="1" s="1"/>
  <c r="T1557" i="1"/>
  <c r="U1557" i="1" s="1"/>
  <c r="T1549" i="1"/>
  <c r="U1549" i="1" s="1"/>
  <c r="T1541" i="1"/>
  <c r="U1541" i="1" s="1"/>
  <c r="T1533" i="1"/>
  <c r="U1533" i="1" s="1"/>
  <c r="T1517" i="1"/>
  <c r="U1517" i="1" s="1"/>
  <c r="T1509" i="1"/>
  <c r="U1509" i="1" s="1"/>
  <c r="T1501" i="1"/>
  <c r="U1501" i="1" s="1"/>
  <c r="T1493" i="1"/>
  <c r="U1493" i="1" s="1"/>
  <c r="T1485" i="1"/>
  <c r="U1485" i="1" s="1"/>
  <c r="T1477" i="1"/>
  <c r="U1477" i="1" s="1"/>
  <c r="T1469" i="1"/>
  <c r="U1469" i="1" s="1"/>
  <c r="T1461" i="1"/>
  <c r="U1461" i="1" s="1"/>
  <c r="T1453" i="1"/>
  <c r="U1453" i="1" s="1"/>
  <c r="T1445" i="1"/>
  <c r="U1445" i="1" s="1"/>
  <c r="T1437" i="1"/>
  <c r="U1437" i="1" s="1"/>
  <c r="T1429" i="1"/>
  <c r="U1429" i="1" s="1"/>
  <c r="T1421" i="1"/>
  <c r="U1421" i="1" s="1"/>
  <c r="T1413" i="1"/>
  <c r="U1413" i="1" s="1"/>
  <c r="T1405" i="1"/>
  <c r="U1405" i="1" s="1"/>
  <c r="T1397" i="1"/>
  <c r="U1397" i="1" s="1"/>
  <c r="T1389" i="1"/>
  <c r="U1389" i="1" s="1"/>
  <c r="T1381" i="1"/>
  <c r="U1381" i="1" s="1"/>
  <c r="T1373" i="1"/>
  <c r="U1373" i="1" s="1"/>
  <c r="T1365" i="1"/>
  <c r="U1365" i="1" s="1"/>
  <c r="T1357" i="1"/>
  <c r="U1357" i="1" s="1"/>
  <c r="T1349" i="1"/>
  <c r="U1349" i="1" s="1"/>
  <c r="T1341" i="1"/>
  <c r="U1341" i="1" s="1"/>
  <c r="T1333" i="1"/>
  <c r="U1333" i="1" s="1"/>
  <c r="T1325" i="1"/>
  <c r="U1325" i="1" s="1"/>
  <c r="T1317" i="1"/>
  <c r="U1317" i="1" s="1"/>
  <c r="T1309" i="1"/>
  <c r="U1309" i="1" s="1"/>
  <c r="T1301" i="1"/>
  <c r="U1301" i="1" s="1"/>
  <c r="T1293" i="1"/>
  <c r="U1293" i="1" s="1"/>
  <c r="T1285" i="1"/>
  <c r="U1285" i="1" s="1"/>
  <c r="T1277" i="1"/>
  <c r="U1277" i="1" s="1"/>
  <c r="T1269" i="1"/>
  <c r="U1269" i="1" s="1"/>
  <c r="T1261" i="1"/>
  <c r="U1261" i="1" s="1"/>
  <c r="T1253" i="1"/>
  <c r="U1253" i="1" s="1"/>
  <c r="T1245" i="1"/>
  <c r="U1245" i="1" s="1"/>
  <c r="T1237" i="1"/>
  <c r="U1237" i="1" s="1"/>
  <c r="T1229" i="1"/>
  <c r="U1229" i="1" s="1"/>
  <c r="T1221" i="1"/>
  <c r="U1221" i="1" s="1"/>
  <c r="T1213" i="1"/>
  <c r="U1213" i="1" s="1"/>
  <c r="T1205" i="1"/>
  <c r="U1205" i="1" s="1"/>
  <c r="T1197" i="1"/>
  <c r="U1197" i="1" s="1"/>
  <c r="T1189" i="1"/>
  <c r="U1189" i="1" s="1"/>
  <c r="T1181" i="1"/>
  <c r="U1181" i="1" s="1"/>
  <c r="T1173" i="1"/>
  <c r="U1173" i="1" s="1"/>
  <c r="T1165" i="1"/>
  <c r="U1165" i="1" s="1"/>
  <c r="T1157" i="1"/>
  <c r="U1157" i="1" s="1"/>
  <c r="T1149" i="1"/>
  <c r="U1149" i="1" s="1"/>
  <c r="T1141" i="1"/>
  <c r="U1141" i="1" s="1"/>
  <c r="T1133" i="1"/>
  <c r="U1133" i="1" s="1"/>
  <c r="T1125" i="1"/>
  <c r="U1125" i="1" s="1"/>
  <c r="T1117" i="1"/>
  <c r="U1117" i="1" s="1"/>
  <c r="T1109" i="1"/>
  <c r="U1109" i="1" s="1"/>
  <c r="T1101" i="1"/>
  <c r="U1101" i="1" s="1"/>
  <c r="T1093" i="1"/>
  <c r="U1093" i="1" s="1"/>
  <c r="T1085" i="1"/>
  <c r="U1085" i="1" s="1"/>
  <c r="T1077" i="1"/>
  <c r="U1077" i="1" s="1"/>
  <c r="T1069" i="1"/>
  <c r="U1069" i="1" s="1"/>
  <c r="T1061" i="1"/>
  <c r="U1061" i="1" s="1"/>
  <c r="T1974" i="1"/>
  <c r="U1974" i="1" s="1"/>
  <c r="T1918" i="1"/>
  <c r="U1918" i="1" s="1"/>
  <c r="T1870" i="1"/>
  <c r="U1870" i="1" s="1"/>
  <c r="T1814" i="1"/>
  <c r="U1814" i="1" s="1"/>
  <c r="T1790" i="1"/>
  <c r="U1790" i="1" s="1"/>
  <c r="T1758" i="1"/>
  <c r="U1758" i="1" s="1"/>
  <c r="T1718" i="1"/>
  <c r="U1718" i="1" s="1"/>
  <c r="T1694" i="1"/>
  <c r="U1694" i="1" s="1"/>
  <c r="T1670" i="1"/>
  <c r="U1670" i="1" s="1"/>
  <c r="T1654" i="1"/>
  <c r="U1654" i="1" s="1"/>
  <c r="T1630" i="1"/>
  <c r="U1630" i="1" s="1"/>
  <c r="T1614" i="1"/>
  <c r="U1614" i="1" s="1"/>
  <c r="T1590" i="1"/>
  <c r="U1590" i="1" s="1"/>
  <c r="T1566" i="1"/>
  <c r="U1566" i="1" s="1"/>
  <c r="T1526" i="1"/>
  <c r="U1526" i="1" s="1"/>
  <c r="T1502" i="1"/>
  <c r="U1502" i="1" s="1"/>
  <c r="T1470" i="1"/>
  <c r="U1470" i="1" s="1"/>
  <c r="T1454" i="1"/>
  <c r="U1454" i="1" s="1"/>
  <c r="T1430" i="1"/>
  <c r="U1430" i="1" s="1"/>
  <c r="T1406" i="1"/>
  <c r="U1406" i="1" s="1"/>
  <c r="T1382" i="1"/>
  <c r="U1382" i="1" s="1"/>
  <c r="T1350" i="1"/>
  <c r="U1350" i="1" s="1"/>
  <c r="T1318" i="1"/>
  <c r="U1318" i="1" s="1"/>
  <c r="T1310" i="1"/>
  <c r="U1310" i="1" s="1"/>
  <c r="T1286" i="1"/>
  <c r="U1286" i="1" s="1"/>
  <c r="T1262" i="1"/>
  <c r="U1262" i="1" s="1"/>
  <c r="T1238" i="1"/>
  <c r="U1238" i="1" s="1"/>
  <c r="T1214" i="1"/>
  <c r="U1214" i="1" s="1"/>
  <c r="T1996" i="1"/>
  <c r="U1996" i="1" s="1"/>
  <c r="T1988" i="1"/>
  <c r="U1988" i="1" s="1"/>
  <c r="T1980" i="1"/>
  <c r="U1980" i="1" s="1"/>
  <c r="T1972" i="1"/>
  <c r="U1972" i="1" s="1"/>
  <c r="T1964" i="1"/>
  <c r="U1964" i="1" s="1"/>
  <c r="T1956" i="1"/>
  <c r="U1956" i="1" s="1"/>
  <c r="T1948" i="1"/>
  <c r="U1948" i="1" s="1"/>
  <c r="T1940" i="1"/>
  <c r="U1940" i="1" s="1"/>
  <c r="T1932" i="1"/>
  <c r="U1932" i="1" s="1"/>
  <c r="T1924" i="1"/>
  <c r="U1924" i="1" s="1"/>
  <c r="T1916" i="1"/>
  <c r="U1916" i="1" s="1"/>
  <c r="T1908" i="1"/>
  <c r="U1908" i="1" s="1"/>
  <c r="T1900" i="1"/>
  <c r="U1900" i="1" s="1"/>
  <c r="T1892" i="1"/>
  <c r="U1892" i="1" s="1"/>
  <c r="T1884" i="1"/>
  <c r="U1884" i="1" s="1"/>
  <c r="T1876" i="1"/>
  <c r="U1876" i="1" s="1"/>
  <c r="T1868" i="1"/>
  <c r="U1868" i="1" s="1"/>
  <c r="T1860" i="1"/>
  <c r="U1860" i="1" s="1"/>
  <c r="T1852" i="1"/>
  <c r="U1852" i="1" s="1"/>
  <c r="T1844" i="1"/>
  <c r="U1844" i="1" s="1"/>
  <c r="T1836" i="1"/>
  <c r="U1836" i="1" s="1"/>
  <c r="T1828" i="1"/>
  <c r="U1828" i="1" s="1"/>
  <c r="T1820" i="1"/>
  <c r="U1820" i="1" s="1"/>
  <c r="T1812" i="1"/>
  <c r="U1812" i="1" s="1"/>
  <c r="T1804" i="1"/>
  <c r="U1804" i="1" s="1"/>
  <c r="T1796" i="1"/>
  <c r="U1796" i="1" s="1"/>
  <c r="T1788" i="1"/>
  <c r="U1788" i="1" s="1"/>
  <c r="T1780" i="1"/>
  <c r="U1780" i="1" s="1"/>
  <c r="T1772" i="1"/>
  <c r="U1772" i="1" s="1"/>
  <c r="T1764" i="1"/>
  <c r="U1764" i="1" s="1"/>
  <c r="T1756" i="1"/>
  <c r="U1756" i="1" s="1"/>
  <c r="T1748" i="1"/>
  <c r="U1748" i="1" s="1"/>
  <c r="T1740" i="1"/>
  <c r="U1740" i="1" s="1"/>
  <c r="T1732" i="1"/>
  <c r="U1732" i="1" s="1"/>
  <c r="T1724" i="1"/>
  <c r="U1724" i="1" s="1"/>
  <c r="T1716" i="1"/>
  <c r="U1716" i="1" s="1"/>
  <c r="T1708" i="1"/>
  <c r="U1708" i="1" s="1"/>
  <c r="T1700" i="1"/>
  <c r="U1700" i="1" s="1"/>
  <c r="T1692" i="1"/>
  <c r="U1692" i="1" s="1"/>
  <c r="T1684" i="1"/>
  <c r="U1684" i="1" s="1"/>
  <c r="T1676" i="1"/>
  <c r="U1676" i="1" s="1"/>
  <c r="T1668" i="1"/>
  <c r="U1668" i="1" s="1"/>
  <c r="T1660" i="1"/>
  <c r="U1660" i="1" s="1"/>
  <c r="T1652" i="1"/>
  <c r="U1652" i="1" s="1"/>
  <c r="T1644" i="1"/>
  <c r="U1644" i="1" s="1"/>
  <c r="T1636" i="1"/>
  <c r="U1636" i="1" s="1"/>
  <c r="T1628" i="1"/>
  <c r="U1628" i="1" s="1"/>
  <c r="T1620" i="1"/>
  <c r="U1620" i="1" s="1"/>
  <c r="T1612" i="1"/>
  <c r="U1612" i="1" s="1"/>
  <c r="T1604" i="1"/>
  <c r="U1604" i="1" s="1"/>
  <c r="T1596" i="1"/>
  <c r="U1596" i="1" s="1"/>
  <c r="T1588" i="1"/>
  <c r="U1588" i="1" s="1"/>
  <c r="T1580" i="1"/>
  <c r="U1580" i="1" s="1"/>
  <c r="T1572" i="1"/>
  <c r="U1572" i="1" s="1"/>
  <c r="T1564" i="1"/>
  <c r="U1564" i="1" s="1"/>
  <c r="T1556" i="1"/>
  <c r="U1556" i="1" s="1"/>
  <c r="T1548" i="1"/>
  <c r="U1548" i="1" s="1"/>
  <c r="T1540" i="1"/>
  <c r="U1540" i="1" s="1"/>
  <c r="T1532" i="1"/>
  <c r="U1532" i="1" s="1"/>
  <c r="T1524" i="1"/>
  <c r="U1524" i="1" s="1"/>
  <c r="T1516" i="1"/>
  <c r="U1516" i="1" s="1"/>
  <c r="T1508" i="1"/>
  <c r="U1508" i="1" s="1"/>
  <c r="T1500" i="1"/>
  <c r="U1500" i="1" s="1"/>
  <c r="T1492" i="1"/>
  <c r="U1492" i="1" s="1"/>
  <c r="T1484" i="1"/>
  <c r="U1484" i="1" s="1"/>
  <c r="T1476" i="1"/>
  <c r="U1476" i="1" s="1"/>
  <c r="T1468" i="1"/>
  <c r="U1468" i="1" s="1"/>
  <c r="T1452" i="1"/>
  <c r="U1452" i="1" s="1"/>
  <c r="T1444" i="1"/>
  <c r="U1444" i="1" s="1"/>
  <c r="T1436" i="1"/>
  <c r="U1436" i="1" s="1"/>
  <c r="T1428" i="1"/>
  <c r="U1428" i="1" s="1"/>
  <c r="T1420" i="1"/>
  <c r="U1420" i="1" s="1"/>
  <c r="T1412" i="1"/>
  <c r="U1412" i="1" s="1"/>
  <c r="T1404" i="1"/>
  <c r="U1404" i="1" s="1"/>
  <c r="T1396" i="1"/>
  <c r="U1396" i="1" s="1"/>
  <c r="T1388" i="1"/>
  <c r="U1388" i="1" s="1"/>
  <c r="T1380" i="1"/>
  <c r="U1380" i="1" s="1"/>
  <c r="T1372" i="1"/>
  <c r="U1372" i="1" s="1"/>
  <c r="T1364" i="1"/>
  <c r="U1364" i="1" s="1"/>
  <c r="T1356" i="1"/>
  <c r="U1356" i="1" s="1"/>
  <c r="T1348" i="1"/>
  <c r="U1348" i="1" s="1"/>
  <c r="T1340" i="1"/>
  <c r="U1340" i="1" s="1"/>
  <c r="T1332" i="1"/>
  <c r="U1332" i="1" s="1"/>
  <c r="T1324" i="1"/>
  <c r="U1324" i="1" s="1"/>
  <c r="T1316" i="1"/>
  <c r="U1316" i="1" s="1"/>
  <c r="T1308" i="1"/>
  <c r="U1308" i="1" s="1"/>
  <c r="T1300" i="1"/>
  <c r="U1300" i="1" s="1"/>
  <c r="T1292" i="1"/>
  <c r="U1292" i="1" s="1"/>
  <c r="T1284" i="1"/>
  <c r="U1284" i="1" s="1"/>
  <c r="T1276" i="1"/>
  <c r="U1276" i="1" s="1"/>
  <c r="T1268" i="1"/>
  <c r="U1268" i="1" s="1"/>
  <c r="T1260" i="1"/>
  <c r="U1260" i="1" s="1"/>
  <c r="T1252" i="1"/>
  <c r="U1252" i="1" s="1"/>
  <c r="T1244" i="1"/>
  <c r="U1244" i="1" s="1"/>
  <c r="T1236" i="1"/>
  <c r="U1236" i="1" s="1"/>
  <c r="T1228" i="1"/>
  <c r="U1228" i="1" s="1"/>
  <c r="T340" i="1"/>
  <c r="U340" i="1" s="1"/>
  <c r="T212" i="1"/>
  <c r="U212" i="1" s="1"/>
  <c r="T1982" i="1"/>
  <c r="U1982" i="1" s="1"/>
  <c r="T1926" i="1"/>
  <c r="U1926" i="1" s="1"/>
  <c r="T1886" i="1"/>
  <c r="U1886" i="1" s="1"/>
  <c r="T1838" i="1"/>
  <c r="U1838" i="1" s="1"/>
  <c r="T1798" i="1"/>
  <c r="U1798" i="1" s="1"/>
  <c r="T1774" i="1"/>
  <c r="U1774" i="1" s="1"/>
  <c r="T1734" i="1"/>
  <c r="U1734" i="1" s="1"/>
  <c r="T1710" i="1"/>
  <c r="U1710" i="1" s="1"/>
  <c r="T1678" i="1"/>
  <c r="U1678" i="1" s="1"/>
  <c r="T1662" i="1"/>
  <c r="U1662" i="1" s="1"/>
  <c r="T1638" i="1"/>
  <c r="U1638" i="1" s="1"/>
  <c r="T1598" i="1"/>
  <c r="U1598" i="1" s="1"/>
  <c r="T1574" i="1"/>
  <c r="U1574" i="1" s="1"/>
  <c r="T1534" i="1"/>
  <c r="U1534" i="1" s="1"/>
  <c r="T1510" i="1"/>
  <c r="U1510" i="1" s="1"/>
  <c r="T1486" i="1"/>
  <c r="U1486" i="1" s="1"/>
  <c r="T1438" i="1"/>
  <c r="U1438" i="1" s="1"/>
  <c r="T1414" i="1"/>
  <c r="U1414" i="1" s="1"/>
  <c r="T1390" i="1"/>
  <c r="U1390" i="1" s="1"/>
  <c r="T1366" i="1"/>
  <c r="U1366" i="1" s="1"/>
  <c r="T1342" i="1"/>
  <c r="U1342" i="1" s="1"/>
  <c r="T1326" i="1"/>
  <c r="U1326" i="1" s="1"/>
  <c r="T1294" i="1"/>
  <c r="U1294" i="1" s="1"/>
  <c r="T1270" i="1"/>
  <c r="U1270" i="1" s="1"/>
  <c r="T1254" i="1"/>
  <c r="U1254" i="1" s="1"/>
  <c r="T1230" i="1"/>
  <c r="U1230" i="1" s="1"/>
  <c r="T1995" i="1"/>
  <c r="U1995" i="1" s="1"/>
  <c r="T1987" i="1"/>
  <c r="U1987" i="1" s="1"/>
  <c r="T1979" i="1"/>
  <c r="U1979" i="1" s="1"/>
  <c r="T1971" i="1"/>
  <c r="U1971" i="1" s="1"/>
  <c r="T1963" i="1"/>
  <c r="U1963" i="1" s="1"/>
  <c r="T1955" i="1"/>
  <c r="U1955" i="1" s="1"/>
  <c r="T1947" i="1"/>
  <c r="U1947" i="1" s="1"/>
  <c r="T1939" i="1"/>
  <c r="U1939" i="1" s="1"/>
  <c r="T1931" i="1"/>
  <c r="U1931" i="1" s="1"/>
  <c r="T1923" i="1"/>
  <c r="U1923" i="1" s="1"/>
  <c r="T1915" i="1"/>
  <c r="U1915" i="1" s="1"/>
  <c r="T1907" i="1"/>
  <c r="U1907" i="1" s="1"/>
  <c r="T1899" i="1"/>
  <c r="U1899" i="1" s="1"/>
  <c r="T1891" i="1"/>
  <c r="U1891" i="1" s="1"/>
  <c r="T1883" i="1"/>
  <c r="U1883" i="1" s="1"/>
  <c r="T1875" i="1"/>
  <c r="U1875" i="1" s="1"/>
  <c r="T1867" i="1"/>
  <c r="U1867" i="1" s="1"/>
  <c r="T1859" i="1"/>
  <c r="U1859" i="1" s="1"/>
  <c r="T1851" i="1"/>
  <c r="U1851" i="1" s="1"/>
  <c r="T1843" i="1"/>
  <c r="U1843" i="1" s="1"/>
  <c r="T1835" i="1"/>
  <c r="U1835" i="1" s="1"/>
  <c r="T1827" i="1"/>
  <c r="U1827" i="1" s="1"/>
  <c r="T1819" i="1"/>
  <c r="U1819" i="1" s="1"/>
  <c r="T1811" i="1"/>
  <c r="U1811" i="1" s="1"/>
  <c r="T1803" i="1"/>
  <c r="U1803" i="1" s="1"/>
  <c r="T1795" i="1"/>
  <c r="U1795" i="1" s="1"/>
  <c r="T1787" i="1"/>
  <c r="U1787" i="1" s="1"/>
  <c r="T1779" i="1"/>
  <c r="U1779" i="1" s="1"/>
  <c r="T1771" i="1"/>
  <c r="U1771" i="1" s="1"/>
  <c r="T1763" i="1"/>
  <c r="U1763" i="1" s="1"/>
  <c r="T1755" i="1"/>
  <c r="U1755" i="1" s="1"/>
  <c r="T1747" i="1"/>
  <c r="U1747" i="1" s="1"/>
  <c r="T1739" i="1"/>
  <c r="U1739" i="1" s="1"/>
  <c r="T1731" i="1"/>
  <c r="U1731" i="1" s="1"/>
  <c r="T1723" i="1"/>
  <c r="U1723" i="1" s="1"/>
  <c r="T1715" i="1"/>
  <c r="U1715" i="1" s="1"/>
  <c r="T1707" i="1"/>
  <c r="U1707" i="1" s="1"/>
  <c r="T1699" i="1"/>
  <c r="U1699" i="1" s="1"/>
  <c r="T1691" i="1"/>
  <c r="U1691" i="1" s="1"/>
  <c r="T1683" i="1"/>
  <c r="U1683" i="1" s="1"/>
  <c r="T1675" i="1"/>
  <c r="U1675" i="1" s="1"/>
  <c r="T1667" i="1"/>
  <c r="U1667" i="1" s="1"/>
  <c r="T1659" i="1"/>
  <c r="U1659" i="1" s="1"/>
  <c r="T1651" i="1"/>
  <c r="U1651" i="1" s="1"/>
  <c r="T1643" i="1"/>
  <c r="U1643" i="1" s="1"/>
  <c r="T1635" i="1"/>
  <c r="U1635" i="1" s="1"/>
  <c r="T1627" i="1"/>
  <c r="U1627" i="1" s="1"/>
  <c r="T1619" i="1"/>
  <c r="U1619" i="1" s="1"/>
  <c r="T1611" i="1"/>
  <c r="U1611" i="1" s="1"/>
  <c r="T1603" i="1"/>
  <c r="U1603" i="1" s="1"/>
  <c r="T1595" i="1"/>
  <c r="U1595" i="1" s="1"/>
  <c r="T1587" i="1"/>
  <c r="U1587" i="1" s="1"/>
  <c r="T1579" i="1"/>
  <c r="U1579" i="1" s="1"/>
  <c r="T1571" i="1"/>
  <c r="U1571" i="1" s="1"/>
  <c r="T1563" i="1"/>
  <c r="U1563" i="1" s="1"/>
  <c r="T1555" i="1"/>
  <c r="U1555" i="1" s="1"/>
  <c r="T1547" i="1"/>
  <c r="U1547" i="1" s="1"/>
  <c r="T1539" i="1"/>
  <c r="U1539" i="1" s="1"/>
  <c r="T1531" i="1"/>
  <c r="U1531" i="1" s="1"/>
  <c r="T1523" i="1"/>
  <c r="U1523" i="1" s="1"/>
  <c r="T1515" i="1"/>
  <c r="U1515" i="1" s="1"/>
  <c r="T1507" i="1"/>
  <c r="U1507" i="1" s="1"/>
  <c r="T1499" i="1"/>
  <c r="U1499" i="1" s="1"/>
  <c r="T1491" i="1"/>
  <c r="U1491" i="1" s="1"/>
  <c r="T1483" i="1"/>
  <c r="U1483" i="1" s="1"/>
  <c r="T1475" i="1"/>
  <c r="U1475" i="1" s="1"/>
  <c r="T1467" i="1"/>
  <c r="U1467" i="1" s="1"/>
  <c r="T1459" i="1"/>
  <c r="U1459" i="1" s="1"/>
  <c r="T1451" i="1"/>
  <c r="U1451" i="1" s="1"/>
  <c r="T1443" i="1"/>
  <c r="U1443" i="1" s="1"/>
  <c r="T1435" i="1"/>
  <c r="U1435" i="1" s="1"/>
  <c r="T1427" i="1"/>
  <c r="U1427" i="1" s="1"/>
  <c r="T1419" i="1"/>
  <c r="U1419" i="1" s="1"/>
  <c r="T1411" i="1"/>
  <c r="U1411" i="1" s="1"/>
  <c r="T1403" i="1"/>
  <c r="U1403" i="1" s="1"/>
  <c r="T1395" i="1"/>
  <c r="U1395" i="1" s="1"/>
  <c r="T1387" i="1"/>
  <c r="U1387" i="1" s="1"/>
  <c r="T1379" i="1"/>
  <c r="U1379" i="1" s="1"/>
  <c r="T1371" i="1"/>
  <c r="U1371" i="1" s="1"/>
  <c r="T1363" i="1"/>
  <c r="U1363" i="1" s="1"/>
  <c r="T1355" i="1"/>
  <c r="U1355" i="1" s="1"/>
  <c r="T1347" i="1"/>
  <c r="U1347" i="1" s="1"/>
  <c r="T1339" i="1"/>
  <c r="U1339" i="1" s="1"/>
  <c r="T1331" i="1"/>
  <c r="U1331" i="1" s="1"/>
  <c r="T1323" i="1"/>
  <c r="U1323" i="1" s="1"/>
  <c r="T1307" i="1"/>
  <c r="U1307" i="1" s="1"/>
  <c r="T1299" i="1"/>
  <c r="U1299" i="1" s="1"/>
  <c r="T1291" i="1"/>
  <c r="U1291" i="1" s="1"/>
  <c r="T1283" i="1"/>
  <c r="U1283" i="1" s="1"/>
  <c r="T1275" i="1"/>
  <c r="U1275" i="1" s="1"/>
  <c r="T1267" i="1"/>
  <c r="U1267" i="1" s="1"/>
  <c r="T1259" i="1"/>
  <c r="U1259" i="1" s="1"/>
  <c r="T1251" i="1"/>
  <c r="U1251" i="1" s="1"/>
  <c r="T1243" i="1"/>
  <c r="U1243" i="1" s="1"/>
  <c r="T1235" i="1"/>
  <c r="U1235" i="1" s="1"/>
  <c r="T1219" i="1"/>
  <c r="U1219" i="1" s="1"/>
  <c r="T1187" i="1"/>
  <c r="U1187" i="1" s="1"/>
  <c r="T1155" i="1"/>
  <c r="U1155" i="1" s="1"/>
  <c r="T1123" i="1"/>
  <c r="U1123" i="1" s="1"/>
  <c r="T1091" i="1"/>
  <c r="U1091" i="1" s="1"/>
  <c r="T1027" i="1"/>
  <c r="U1027" i="1" s="1"/>
  <c r="T995" i="1"/>
  <c r="U995" i="1" s="1"/>
  <c r="T963" i="1"/>
  <c r="U963" i="1" s="1"/>
  <c r="T931" i="1"/>
  <c r="U931" i="1" s="1"/>
  <c r="T899" i="1"/>
  <c r="U899" i="1" s="1"/>
  <c r="T867" i="1"/>
  <c r="U867" i="1" s="1"/>
  <c r="T835" i="1"/>
  <c r="U835" i="1" s="1"/>
  <c r="T771" i="1"/>
  <c r="U771" i="1" s="1"/>
  <c r="T739" i="1"/>
  <c r="U739" i="1" s="1"/>
  <c r="T707" i="1"/>
  <c r="U707" i="1" s="1"/>
  <c r="T675" i="1"/>
  <c r="U675" i="1" s="1"/>
  <c r="T643" i="1"/>
  <c r="U643" i="1" s="1"/>
  <c r="T611" i="1"/>
  <c r="U611" i="1" s="1"/>
  <c r="T579" i="1"/>
  <c r="U579" i="1" s="1"/>
  <c r="T515" i="1"/>
  <c r="U515" i="1" s="1"/>
  <c r="T483" i="1"/>
  <c r="U483" i="1" s="1"/>
  <c r="T451" i="1"/>
  <c r="U451" i="1" s="1"/>
  <c r="T1950" i="1"/>
  <c r="U1950" i="1" s="1"/>
  <c r="T1910" i="1"/>
  <c r="U1910" i="1" s="1"/>
  <c r="T1862" i="1"/>
  <c r="U1862" i="1" s="1"/>
  <c r="T1822" i="1"/>
  <c r="U1822" i="1" s="1"/>
  <c r="T1766" i="1"/>
  <c r="U1766" i="1" s="1"/>
  <c r="T1462" i="1"/>
  <c r="U1462" i="1" s="1"/>
  <c r="T2" i="1"/>
  <c r="U2" i="1" s="1"/>
  <c r="T1986" i="1"/>
  <c r="U1986" i="1" s="1"/>
  <c r="T1962" i="1"/>
  <c r="U1962" i="1" s="1"/>
  <c r="T1946" i="1"/>
  <c r="U1946" i="1" s="1"/>
  <c r="T1922" i="1"/>
  <c r="U1922" i="1" s="1"/>
  <c r="T1898" i="1"/>
  <c r="U1898" i="1" s="1"/>
  <c r="T1882" i="1"/>
  <c r="U1882" i="1" s="1"/>
  <c r="T1874" i="1"/>
  <c r="U1874" i="1" s="1"/>
  <c r="T1866" i="1"/>
  <c r="U1866" i="1" s="1"/>
  <c r="T1858" i="1"/>
  <c r="U1858" i="1" s="1"/>
  <c r="T1850" i="1"/>
  <c r="U1850" i="1" s="1"/>
  <c r="T1842" i="1"/>
  <c r="U1842" i="1" s="1"/>
  <c r="T1834" i="1"/>
  <c r="U1834" i="1" s="1"/>
  <c r="T1826" i="1"/>
  <c r="U1826" i="1" s="1"/>
  <c r="T1818" i="1"/>
  <c r="U1818" i="1" s="1"/>
  <c r="T1810" i="1"/>
  <c r="U1810" i="1" s="1"/>
  <c r="T1802" i="1"/>
  <c r="U1802" i="1" s="1"/>
  <c r="T1794" i="1"/>
  <c r="U1794" i="1" s="1"/>
  <c r="T1786" i="1"/>
  <c r="U1786" i="1" s="1"/>
  <c r="T1778" i="1"/>
  <c r="U1778" i="1" s="1"/>
  <c r="T1770" i="1"/>
  <c r="U1770" i="1" s="1"/>
  <c r="T1762" i="1"/>
  <c r="U1762" i="1" s="1"/>
  <c r="T1754" i="1"/>
  <c r="U1754" i="1" s="1"/>
  <c r="T1746" i="1"/>
  <c r="U1746" i="1" s="1"/>
  <c r="T1738" i="1"/>
  <c r="U1738" i="1" s="1"/>
  <c r="T1730" i="1"/>
  <c r="U1730" i="1" s="1"/>
  <c r="T1722" i="1"/>
  <c r="U1722" i="1" s="1"/>
  <c r="T1714" i="1"/>
  <c r="U1714" i="1" s="1"/>
  <c r="T1706" i="1"/>
  <c r="U1706" i="1" s="1"/>
  <c r="T1698" i="1"/>
  <c r="U1698" i="1" s="1"/>
  <c r="T1682" i="1"/>
  <c r="U1682" i="1" s="1"/>
  <c r="T1674" i="1"/>
  <c r="U1674" i="1" s="1"/>
  <c r="T1666" i="1"/>
  <c r="U1666" i="1" s="1"/>
  <c r="T1658" i="1"/>
  <c r="U1658" i="1" s="1"/>
  <c r="T1650" i="1"/>
  <c r="U1650" i="1" s="1"/>
  <c r="T1642" i="1"/>
  <c r="U1642" i="1" s="1"/>
  <c r="T1634" i="1"/>
  <c r="U1634" i="1" s="1"/>
  <c r="T1626" i="1"/>
  <c r="U1626" i="1" s="1"/>
  <c r="T1618" i="1"/>
  <c r="U1618" i="1" s="1"/>
  <c r="T1610" i="1"/>
  <c r="U1610" i="1" s="1"/>
  <c r="T1602" i="1"/>
  <c r="U1602" i="1" s="1"/>
  <c r="T1594" i="1"/>
  <c r="U1594" i="1" s="1"/>
  <c r="T1586" i="1"/>
  <c r="U1586" i="1" s="1"/>
  <c r="T1578" i="1"/>
  <c r="U1578" i="1" s="1"/>
  <c r="T1570" i="1"/>
  <c r="U1570" i="1" s="1"/>
  <c r="T1562" i="1"/>
  <c r="U1562" i="1" s="1"/>
  <c r="T1554" i="1"/>
  <c r="U1554" i="1" s="1"/>
  <c r="T1546" i="1"/>
  <c r="U1546" i="1" s="1"/>
  <c r="T1538" i="1"/>
  <c r="U1538" i="1" s="1"/>
  <c r="T1530" i="1"/>
  <c r="U1530" i="1" s="1"/>
  <c r="T1522" i="1"/>
  <c r="U1522" i="1" s="1"/>
  <c r="T1514" i="1"/>
  <c r="U1514" i="1" s="1"/>
  <c r="T1506" i="1"/>
  <c r="U1506" i="1" s="1"/>
  <c r="T1498" i="1"/>
  <c r="U1498" i="1" s="1"/>
  <c r="T1490" i="1"/>
  <c r="U1490" i="1" s="1"/>
  <c r="T1482" i="1"/>
  <c r="U1482" i="1" s="1"/>
  <c r="T1474" i="1"/>
  <c r="U1474" i="1" s="1"/>
  <c r="T1466" i="1"/>
  <c r="U1466" i="1" s="1"/>
  <c r="T1458" i="1"/>
  <c r="U1458" i="1" s="1"/>
  <c r="T1450" i="1"/>
  <c r="U1450" i="1" s="1"/>
  <c r="T1442" i="1"/>
  <c r="U1442" i="1" s="1"/>
  <c r="T1434" i="1"/>
  <c r="U1434" i="1" s="1"/>
  <c r="T1426" i="1"/>
  <c r="U1426" i="1" s="1"/>
  <c r="T1418" i="1"/>
  <c r="U1418" i="1" s="1"/>
  <c r="T1410" i="1"/>
  <c r="U1410" i="1" s="1"/>
  <c r="T1402" i="1"/>
  <c r="U1402" i="1" s="1"/>
  <c r="T1394" i="1"/>
  <c r="U1394" i="1" s="1"/>
  <c r="T1386" i="1"/>
  <c r="U1386" i="1" s="1"/>
  <c r="T1378" i="1"/>
  <c r="U1378" i="1" s="1"/>
  <c r="T1370" i="1"/>
  <c r="U1370" i="1" s="1"/>
  <c r="T1362" i="1"/>
  <c r="U1362" i="1" s="1"/>
  <c r="T1354" i="1"/>
  <c r="U1354" i="1" s="1"/>
  <c r="T1346" i="1"/>
  <c r="U1346" i="1" s="1"/>
  <c r="T1338" i="1"/>
  <c r="U1338" i="1" s="1"/>
  <c r="T1330" i="1"/>
  <c r="U1330" i="1" s="1"/>
  <c r="T1322" i="1"/>
  <c r="U1322" i="1" s="1"/>
  <c r="T1314" i="1"/>
  <c r="U1314" i="1" s="1"/>
  <c r="T1306" i="1"/>
  <c r="U1306" i="1" s="1"/>
  <c r="T1298" i="1"/>
  <c r="U1298" i="1" s="1"/>
  <c r="T1290" i="1"/>
  <c r="U1290" i="1" s="1"/>
  <c r="T1282" i="1"/>
  <c r="U1282" i="1" s="1"/>
  <c r="T1274" i="1"/>
  <c r="U1274" i="1" s="1"/>
  <c r="T1266" i="1"/>
  <c r="U1266" i="1" s="1"/>
  <c r="T1258" i="1"/>
  <c r="U1258" i="1" s="1"/>
  <c r="T1250" i="1"/>
  <c r="U1250" i="1" s="1"/>
  <c r="T1242" i="1"/>
  <c r="U1242" i="1" s="1"/>
  <c r="T1234" i="1"/>
  <c r="U1234" i="1" s="1"/>
  <c r="T1226" i="1"/>
  <c r="U1226" i="1" s="1"/>
  <c r="T1218" i="1"/>
  <c r="U1218" i="1" s="1"/>
  <c r="T1210" i="1"/>
  <c r="U1210" i="1" s="1"/>
  <c r="T1202" i="1"/>
  <c r="U1202" i="1" s="1"/>
  <c r="T1194" i="1"/>
  <c r="U1194" i="1" s="1"/>
  <c r="T1186" i="1"/>
  <c r="U1186" i="1" s="1"/>
  <c r="T1178" i="1"/>
  <c r="U1178" i="1" s="1"/>
  <c r="T1170" i="1"/>
  <c r="U1170" i="1" s="1"/>
  <c r="T1162" i="1"/>
  <c r="U1162" i="1" s="1"/>
  <c r="T1154" i="1"/>
  <c r="U1154" i="1" s="1"/>
  <c r="T1146" i="1"/>
  <c r="U1146" i="1" s="1"/>
  <c r="T1138" i="1"/>
  <c r="U1138" i="1" s="1"/>
  <c r="T1130" i="1"/>
  <c r="U1130" i="1" s="1"/>
  <c r="T1122" i="1"/>
  <c r="U1122" i="1" s="1"/>
  <c r="T1114" i="1"/>
  <c r="U1114" i="1" s="1"/>
  <c r="T1106" i="1"/>
  <c r="U1106" i="1" s="1"/>
  <c r="T1098" i="1"/>
  <c r="U1098" i="1" s="1"/>
  <c r="T1090" i="1"/>
  <c r="U1090" i="1" s="1"/>
  <c r="T1082" i="1"/>
  <c r="U1082" i="1" s="1"/>
  <c r="T1074" i="1"/>
  <c r="U1074" i="1" s="1"/>
  <c r="T1066" i="1"/>
  <c r="U1066" i="1" s="1"/>
  <c r="T1058" i="1"/>
  <c r="U1058" i="1" s="1"/>
  <c r="T1050" i="1"/>
  <c r="U1050" i="1" s="1"/>
  <c r="T1042" i="1"/>
  <c r="U1042" i="1" s="1"/>
  <c r="T1034" i="1"/>
  <c r="U1034" i="1" s="1"/>
  <c r="T1026" i="1"/>
  <c r="U1026" i="1" s="1"/>
  <c r="T1018" i="1"/>
  <c r="U1018" i="1" s="1"/>
  <c r="T1010" i="1"/>
  <c r="U1010" i="1" s="1"/>
  <c r="T1002" i="1"/>
  <c r="U1002" i="1" s="1"/>
  <c r="T994" i="1"/>
  <c r="U994" i="1" s="1"/>
  <c r="T986" i="1"/>
  <c r="U986" i="1" s="1"/>
  <c r="T978" i="1"/>
  <c r="U978" i="1" s="1"/>
  <c r="T970" i="1"/>
  <c r="U970" i="1" s="1"/>
  <c r="T962" i="1"/>
  <c r="U962" i="1" s="1"/>
  <c r="T954" i="1"/>
  <c r="U954" i="1" s="1"/>
  <c r="T946" i="1"/>
  <c r="U946" i="1" s="1"/>
  <c r="T938" i="1"/>
  <c r="U938" i="1" s="1"/>
  <c r="T930" i="1"/>
  <c r="U930" i="1" s="1"/>
  <c r="T922" i="1"/>
  <c r="U922" i="1" s="1"/>
  <c r="T914" i="1"/>
  <c r="U914" i="1" s="1"/>
  <c r="T906" i="1"/>
  <c r="U906" i="1" s="1"/>
  <c r="T898" i="1"/>
  <c r="U898" i="1" s="1"/>
  <c r="T890" i="1"/>
  <c r="U890" i="1" s="1"/>
  <c r="T882" i="1"/>
  <c r="U882" i="1" s="1"/>
  <c r="T874" i="1"/>
  <c r="U874" i="1" s="1"/>
  <c r="T866" i="1"/>
  <c r="U866" i="1" s="1"/>
  <c r="T858" i="1"/>
  <c r="U858" i="1" s="1"/>
  <c r="T850" i="1"/>
  <c r="U850" i="1" s="1"/>
  <c r="T842" i="1"/>
  <c r="U842" i="1" s="1"/>
  <c r="T834" i="1"/>
  <c r="U834" i="1" s="1"/>
  <c r="T826" i="1"/>
  <c r="U826" i="1" s="1"/>
  <c r="T818" i="1"/>
  <c r="U818" i="1" s="1"/>
  <c r="T810" i="1"/>
  <c r="U810" i="1" s="1"/>
  <c r="T802" i="1"/>
  <c r="U802" i="1" s="1"/>
  <c r="T794" i="1"/>
  <c r="U794" i="1" s="1"/>
  <c r="T786" i="1"/>
  <c r="U786" i="1" s="1"/>
  <c r="T778" i="1"/>
  <c r="U778" i="1" s="1"/>
  <c r="T770" i="1"/>
  <c r="U770" i="1" s="1"/>
  <c r="T762" i="1"/>
  <c r="U762" i="1" s="1"/>
  <c r="T754" i="1"/>
  <c r="U754" i="1" s="1"/>
  <c r="T746" i="1"/>
  <c r="U746" i="1" s="1"/>
  <c r="T738" i="1"/>
  <c r="U738" i="1" s="1"/>
  <c r="T730" i="1"/>
  <c r="U730" i="1" s="1"/>
  <c r="T722" i="1"/>
  <c r="U722" i="1" s="1"/>
  <c r="T714" i="1"/>
  <c r="U714" i="1" s="1"/>
  <c r="T706" i="1"/>
  <c r="U706" i="1" s="1"/>
  <c r="T698" i="1"/>
  <c r="U698" i="1" s="1"/>
  <c r="T690" i="1"/>
  <c r="U690" i="1" s="1"/>
  <c r="T682" i="1"/>
  <c r="U682" i="1" s="1"/>
  <c r="T674" i="1"/>
  <c r="U674" i="1" s="1"/>
  <c r="T666" i="1"/>
  <c r="U666" i="1" s="1"/>
  <c r="T658" i="1"/>
  <c r="U658" i="1" s="1"/>
  <c r="T650" i="1"/>
  <c r="U650" i="1" s="1"/>
  <c r="T642" i="1"/>
  <c r="U642" i="1" s="1"/>
  <c r="T634" i="1"/>
  <c r="U634" i="1" s="1"/>
  <c r="T626" i="1"/>
  <c r="U626" i="1" s="1"/>
  <c r="T618" i="1"/>
  <c r="U618" i="1" s="1"/>
  <c r="T610" i="1"/>
  <c r="U610" i="1" s="1"/>
  <c r="T602" i="1"/>
  <c r="U602" i="1" s="1"/>
  <c r="T594" i="1"/>
  <c r="U594" i="1" s="1"/>
  <c r="T586" i="1"/>
  <c r="U586" i="1" s="1"/>
  <c r="T578" i="1"/>
  <c r="U578" i="1" s="1"/>
  <c r="T570" i="1"/>
  <c r="U570" i="1" s="1"/>
  <c r="T562" i="1"/>
  <c r="U562" i="1" s="1"/>
  <c r="T554" i="1"/>
  <c r="U554" i="1" s="1"/>
  <c r="T546" i="1"/>
  <c r="U546" i="1" s="1"/>
  <c r="T538" i="1"/>
  <c r="U538" i="1" s="1"/>
  <c r="T530" i="1"/>
  <c r="U530" i="1" s="1"/>
  <c r="T522" i="1"/>
  <c r="U522" i="1" s="1"/>
  <c r="T514" i="1"/>
  <c r="U514" i="1" s="1"/>
  <c r="T506" i="1"/>
  <c r="U506" i="1" s="1"/>
  <c r="T498" i="1"/>
  <c r="U498" i="1" s="1"/>
  <c r="T490" i="1"/>
  <c r="U490" i="1" s="1"/>
  <c r="T482" i="1"/>
  <c r="U482" i="1" s="1"/>
  <c r="T474" i="1"/>
  <c r="U474" i="1" s="1"/>
  <c r="T466" i="1"/>
  <c r="U466" i="1" s="1"/>
  <c r="T458" i="1"/>
  <c r="U458" i="1" s="1"/>
  <c r="T450" i="1"/>
  <c r="U450" i="1" s="1"/>
  <c r="T442" i="1"/>
  <c r="U442" i="1" s="1"/>
  <c r="T434" i="1"/>
  <c r="U434" i="1" s="1"/>
  <c r="T426" i="1"/>
  <c r="U426" i="1" s="1"/>
  <c r="T418" i="1"/>
  <c r="U418" i="1" s="1"/>
  <c r="T410" i="1"/>
  <c r="U410" i="1" s="1"/>
  <c r="T402" i="1"/>
  <c r="U402" i="1" s="1"/>
  <c r="T394" i="1"/>
  <c r="U394" i="1" s="1"/>
  <c r="T386" i="1"/>
  <c r="U386" i="1" s="1"/>
  <c r="T378" i="1"/>
  <c r="U378" i="1" s="1"/>
  <c r="T370" i="1"/>
  <c r="U370" i="1" s="1"/>
  <c r="T362" i="1"/>
  <c r="U362" i="1" s="1"/>
  <c r="T354" i="1"/>
  <c r="U354" i="1" s="1"/>
  <c r="T346" i="1"/>
  <c r="U346" i="1" s="1"/>
  <c r="T338" i="1"/>
  <c r="U338" i="1" s="1"/>
  <c r="T330" i="1"/>
  <c r="U330" i="1" s="1"/>
  <c r="T322" i="1"/>
  <c r="U322" i="1" s="1"/>
  <c r="T314" i="1"/>
  <c r="U314" i="1" s="1"/>
  <c r="T306" i="1"/>
  <c r="U306" i="1" s="1"/>
  <c r="T298" i="1"/>
  <c r="U298" i="1" s="1"/>
  <c r="T290" i="1"/>
  <c r="U290" i="1" s="1"/>
  <c r="T282" i="1"/>
  <c r="U282" i="1" s="1"/>
  <c r="T274" i="1"/>
  <c r="U274" i="1" s="1"/>
  <c r="T266" i="1"/>
  <c r="U266" i="1" s="1"/>
  <c r="T258" i="1"/>
  <c r="U258" i="1" s="1"/>
  <c r="T250" i="1"/>
  <c r="U250" i="1" s="1"/>
  <c r="T242" i="1"/>
  <c r="U242" i="1" s="1"/>
  <c r="T234" i="1"/>
  <c r="U234" i="1" s="1"/>
  <c r="T226" i="1"/>
  <c r="U226" i="1" s="1"/>
  <c r="T218" i="1"/>
  <c r="U218" i="1" s="1"/>
  <c r="T210" i="1"/>
  <c r="U210" i="1" s="1"/>
  <c r="T202" i="1"/>
  <c r="U202" i="1" s="1"/>
  <c r="T194" i="1"/>
  <c r="U194" i="1" s="1"/>
  <c r="T186" i="1"/>
  <c r="U186" i="1" s="1"/>
  <c r="T178" i="1"/>
  <c r="U178" i="1" s="1"/>
  <c r="T170" i="1"/>
  <c r="U170" i="1" s="1"/>
  <c r="T162" i="1"/>
  <c r="U162" i="1" s="1"/>
  <c r="T154" i="1"/>
  <c r="U154" i="1" s="1"/>
  <c r="T146" i="1"/>
  <c r="U146" i="1" s="1"/>
  <c r="T138" i="1"/>
  <c r="U138" i="1" s="1"/>
  <c r="T130" i="1"/>
  <c r="U130" i="1" s="1"/>
  <c r="T122" i="1"/>
  <c r="U122" i="1" s="1"/>
  <c r="T114" i="1"/>
  <c r="U114" i="1" s="1"/>
  <c r="T106" i="1"/>
  <c r="U106" i="1" s="1"/>
  <c r="T98" i="1"/>
  <c r="U98" i="1" s="1"/>
  <c r="T90" i="1"/>
  <c r="U90" i="1" s="1"/>
  <c r="T82" i="1"/>
  <c r="U82" i="1" s="1"/>
  <c r="T74" i="1"/>
  <c r="U74" i="1" s="1"/>
  <c r="T66" i="1"/>
  <c r="U66" i="1" s="1"/>
  <c r="T58" i="1"/>
  <c r="U58" i="1" s="1"/>
  <c r="T50" i="1"/>
  <c r="U50" i="1" s="1"/>
  <c r="T42" i="1"/>
  <c r="U42" i="1" s="1"/>
  <c r="T34" i="1"/>
  <c r="U34" i="1" s="1"/>
  <c r="T26" i="1"/>
  <c r="U26" i="1" s="1"/>
  <c r="T18" i="1"/>
  <c r="U18" i="1" s="1"/>
  <c r="T10" i="1"/>
  <c r="U10" i="1" s="1"/>
  <c r="T1958" i="1"/>
  <c r="U1958" i="1" s="1"/>
  <c r="T1854" i="1"/>
  <c r="U1854" i="1" s="1"/>
  <c r="T1542" i="1"/>
  <c r="U1542" i="1" s="1"/>
  <c r="T1994" i="1"/>
  <c r="U1994" i="1" s="1"/>
  <c r="T1978" i="1"/>
  <c r="U1978" i="1" s="1"/>
  <c r="T1970" i="1"/>
  <c r="U1970" i="1" s="1"/>
  <c r="T1954" i="1"/>
  <c r="U1954" i="1" s="1"/>
  <c r="T1938" i="1"/>
  <c r="U1938" i="1" s="1"/>
  <c r="T1914" i="1"/>
  <c r="U1914" i="1" s="1"/>
  <c r="T1890" i="1"/>
  <c r="U1890" i="1" s="1"/>
  <c r="T1690" i="1"/>
  <c r="U1690" i="1" s="1"/>
  <c r="T2001" i="1"/>
  <c r="U2001" i="1" s="1"/>
  <c r="T1993" i="1"/>
  <c r="U1993" i="1" s="1"/>
  <c r="T1985" i="1"/>
  <c r="U1985" i="1" s="1"/>
  <c r="T1977" i="1"/>
  <c r="U1977" i="1" s="1"/>
  <c r="T1969" i="1"/>
  <c r="U1969" i="1" s="1"/>
  <c r="T1961" i="1"/>
  <c r="U1961" i="1" s="1"/>
  <c r="T1953" i="1"/>
  <c r="U1953" i="1" s="1"/>
  <c r="T1945" i="1"/>
  <c r="U1945" i="1" s="1"/>
  <c r="T1937" i="1"/>
  <c r="U1937" i="1" s="1"/>
  <c r="T1929" i="1"/>
  <c r="U1929" i="1" s="1"/>
  <c r="T1921" i="1"/>
  <c r="U1921" i="1" s="1"/>
  <c r="T1913" i="1"/>
  <c r="U1913" i="1" s="1"/>
  <c r="T1905" i="1"/>
  <c r="U1905" i="1" s="1"/>
  <c r="T1897" i="1"/>
  <c r="U1897" i="1" s="1"/>
  <c r="T1889" i="1"/>
  <c r="U1889" i="1" s="1"/>
  <c r="T1881" i="1"/>
  <c r="U1881" i="1" s="1"/>
  <c r="T1873" i="1"/>
  <c r="U1873" i="1" s="1"/>
  <c r="T1865" i="1"/>
  <c r="U1865" i="1" s="1"/>
  <c r="T1857" i="1"/>
  <c r="U1857" i="1" s="1"/>
  <c r="T1849" i="1"/>
  <c r="U1849" i="1" s="1"/>
  <c r="T1841" i="1"/>
  <c r="U1841" i="1" s="1"/>
  <c r="T1833" i="1"/>
  <c r="U1833" i="1" s="1"/>
  <c r="T1825" i="1"/>
  <c r="U1825" i="1" s="1"/>
  <c r="T1817" i="1"/>
  <c r="U1817" i="1" s="1"/>
  <c r="T1809" i="1"/>
  <c r="U1809" i="1" s="1"/>
  <c r="T1801" i="1"/>
  <c r="U1801" i="1" s="1"/>
  <c r="T1793" i="1"/>
  <c r="U1793" i="1" s="1"/>
  <c r="T1785" i="1"/>
  <c r="U1785" i="1" s="1"/>
  <c r="T1777" i="1"/>
  <c r="U1777" i="1" s="1"/>
  <c r="T1769" i="1"/>
  <c r="U1769" i="1" s="1"/>
  <c r="T1761" i="1"/>
  <c r="U1761" i="1" s="1"/>
  <c r="T1753" i="1"/>
  <c r="U1753" i="1" s="1"/>
  <c r="T1745" i="1"/>
  <c r="U1745" i="1" s="1"/>
  <c r="T1737" i="1"/>
  <c r="U1737" i="1" s="1"/>
  <c r="T1729" i="1"/>
  <c r="U1729" i="1" s="1"/>
  <c r="T1721" i="1"/>
  <c r="U1721" i="1" s="1"/>
  <c r="T1713" i="1"/>
  <c r="U1713" i="1" s="1"/>
  <c r="T1705" i="1"/>
  <c r="U1705" i="1" s="1"/>
  <c r="T1697" i="1"/>
  <c r="U1697" i="1" s="1"/>
  <c r="T1689" i="1"/>
  <c r="U1689" i="1" s="1"/>
  <c r="T1681" i="1"/>
  <c r="U1681" i="1" s="1"/>
  <c r="T1673" i="1"/>
  <c r="U1673" i="1" s="1"/>
  <c r="T1665" i="1"/>
  <c r="U1665" i="1" s="1"/>
  <c r="T1657" i="1"/>
  <c r="U1657" i="1" s="1"/>
  <c r="T1649" i="1"/>
  <c r="U1649" i="1" s="1"/>
  <c r="T1641" i="1"/>
  <c r="U1641" i="1" s="1"/>
  <c r="T1633" i="1"/>
  <c r="U1633" i="1" s="1"/>
  <c r="T1625" i="1"/>
  <c r="U1625" i="1" s="1"/>
  <c r="T1617" i="1"/>
  <c r="U1617" i="1" s="1"/>
  <c r="T1609" i="1"/>
  <c r="U1609" i="1" s="1"/>
  <c r="T1601" i="1"/>
  <c r="U1601" i="1" s="1"/>
  <c r="T1593" i="1"/>
  <c r="U1593" i="1" s="1"/>
  <c r="T1585" i="1"/>
  <c r="U1585" i="1" s="1"/>
  <c r="T1577" i="1"/>
  <c r="U1577" i="1" s="1"/>
  <c r="T1569" i="1"/>
  <c r="U1569" i="1" s="1"/>
  <c r="T1561" i="1"/>
  <c r="U1561" i="1" s="1"/>
  <c r="T1553" i="1"/>
  <c r="U1553" i="1" s="1"/>
  <c r="T1545" i="1"/>
  <c r="U1545" i="1" s="1"/>
  <c r="T1537" i="1"/>
  <c r="U1537" i="1" s="1"/>
  <c r="T1529" i="1"/>
  <c r="U1529" i="1" s="1"/>
  <c r="T1521" i="1"/>
  <c r="U1521" i="1" s="1"/>
  <c r="T1513" i="1"/>
  <c r="U1513" i="1" s="1"/>
  <c r="T1505" i="1"/>
  <c r="U1505" i="1" s="1"/>
  <c r="T1497" i="1"/>
  <c r="U1497" i="1" s="1"/>
  <c r="T1489" i="1"/>
  <c r="U1489" i="1" s="1"/>
  <c r="T1481" i="1"/>
  <c r="U1481" i="1" s="1"/>
  <c r="T1473" i="1"/>
  <c r="U1473" i="1" s="1"/>
  <c r="T1465" i="1"/>
  <c r="U1465" i="1" s="1"/>
  <c r="T1457" i="1"/>
  <c r="U1457" i="1" s="1"/>
  <c r="T1449" i="1"/>
  <c r="U1449" i="1" s="1"/>
  <c r="T1441" i="1"/>
  <c r="U1441" i="1" s="1"/>
  <c r="T1433" i="1"/>
  <c r="U1433" i="1" s="1"/>
  <c r="T1425" i="1"/>
  <c r="U1425" i="1" s="1"/>
  <c r="T1417" i="1"/>
  <c r="U1417" i="1" s="1"/>
  <c r="T1409" i="1"/>
  <c r="U1409" i="1" s="1"/>
  <c r="T1401" i="1"/>
  <c r="U1401" i="1" s="1"/>
  <c r="T1393" i="1"/>
  <c r="U1393" i="1" s="1"/>
  <c r="T1385" i="1"/>
  <c r="U1385" i="1" s="1"/>
  <c r="T1377" i="1"/>
  <c r="U1377" i="1" s="1"/>
  <c r="T1369" i="1"/>
  <c r="U1369" i="1" s="1"/>
  <c r="T1361" i="1"/>
  <c r="U1361" i="1" s="1"/>
  <c r="T1353" i="1"/>
  <c r="U1353" i="1" s="1"/>
  <c r="T1345" i="1"/>
  <c r="U1345" i="1" s="1"/>
  <c r="T1337" i="1"/>
  <c r="U1337" i="1" s="1"/>
  <c r="T1966" i="1"/>
  <c r="U1966" i="1" s="1"/>
  <c r="T1894" i="1"/>
  <c r="U1894" i="1" s="1"/>
  <c r="T1830" i="1"/>
  <c r="U1830" i="1" s="1"/>
  <c r="T1750" i="1"/>
  <c r="U1750" i="1" s="1"/>
  <c r="T1478" i="1"/>
  <c r="U1478" i="1" s="1"/>
  <c r="T1930" i="1"/>
  <c r="U1930" i="1" s="1"/>
  <c r="T2000" i="1"/>
  <c r="U2000" i="1" s="1"/>
  <c r="T1992" i="1"/>
  <c r="U1992" i="1" s="1"/>
  <c r="T1984" i="1"/>
  <c r="U1984" i="1" s="1"/>
  <c r="T1976" i="1"/>
  <c r="U1976" i="1" s="1"/>
  <c r="T1968" i="1"/>
  <c r="U1968" i="1" s="1"/>
  <c r="T1960" i="1"/>
  <c r="U1960" i="1" s="1"/>
  <c r="T1952" i="1"/>
  <c r="U1952" i="1" s="1"/>
  <c r="T1944" i="1"/>
  <c r="U1944" i="1" s="1"/>
  <c r="T1936" i="1"/>
  <c r="U1936" i="1" s="1"/>
  <c r="T1928" i="1"/>
  <c r="U1928" i="1" s="1"/>
  <c r="T1920" i="1"/>
  <c r="U1920" i="1" s="1"/>
  <c r="T1912" i="1"/>
  <c r="U1912" i="1" s="1"/>
  <c r="T1904" i="1"/>
  <c r="U1904" i="1" s="1"/>
  <c r="T1896" i="1"/>
  <c r="U1896" i="1" s="1"/>
  <c r="T1888" i="1"/>
  <c r="U1888" i="1" s="1"/>
  <c r="T1880" i="1"/>
  <c r="U1880" i="1" s="1"/>
  <c r="T1872" i="1"/>
  <c r="U1872" i="1" s="1"/>
  <c r="T1864" i="1"/>
  <c r="U1864" i="1" s="1"/>
  <c r="T1856" i="1"/>
  <c r="U1856" i="1" s="1"/>
  <c r="T1848" i="1"/>
  <c r="U1848" i="1" s="1"/>
  <c r="T1840" i="1"/>
  <c r="U1840" i="1" s="1"/>
  <c r="T1832" i="1"/>
  <c r="U1832" i="1" s="1"/>
  <c r="T1824" i="1"/>
  <c r="U1824" i="1" s="1"/>
  <c r="T1816" i="1"/>
  <c r="U1816" i="1" s="1"/>
  <c r="T1808" i="1"/>
  <c r="U1808" i="1" s="1"/>
  <c r="T1800" i="1"/>
  <c r="U1800" i="1" s="1"/>
  <c r="T1792" i="1"/>
  <c r="U1792" i="1" s="1"/>
  <c r="T1784" i="1"/>
  <c r="U1784" i="1" s="1"/>
  <c r="T1776" i="1"/>
  <c r="U1776" i="1" s="1"/>
  <c r="T1768" i="1"/>
  <c r="U1768" i="1" s="1"/>
  <c r="T1760" i="1"/>
  <c r="U1760" i="1" s="1"/>
  <c r="T1752" i="1"/>
  <c r="U1752" i="1" s="1"/>
  <c r="T1744" i="1"/>
  <c r="U1744" i="1" s="1"/>
  <c r="T1736" i="1"/>
  <c r="U1736" i="1" s="1"/>
  <c r="T1728" i="1"/>
  <c r="U1728" i="1" s="1"/>
  <c r="T1720" i="1"/>
  <c r="U1720" i="1" s="1"/>
  <c r="T1712" i="1"/>
  <c r="U1712" i="1" s="1"/>
  <c r="T1704" i="1"/>
  <c r="U1704" i="1" s="1"/>
  <c r="T1696" i="1"/>
  <c r="U1696" i="1" s="1"/>
  <c r="T1688" i="1"/>
  <c r="U1688" i="1" s="1"/>
  <c r="T1680" i="1"/>
  <c r="U1680" i="1" s="1"/>
  <c r="T1672" i="1"/>
  <c r="U1672" i="1" s="1"/>
  <c r="T1664" i="1"/>
  <c r="U1664" i="1" s="1"/>
  <c r="T1656" i="1"/>
  <c r="U1656" i="1" s="1"/>
  <c r="T1648" i="1"/>
  <c r="U1648" i="1" s="1"/>
  <c r="T1640" i="1"/>
  <c r="U1640" i="1" s="1"/>
  <c r="T1632" i="1"/>
  <c r="U1632" i="1" s="1"/>
  <c r="T1624" i="1"/>
  <c r="U1624" i="1" s="1"/>
  <c r="T1616" i="1"/>
  <c r="U1616" i="1" s="1"/>
  <c r="T1608" i="1"/>
  <c r="U1608" i="1" s="1"/>
  <c r="T1600" i="1"/>
  <c r="U1600" i="1" s="1"/>
  <c r="T1592" i="1"/>
  <c r="U1592" i="1" s="1"/>
  <c r="T1584" i="1"/>
  <c r="U1584" i="1" s="1"/>
  <c r="T1576" i="1"/>
  <c r="U1576" i="1" s="1"/>
  <c r="T1568" i="1"/>
  <c r="U1568" i="1" s="1"/>
  <c r="T1560" i="1"/>
  <c r="U1560" i="1" s="1"/>
  <c r="T1552" i="1"/>
  <c r="U1552" i="1" s="1"/>
  <c r="T1544" i="1"/>
  <c r="U1544" i="1" s="1"/>
  <c r="T1536" i="1"/>
  <c r="U1536" i="1" s="1"/>
  <c r="T1528" i="1"/>
  <c r="U1528" i="1" s="1"/>
  <c r="T1520" i="1"/>
  <c r="U1520" i="1" s="1"/>
  <c r="T1512" i="1"/>
  <c r="U1512" i="1" s="1"/>
  <c r="T1504" i="1"/>
  <c r="U1504" i="1" s="1"/>
  <c r="T1496" i="1"/>
  <c r="U1496" i="1" s="1"/>
  <c r="T1488" i="1"/>
  <c r="U1488" i="1" s="1"/>
  <c r="T1480" i="1"/>
  <c r="U1480" i="1" s="1"/>
  <c r="T1472" i="1"/>
  <c r="U1472" i="1" s="1"/>
  <c r="T1464" i="1"/>
  <c r="U1464" i="1" s="1"/>
  <c r="T1456" i="1"/>
  <c r="U1456" i="1" s="1"/>
  <c r="T1448" i="1"/>
  <c r="U1448" i="1" s="1"/>
  <c r="T1440" i="1"/>
  <c r="U1440" i="1" s="1"/>
  <c r="T1432" i="1"/>
  <c r="U1432" i="1" s="1"/>
  <c r="T1424" i="1"/>
  <c r="U1424" i="1" s="1"/>
  <c r="T1416" i="1"/>
  <c r="U1416" i="1" s="1"/>
  <c r="T1408" i="1"/>
  <c r="U1408" i="1" s="1"/>
  <c r="T1400" i="1"/>
  <c r="U1400" i="1" s="1"/>
  <c r="T1392" i="1"/>
  <c r="U1392" i="1" s="1"/>
  <c r="T1384" i="1"/>
  <c r="U1384" i="1" s="1"/>
  <c r="T1376" i="1"/>
  <c r="U1376" i="1" s="1"/>
  <c r="T1368" i="1"/>
  <c r="U1368" i="1" s="1"/>
  <c r="T1360" i="1"/>
  <c r="U1360" i="1" s="1"/>
  <c r="T1352" i="1"/>
  <c r="U1352" i="1" s="1"/>
  <c r="T1344" i="1"/>
  <c r="U1344" i="1" s="1"/>
  <c r="T1336" i="1"/>
  <c r="U1336" i="1" s="1"/>
  <c r="T1328" i="1"/>
  <c r="U1328" i="1" s="1"/>
  <c r="T1320" i="1"/>
  <c r="U1320" i="1" s="1"/>
  <c r="T1312" i="1"/>
  <c r="U1312" i="1" s="1"/>
  <c r="T1304" i="1"/>
  <c r="U1304" i="1" s="1"/>
  <c r="T1296" i="1"/>
  <c r="U1296" i="1" s="1"/>
  <c r="T1288" i="1"/>
  <c r="U1288" i="1" s="1"/>
  <c r="T1280" i="1"/>
  <c r="U1280" i="1" s="1"/>
  <c r="T1272" i="1"/>
  <c r="U1272" i="1" s="1"/>
  <c r="T1264" i="1"/>
  <c r="U1264" i="1" s="1"/>
  <c r="T1256" i="1"/>
  <c r="U1256" i="1" s="1"/>
  <c r="T1248" i="1"/>
  <c r="U1248" i="1" s="1"/>
  <c r="T1998" i="1"/>
  <c r="U1998" i="1" s="1"/>
  <c r="T1878" i="1"/>
  <c r="U1878" i="1" s="1"/>
  <c r="T1558" i="1"/>
  <c r="U1558" i="1" s="1"/>
  <c r="T1906" i="1"/>
  <c r="U1906" i="1" s="1"/>
  <c r="T1991" i="1"/>
  <c r="U1991" i="1" s="1"/>
  <c r="T1975" i="1"/>
  <c r="U1975" i="1" s="1"/>
  <c r="T1959" i="1"/>
  <c r="U1959" i="1" s="1"/>
  <c r="T1943" i="1"/>
  <c r="U1943" i="1" s="1"/>
  <c r="T1935" i="1"/>
  <c r="U1935" i="1" s="1"/>
  <c r="T1927" i="1"/>
  <c r="U1927" i="1" s="1"/>
  <c r="T1919" i="1"/>
  <c r="U1919" i="1" s="1"/>
  <c r="T1911" i="1"/>
  <c r="U1911" i="1" s="1"/>
  <c r="T1903" i="1"/>
  <c r="U1903" i="1" s="1"/>
  <c r="T1895" i="1"/>
  <c r="U1895" i="1" s="1"/>
  <c r="T1887" i="1"/>
  <c r="U1887" i="1" s="1"/>
  <c r="T1879" i="1"/>
  <c r="U1879" i="1" s="1"/>
  <c r="T1871" i="1"/>
  <c r="U1871" i="1" s="1"/>
  <c r="T1863" i="1"/>
  <c r="U1863" i="1" s="1"/>
  <c r="T1855" i="1"/>
  <c r="U1855" i="1" s="1"/>
  <c r="T1847" i="1"/>
  <c r="U1847" i="1" s="1"/>
  <c r="T1839" i="1"/>
  <c r="U1839" i="1" s="1"/>
  <c r="T1831" i="1"/>
  <c r="U1831" i="1" s="1"/>
  <c r="T1823" i="1"/>
  <c r="U1823" i="1" s="1"/>
  <c r="T1815" i="1"/>
  <c r="U1815" i="1" s="1"/>
  <c r="T1807" i="1"/>
  <c r="U1807" i="1" s="1"/>
  <c r="T1799" i="1"/>
  <c r="U1799" i="1" s="1"/>
  <c r="T1791" i="1"/>
  <c r="U1791" i="1" s="1"/>
  <c r="T1783" i="1"/>
  <c r="U1783" i="1" s="1"/>
  <c r="T1775" i="1"/>
  <c r="U1775" i="1" s="1"/>
  <c r="T1767" i="1"/>
  <c r="U1767" i="1" s="1"/>
  <c r="T1759" i="1"/>
  <c r="U1759" i="1" s="1"/>
  <c r="T1751" i="1"/>
  <c r="U1751" i="1" s="1"/>
  <c r="T1743" i="1"/>
  <c r="U1743" i="1" s="1"/>
  <c r="T1735" i="1"/>
  <c r="U1735" i="1" s="1"/>
  <c r="T1727" i="1"/>
  <c r="U1727" i="1" s="1"/>
  <c r="T1719" i="1"/>
  <c r="U1719" i="1" s="1"/>
  <c r="T1711" i="1"/>
  <c r="U1711" i="1" s="1"/>
  <c r="T1703" i="1"/>
  <c r="U1703" i="1" s="1"/>
  <c r="T1695" i="1"/>
  <c r="U1695" i="1" s="1"/>
  <c r="T1687" i="1"/>
  <c r="U1687" i="1" s="1"/>
  <c r="T1679" i="1"/>
  <c r="U1679" i="1" s="1"/>
  <c r="T1671" i="1"/>
  <c r="U1671" i="1" s="1"/>
  <c r="T1663" i="1"/>
  <c r="U1663" i="1" s="1"/>
  <c r="T1655" i="1"/>
  <c r="U1655" i="1" s="1"/>
  <c r="T1647" i="1"/>
  <c r="U1647" i="1" s="1"/>
  <c r="T1639" i="1"/>
  <c r="U1639" i="1" s="1"/>
  <c r="T1631" i="1"/>
  <c r="U1631" i="1" s="1"/>
  <c r="T1623" i="1"/>
  <c r="U1623" i="1" s="1"/>
  <c r="T1615" i="1"/>
  <c r="U1615" i="1" s="1"/>
  <c r="T1607" i="1"/>
  <c r="U1607" i="1" s="1"/>
  <c r="T1599" i="1"/>
  <c r="U1599" i="1" s="1"/>
  <c r="T1591" i="1"/>
  <c r="U1591" i="1" s="1"/>
  <c r="T1583" i="1"/>
  <c r="U1583" i="1" s="1"/>
  <c r="T1575" i="1"/>
  <c r="U1575" i="1" s="1"/>
  <c r="T1567" i="1"/>
  <c r="U1567" i="1" s="1"/>
  <c r="T1559" i="1"/>
  <c r="U1559" i="1" s="1"/>
  <c r="T1551" i="1"/>
  <c r="U1551" i="1" s="1"/>
  <c r="T1543" i="1"/>
  <c r="U1543" i="1" s="1"/>
  <c r="T1535" i="1"/>
  <c r="U1535" i="1" s="1"/>
  <c r="T1527" i="1"/>
  <c r="U1527" i="1" s="1"/>
  <c r="T1519" i="1"/>
  <c r="U1519" i="1" s="1"/>
  <c r="T1511" i="1"/>
  <c r="U1511" i="1" s="1"/>
  <c r="T1503" i="1"/>
  <c r="U1503" i="1" s="1"/>
  <c r="T1495" i="1"/>
  <c r="U1495" i="1" s="1"/>
  <c r="T1487" i="1"/>
  <c r="U1487" i="1" s="1"/>
  <c r="T1479" i="1"/>
  <c r="U1479" i="1" s="1"/>
  <c r="T1471" i="1"/>
  <c r="U1471" i="1" s="1"/>
  <c r="T1463" i="1"/>
  <c r="U1463" i="1" s="1"/>
  <c r="T1455" i="1"/>
  <c r="U1455" i="1" s="1"/>
  <c r="T1447" i="1"/>
  <c r="U1447" i="1" s="1"/>
  <c r="T1439" i="1"/>
  <c r="U1439" i="1" s="1"/>
  <c r="T1431" i="1"/>
  <c r="U1431" i="1" s="1"/>
  <c r="T1423" i="1"/>
  <c r="U1423" i="1" s="1"/>
  <c r="T1415" i="1"/>
  <c r="U1415" i="1" s="1"/>
  <c r="T1407" i="1"/>
  <c r="U1407" i="1" s="1"/>
  <c r="T1399" i="1"/>
  <c r="U1399" i="1" s="1"/>
  <c r="T1391" i="1"/>
  <c r="U1391" i="1" s="1"/>
  <c r="T1383" i="1"/>
  <c r="U1383" i="1" s="1"/>
  <c r="T1375" i="1"/>
  <c r="U1375" i="1" s="1"/>
  <c r="T1367" i="1"/>
  <c r="U1367" i="1" s="1"/>
  <c r="T1359" i="1"/>
  <c r="U1359" i="1" s="1"/>
  <c r="T1351" i="1"/>
  <c r="U1351" i="1" s="1"/>
  <c r="T1343" i="1"/>
  <c r="U1343" i="1" s="1"/>
  <c r="T1335" i="1"/>
  <c r="U1335" i="1" s="1"/>
  <c r="T1327" i="1"/>
  <c r="U1327" i="1" s="1"/>
  <c r="T1319" i="1"/>
  <c r="U1319" i="1" s="1"/>
  <c r="T1311" i="1"/>
  <c r="U1311" i="1" s="1"/>
  <c r="T1303" i="1"/>
  <c r="U1303" i="1" s="1"/>
  <c r="T1295" i="1"/>
  <c r="U1295" i="1" s="1"/>
  <c r="T1287" i="1"/>
  <c r="U1287" i="1" s="1"/>
  <c r="T1279" i="1"/>
  <c r="U1279" i="1" s="1"/>
  <c r="T1271" i="1"/>
  <c r="U1271" i="1" s="1"/>
  <c r="T1263" i="1"/>
  <c r="U1263" i="1" s="1"/>
  <c r="T1255" i="1"/>
  <c r="U1255" i="1" s="1"/>
  <c r="T1247" i="1"/>
  <c r="U1247" i="1" s="1"/>
  <c r="T1239" i="1"/>
  <c r="U1239" i="1" s="1"/>
  <c r="T1231" i="1"/>
  <c r="U1231" i="1" s="1"/>
  <c r="T1223" i="1"/>
  <c r="U1223" i="1" s="1"/>
  <c r="T1215" i="1"/>
  <c r="U1215" i="1" s="1"/>
  <c r="T1207" i="1"/>
  <c r="U1207" i="1" s="1"/>
  <c r="T1199" i="1"/>
  <c r="U1199" i="1" s="1"/>
  <c r="T1191" i="1"/>
  <c r="U1191" i="1" s="1"/>
  <c r="T1183" i="1"/>
  <c r="U1183" i="1" s="1"/>
  <c r="T1175" i="1"/>
  <c r="U1175" i="1" s="1"/>
  <c r="T1167" i="1"/>
  <c r="U1167" i="1" s="1"/>
  <c r="T1159" i="1"/>
  <c r="U1159" i="1" s="1"/>
  <c r="T1151" i="1"/>
  <c r="U1151" i="1" s="1"/>
  <c r="T1143" i="1"/>
  <c r="U1143" i="1" s="1"/>
  <c r="T1135" i="1"/>
  <c r="U1135" i="1" s="1"/>
  <c r="T1127" i="1"/>
  <c r="U1127" i="1" s="1"/>
  <c r="T1119" i="1"/>
  <c r="U1119" i="1" s="1"/>
  <c r="T1111" i="1"/>
  <c r="U1111" i="1" s="1"/>
  <c r="T1220" i="1"/>
  <c r="U1220" i="1" s="1"/>
  <c r="T1212" i="1"/>
  <c r="U1212" i="1" s="1"/>
  <c r="T1204" i="1"/>
  <c r="U1204" i="1" s="1"/>
  <c r="T1196" i="1"/>
  <c r="U1196" i="1" s="1"/>
  <c r="T1188" i="1"/>
  <c r="U1188" i="1" s="1"/>
  <c r="T1180" i="1"/>
  <c r="U1180" i="1" s="1"/>
  <c r="T1172" i="1"/>
  <c r="U1172" i="1" s="1"/>
  <c r="T1164" i="1"/>
  <c r="U1164" i="1" s="1"/>
  <c r="T1156" i="1"/>
  <c r="U1156" i="1" s="1"/>
  <c r="T1148" i="1"/>
  <c r="U1148" i="1" s="1"/>
  <c r="T1140" i="1"/>
  <c r="U1140" i="1" s="1"/>
  <c r="T1132" i="1"/>
  <c r="U1132" i="1" s="1"/>
  <c r="T1124" i="1"/>
  <c r="U1124" i="1" s="1"/>
  <c r="T1116" i="1"/>
  <c r="U1116" i="1" s="1"/>
  <c r="T1108" i="1"/>
  <c r="U1108" i="1" s="1"/>
  <c r="T1100" i="1"/>
  <c r="U1100" i="1" s="1"/>
  <c r="T1092" i="1"/>
  <c r="U1092" i="1" s="1"/>
  <c r="T1084" i="1"/>
  <c r="U1084" i="1" s="1"/>
  <c r="T1076" i="1"/>
  <c r="U1076" i="1" s="1"/>
  <c r="T1068" i="1"/>
  <c r="U1068" i="1" s="1"/>
  <c r="T1060" i="1"/>
  <c r="U1060" i="1" s="1"/>
  <c r="T1052" i="1"/>
  <c r="U1052" i="1" s="1"/>
  <c r="T1044" i="1"/>
  <c r="U1044" i="1" s="1"/>
  <c r="T1036" i="1"/>
  <c r="U1036" i="1" s="1"/>
  <c r="T1028" i="1"/>
  <c r="U1028" i="1" s="1"/>
  <c r="T1020" i="1"/>
  <c r="U1020" i="1" s="1"/>
  <c r="T1012" i="1"/>
  <c r="U1012" i="1" s="1"/>
  <c r="T1004" i="1"/>
  <c r="U1004" i="1" s="1"/>
  <c r="T996" i="1"/>
  <c r="U996" i="1" s="1"/>
  <c r="T988" i="1"/>
  <c r="U988" i="1" s="1"/>
  <c r="T980" i="1"/>
  <c r="U980" i="1" s="1"/>
  <c r="T972" i="1"/>
  <c r="U972" i="1" s="1"/>
  <c r="T964" i="1"/>
  <c r="U964" i="1" s="1"/>
  <c r="T956" i="1"/>
  <c r="U956" i="1" s="1"/>
  <c r="T948" i="1"/>
  <c r="U948" i="1" s="1"/>
  <c r="T940" i="1"/>
  <c r="U940" i="1" s="1"/>
  <c r="T932" i="1"/>
  <c r="U932" i="1" s="1"/>
  <c r="T924" i="1"/>
  <c r="U924" i="1" s="1"/>
  <c r="T916" i="1"/>
  <c r="U916" i="1" s="1"/>
  <c r="T908" i="1"/>
  <c r="U908" i="1" s="1"/>
  <c r="T900" i="1"/>
  <c r="U900" i="1" s="1"/>
  <c r="T892" i="1"/>
  <c r="U892" i="1" s="1"/>
  <c r="T884" i="1"/>
  <c r="U884" i="1" s="1"/>
  <c r="T876" i="1"/>
  <c r="U876" i="1" s="1"/>
  <c r="T868" i="1"/>
  <c r="U868" i="1" s="1"/>
  <c r="T860" i="1"/>
  <c r="U860" i="1" s="1"/>
  <c r="T852" i="1"/>
  <c r="U852" i="1" s="1"/>
  <c r="T844" i="1"/>
  <c r="U844" i="1" s="1"/>
  <c r="T836" i="1"/>
  <c r="U836" i="1" s="1"/>
  <c r="T828" i="1"/>
  <c r="U828" i="1" s="1"/>
  <c r="T820" i="1"/>
  <c r="U820" i="1" s="1"/>
  <c r="T812" i="1"/>
  <c r="U812" i="1" s="1"/>
  <c r="T804" i="1"/>
  <c r="U804" i="1" s="1"/>
  <c r="T796" i="1"/>
  <c r="U796" i="1" s="1"/>
  <c r="T788" i="1"/>
  <c r="U788" i="1" s="1"/>
  <c r="T780" i="1"/>
  <c r="U780" i="1" s="1"/>
  <c r="T772" i="1"/>
  <c r="U772" i="1" s="1"/>
  <c r="T764" i="1"/>
  <c r="U764" i="1" s="1"/>
  <c r="T756" i="1"/>
  <c r="U756" i="1" s="1"/>
  <c r="T748" i="1"/>
  <c r="U748" i="1" s="1"/>
  <c r="T740" i="1"/>
  <c r="U740" i="1" s="1"/>
  <c r="T732" i="1"/>
  <c r="U732" i="1" s="1"/>
  <c r="T724" i="1"/>
  <c r="U724" i="1" s="1"/>
  <c r="T716" i="1"/>
  <c r="U716" i="1" s="1"/>
  <c r="T708" i="1"/>
  <c r="U708" i="1" s="1"/>
  <c r="T700" i="1"/>
  <c r="U700" i="1" s="1"/>
  <c r="T692" i="1"/>
  <c r="U692" i="1" s="1"/>
  <c r="T684" i="1"/>
  <c r="U684" i="1" s="1"/>
  <c r="T676" i="1"/>
  <c r="U676" i="1" s="1"/>
  <c r="T668" i="1"/>
  <c r="U668" i="1" s="1"/>
  <c r="T660" i="1"/>
  <c r="U660" i="1" s="1"/>
  <c r="T652" i="1"/>
  <c r="U652" i="1" s="1"/>
  <c r="T644" i="1"/>
  <c r="U644" i="1" s="1"/>
  <c r="T636" i="1"/>
  <c r="U636" i="1" s="1"/>
  <c r="T628" i="1"/>
  <c r="U628" i="1" s="1"/>
  <c r="T620" i="1"/>
  <c r="U620" i="1" s="1"/>
  <c r="T612" i="1"/>
  <c r="U612" i="1" s="1"/>
  <c r="T604" i="1"/>
  <c r="U604" i="1" s="1"/>
  <c r="T596" i="1"/>
  <c r="U596" i="1" s="1"/>
  <c r="T588" i="1"/>
  <c r="U588" i="1" s="1"/>
  <c r="T580" i="1"/>
  <c r="U580" i="1" s="1"/>
  <c r="T572" i="1"/>
  <c r="U572" i="1" s="1"/>
  <c r="T564" i="1"/>
  <c r="U564" i="1" s="1"/>
  <c r="T556" i="1"/>
  <c r="U556" i="1" s="1"/>
  <c r="T548" i="1"/>
  <c r="U548" i="1" s="1"/>
  <c r="T540" i="1"/>
  <c r="U540" i="1" s="1"/>
  <c r="T532" i="1"/>
  <c r="U532" i="1" s="1"/>
  <c r="T524" i="1"/>
  <c r="U524" i="1" s="1"/>
  <c r="T516" i="1"/>
  <c r="U516" i="1" s="1"/>
  <c r="T508" i="1"/>
  <c r="U508" i="1" s="1"/>
  <c r="T500" i="1"/>
  <c r="U500" i="1" s="1"/>
  <c r="T492" i="1"/>
  <c r="U492" i="1" s="1"/>
  <c r="T484" i="1"/>
  <c r="U484" i="1" s="1"/>
  <c r="T476" i="1"/>
  <c r="U476" i="1" s="1"/>
  <c r="T468" i="1"/>
  <c r="U468" i="1" s="1"/>
  <c r="T460" i="1"/>
  <c r="U460" i="1" s="1"/>
  <c r="T452" i="1"/>
  <c r="U452" i="1" s="1"/>
  <c r="T444" i="1"/>
  <c r="U444" i="1" s="1"/>
  <c r="T436" i="1"/>
  <c r="U436" i="1" s="1"/>
  <c r="T428" i="1"/>
  <c r="U428" i="1" s="1"/>
  <c r="T420" i="1"/>
  <c r="U420" i="1" s="1"/>
  <c r="T412" i="1"/>
  <c r="U412" i="1" s="1"/>
  <c r="T404" i="1"/>
  <c r="U404" i="1" s="1"/>
  <c r="T396" i="1"/>
  <c r="U396" i="1" s="1"/>
  <c r="T388" i="1"/>
  <c r="U388" i="1" s="1"/>
  <c r="T380" i="1"/>
  <c r="U380" i="1" s="1"/>
  <c r="T372" i="1"/>
  <c r="U372" i="1" s="1"/>
  <c r="T364" i="1"/>
  <c r="U364" i="1" s="1"/>
  <c r="T356" i="1"/>
  <c r="U356" i="1" s="1"/>
  <c r="T348" i="1"/>
  <c r="U348" i="1" s="1"/>
  <c r="T332" i="1"/>
  <c r="U332" i="1" s="1"/>
  <c r="T324" i="1"/>
  <c r="U324" i="1" s="1"/>
  <c r="T316" i="1"/>
  <c r="U316" i="1" s="1"/>
  <c r="T308" i="1"/>
  <c r="U308" i="1" s="1"/>
  <c r="T300" i="1"/>
  <c r="U300" i="1" s="1"/>
  <c r="T292" i="1"/>
  <c r="U292" i="1" s="1"/>
  <c r="T284" i="1"/>
  <c r="U284" i="1" s="1"/>
  <c r="T276" i="1"/>
  <c r="U276" i="1" s="1"/>
  <c r="T268" i="1"/>
  <c r="U268" i="1" s="1"/>
  <c r="T260" i="1"/>
  <c r="U260" i="1" s="1"/>
  <c r="T252" i="1"/>
  <c r="U252" i="1" s="1"/>
  <c r="T244" i="1"/>
  <c r="U244" i="1" s="1"/>
  <c r="T236" i="1"/>
  <c r="U236" i="1" s="1"/>
  <c r="T228" i="1"/>
  <c r="U228" i="1" s="1"/>
  <c r="T220" i="1"/>
  <c r="U220" i="1" s="1"/>
  <c r="T204" i="1"/>
  <c r="U204" i="1" s="1"/>
  <c r="T196" i="1"/>
  <c r="U196" i="1" s="1"/>
  <c r="T188" i="1"/>
  <c r="U188" i="1" s="1"/>
  <c r="T180" i="1"/>
  <c r="U180" i="1" s="1"/>
  <c r="T172" i="1"/>
  <c r="U172" i="1" s="1"/>
  <c r="T164" i="1"/>
  <c r="U164" i="1" s="1"/>
  <c r="T156" i="1"/>
  <c r="U156" i="1" s="1"/>
  <c r="T148" i="1"/>
  <c r="U148" i="1" s="1"/>
  <c r="T140" i="1"/>
  <c r="U140" i="1" s="1"/>
  <c r="T132" i="1"/>
  <c r="U132" i="1" s="1"/>
  <c r="T124" i="1"/>
  <c r="U124" i="1" s="1"/>
  <c r="T116" i="1"/>
  <c r="U116" i="1" s="1"/>
  <c r="T108" i="1"/>
  <c r="U108" i="1" s="1"/>
  <c r="T100" i="1"/>
  <c r="U100" i="1" s="1"/>
  <c r="T92" i="1"/>
  <c r="U92" i="1" s="1"/>
  <c r="T76" i="1"/>
  <c r="U76" i="1" s="1"/>
  <c r="T52" i="1"/>
  <c r="U52" i="1" s="1"/>
  <c r="T44" i="1"/>
  <c r="U44" i="1" s="1"/>
  <c r="T20" i="1"/>
  <c r="U20" i="1" s="1"/>
  <c r="T12" i="1"/>
  <c r="U12" i="1" s="1"/>
  <c r="T1227" i="1"/>
  <c r="U1227" i="1" s="1"/>
  <c r="T1211" i="1"/>
  <c r="U1211" i="1" s="1"/>
  <c r="T1203" i="1"/>
  <c r="U1203" i="1" s="1"/>
  <c r="T1195" i="1"/>
  <c r="U1195" i="1" s="1"/>
  <c r="T1179" i="1"/>
  <c r="U1179" i="1" s="1"/>
  <c r="T1171" i="1"/>
  <c r="U1171" i="1" s="1"/>
  <c r="T1163" i="1"/>
  <c r="U1163" i="1" s="1"/>
  <c r="T1147" i="1"/>
  <c r="U1147" i="1" s="1"/>
  <c r="T1139" i="1"/>
  <c r="U1139" i="1" s="1"/>
  <c r="T1131" i="1"/>
  <c r="U1131" i="1" s="1"/>
  <c r="T1115" i="1"/>
  <c r="U1115" i="1" s="1"/>
  <c r="T1107" i="1"/>
  <c r="U1107" i="1" s="1"/>
  <c r="T1099" i="1"/>
  <c r="U1099" i="1" s="1"/>
  <c r="T1083" i="1"/>
  <c r="U1083" i="1" s="1"/>
  <c r="T1075" i="1"/>
  <c r="U1075" i="1" s="1"/>
  <c r="T1067" i="1"/>
  <c r="U1067" i="1" s="1"/>
  <c r="T1051" i="1"/>
  <c r="U1051" i="1" s="1"/>
  <c r="T1043" i="1"/>
  <c r="U1043" i="1" s="1"/>
  <c r="T1035" i="1"/>
  <c r="U1035" i="1" s="1"/>
  <c r="T1019" i="1"/>
  <c r="U1019" i="1" s="1"/>
  <c r="T1011" i="1"/>
  <c r="U1011" i="1" s="1"/>
  <c r="T1003" i="1"/>
  <c r="U1003" i="1" s="1"/>
  <c r="T987" i="1"/>
  <c r="U987" i="1" s="1"/>
  <c r="T979" i="1"/>
  <c r="U979" i="1" s="1"/>
  <c r="T971" i="1"/>
  <c r="U971" i="1" s="1"/>
  <c r="T955" i="1"/>
  <c r="U955" i="1" s="1"/>
  <c r="T947" i="1"/>
  <c r="U947" i="1" s="1"/>
  <c r="T939" i="1"/>
  <c r="U939" i="1" s="1"/>
  <c r="T923" i="1"/>
  <c r="U923" i="1" s="1"/>
  <c r="T915" i="1"/>
  <c r="U915" i="1" s="1"/>
  <c r="T907" i="1"/>
  <c r="U907" i="1" s="1"/>
  <c r="T891" i="1"/>
  <c r="U891" i="1" s="1"/>
  <c r="T883" i="1"/>
  <c r="U883" i="1" s="1"/>
  <c r="T875" i="1"/>
  <c r="U875" i="1" s="1"/>
  <c r="T859" i="1"/>
  <c r="U859" i="1" s="1"/>
  <c r="T851" i="1"/>
  <c r="U851" i="1" s="1"/>
  <c r="T843" i="1"/>
  <c r="U843" i="1" s="1"/>
  <c r="T827" i="1"/>
  <c r="U827" i="1" s="1"/>
  <c r="T819" i="1"/>
  <c r="U819" i="1" s="1"/>
  <c r="T811" i="1"/>
  <c r="U811" i="1" s="1"/>
  <c r="T795" i="1"/>
  <c r="U795" i="1" s="1"/>
  <c r="T787" i="1"/>
  <c r="U787" i="1" s="1"/>
  <c r="T779" i="1"/>
  <c r="U779" i="1" s="1"/>
  <c r="T763" i="1"/>
  <c r="U763" i="1" s="1"/>
  <c r="T755" i="1"/>
  <c r="U755" i="1" s="1"/>
  <c r="T747" i="1"/>
  <c r="U747" i="1" s="1"/>
  <c r="T731" i="1"/>
  <c r="U731" i="1" s="1"/>
  <c r="T723" i="1"/>
  <c r="U723" i="1" s="1"/>
  <c r="T715" i="1"/>
  <c r="U715" i="1" s="1"/>
  <c r="T699" i="1"/>
  <c r="U699" i="1" s="1"/>
  <c r="T691" i="1"/>
  <c r="U691" i="1" s="1"/>
  <c r="T683" i="1"/>
  <c r="U683" i="1" s="1"/>
  <c r="T667" i="1"/>
  <c r="U667" i="1" s="1"/>
  <c r="T659" i="1"/>
  <c r="U659" i="1" s="1"/>
  <c r="T651" i="1"/>
  <c r="U651" i="1" s="1"/>
  <c r="T635" i="1"/>
  <c r="U635" i="1" s="1"/>
  <c r="T627" i="1"/>
  <c r="U627" i="1" s="1"/>
  <c r="T619" i="1"/>
  <c r="U619" i="1" s="1"/>
  <c r="T603" i="1"/>
  <c r="U603" i="1" s="1"/>
  <c r="T595" i="1"/>
  <c r="U595" i="1" s="1"/>
  <c r="T587" i="1"/>
  <c r="U587" i="1" s="1"/>
  <c r="T571" i="1"/>
  <c r="U571" i="1" s="1"/>
  <c r="T563" i="1"/>
  <c r="U563" i="1" s="1"/>
  <c r="T555" i="1"/>
  <c r="U555" i="1" s="1"/>
  <c r="T539" i="1"/>
  <c r="U539" i="1" s="1"/>
  <c r="T531" i="1"/>
  <c r="U531" i="1" s="1"/>
  <c r="T523" i="1"/>
  <c r="U523" i="1" s="1"/>
  <c r="T507" i="1"/>
  <c r="U507" i="1" s="1"/>
  <c r="T499" i="1"/>
  <c r="U499" i="1" s="1"/>
  <c r="T491" i="1"/>
  <c r="U491" i="1" s="1"/>
  <c r="T475" i="1"/>
  <c r="U475" i="1" s="1"/>
  <c r="T467" i="1"/>
  <c r="U467" i="1" s="1"/>
  <c r="T459" i="1"/>
  <c r="U459" i="1" s="1"/>
  <c r="T443" i="1"/>
  <c r="U443" i="1" s="1"/>
  <c r="T435" i="1"/>
  <c r="U435" i="1" s="1"/>
  <c r="T427" i="1"/>
  <c r="U427" i="1" s="1"/>
  <c r="T419" i="1"/>
  <c r="U419" i="1" s="1"/>
  <c r="T411" i="1"/>
  <c r="U411" i="1" s="1"/>
  <c r="T403" i="1"/>
  <c r="U403" i="1" s="1"/>
  <c r="T395" i="1"/>
  <c r="U395" i="1" s="1"/>
  <c r="T387" i="1"/>
  <c r="U387" i="1" s="1"/>
  <c r="T379" i="1"/>
  <c r="U379" i="1" s="1"/>
  <c r="T371" i="1"/>
  <c r="U371" i="1" s="1"/>
  <c r="T363" i="1"/>
  <c r="U363" i="1" s="1"/>
  <c r="T355" i="1"/>
  <c r="U355" i="1" s="1"/>
  <c r="T347" i="1"/>
  <c r="U347" i="1" s="1"/>
  <c r="T339" i="1"/>
  <c r="U339" i="1" s="1"/>
  <c r="T331" i="1"/>
  <c r="U331" i="1" s="1"/>
  <c r="T323" i="1"/>
  <c r="U323" i="1" s="1"/>
  <c r="T315" i="1"/>
  <c r="U315" i="1" s="1"/>
  <c r="T307" i="1"/>
  <c r="U307" i="1" s="1"/>
  <c r="T299" i="1"/>
  <c r="U299" i="1" s="1"/>
  <c r="T291" i="1"/>
  <c r="U291" i="1" s="1"/>
  <c r="T283" i="1"/>
  <c r="U283" i="1" s="1"/>
  <c r="T275" i="1"/>
  <c r="U275" i="1" s="1"/>
  <c r="T267" i="1"/>
  <c r="U267" i="1" s="1"/>
  <c r="T259" i="1"/>
  <c r="U259" i="1" s="1"/>
  <c r="T251" i="1"/>
  <c r="U251" i="1" s="1"/>
  <c r="T243" i="1"/>
  <c r="U243" i="1" s="1"/>
  <c r="T235" i="1"/>
  <c r="U235" i="1" s="1"/>
  <c r="T227" i="1"/>
  <c r="U227" i="1" s="1"/>
  <c r="T219" i="1"/>
  <c r="U219" i="1" s="1"/>
  <c r="T211" i="1"/>
  <c r="U211" i="1" s="1"/>
  <c r="T203" i="1"/>
  <c r="U203" i="1" s="1"/>
  <c r="T195" i="1"/>
  <c r="U195" i="1" s="1"/>
  <c r="T187" i="1"/>
  <c r="U187" i="1" s="1"/>
  <c r="T179" i="1"/>
  <c r="U179" i="1" s="1"/>
  <c r="T171" i="1"/>
  <c r="U171" i="1" s="1"/>
  <c r="T163" i="1"/>
  <c r="U163" i="1" s="1"/>
  <c r="T155" i="1"/>
  <c r="U155" i="1" s="1"/>
  <c r="T147" i="1"/>
  <c r="U147" i="1" s="1"/>
  <c r="T139" i="1"/>
  <c r="U139" i="1" s="1"/>
  <c r="T131" i="1"/>
  <c r="U131" i="1" s="1"/>
  <c r="T123" i="1"/>
  <c r="U123" i="1" s="1"/>
  <c r="T115" i="1"/>
  <c r="U115" i="1" s="1"/>
  <c r="T107" i="1"/>
  <c r="U107" i="1" s="1"/>
  <c r="T99" i="1"/>
  <c r="U99" i="1" s="1"/>
  <c r="T91" i="1"/>
  <c r="U91" i="1" s="1"/>
  <c r="T83" i="1"/>
  <c r="U83" i="1" s="1"/>
  <c r="T75" i="1"/>
  <c r="U75" i="1" s="1"/>
  <c r="T67" i="1"/>
  <c r="U67" i="1" s="1"/>
  <c r="T59" i="1"/>
  <c r="U59" i="1" s="1"/>
  <c r="T51" i="1"/>
  <c r="U51" i="1" s="1"/>
  <c r="T43" i="1"/>
  <c r="U43" i="1" s="1"/>
  <c r="T35" i="1"/>
  <c r="U35" i="1" s="1"/>
  <c r="T27" i="1"/>
  <c r="U27" i="1" s="1"/>
  <c r="T19" i="1"/>
  <c r="U19" i="1" s="1"/>
  <c r="T11" i="1"/>
  <c r="U11" i="1" s="1"/>
  <c r="T3" i="1"/>
  <c r="U3" i="1" s="1"/>
  <c r="T1329" i="1"/>
  <c r="U1329" i="1" s="1"/>
  <c r="T1321" i="1"/>
  <c r="U1321" i="1" s="1"/>
  <c r="T1313" i="1"/>
  <c r="U1313" i="1" s="1"/>
  <c r="T1305" i="1"/>
  <c r="U1305" i="1" s="1"/>
  <c r="T1297" i="1"/>
  <c r="U1297" i="1" s="1"/>
  <c r="T1289" i="1"/>
  <c r="U1289" i="1" s="1"/>
  <c r="T1281" i="1"/>
  <c r="U1281" i="1" s="1"/>
  <c r="T1273" i="1"/>
  <c r="U1273" i="1" s="1"/>
  <c r="T1265" i="1"/>
  <c r="U1265" i="1" s="1"/>
  <c r="T1257" i="1"/>
  <c r="U1257" i="1" s="1"/>
  <c r="T1249" i="1"/>
  <c r="U1249" i="1" s="1"/>
  <c r="T1241" i="1"/>
  <c r="U1241" i="1" s="1"/>
  <c r="T1233" i="1"/>
  <c r="U1233" i="1" s="1"/>
  <c r="T1225" i="1"/>
  <c r="U1225" i="1" s="1"/>
  <c r="T1217" i="1"/>
  <c r="U1217" i="1" s="1"/>
  <c r="T1209" i="1"/>
  <c r="U1209" i="1" s="1"/>
  <c r="T1201" i="1"/>
  <c r="U1201" i="1" s="1"/>
  <c r="T1193" i="1"/>
  <c r="U1193" i="1" s="1"/>
  <c r="T1185" i="1"/>
  <c r="U1185" i="1" s="1"/>
  <c r="T1177" i="1"/>
  <c r="U1177" i="1" s="1"/>
  <c r="T1169" i="1"/>
  <c r="U1169" i="1" s="1"/>
  <c r="T1161" i="1"/>
  <c r="U1161" i="1" s="1"/>
  <c r="T1153" i="1"/>
  <c r="U1153" i="1" s="1"/>
  <c r="T1145" i="1"/>
  <c r="U1145" i="1" s="1"/>
  <c r="T1137" i="1"/>
  <c r="U1137" i="1" s="1"/>
  <c r="T1129" i="1"/>
  <c r="U1129" i="1" s="1"/>
  <c r="T1121" i="1"/>
  <c r="U1121" i="1" s="1"/>
  <c r="T1113" i="1"/>
  <c r="U1113" i="1" s="1"/>
  <c r="T1105" i="1"/>
  <c r="U1105" i="1" s="1"/>
  <c r="T1097" i="1"/>
  <c r="U1097" i="1" s="1"/>
  <c r="T1089" i="1"/>
  <c r="U1089" i="1" s="1"/>
  <c r="T1081" i="1"/>
  <c r="U1081" i="1" s="1"/>
  <c r="T1073" i="1"/>
  <c r="U1073" i="1" s="1"/>
  <c r="T1065" i="1"/>
  <c r="U1065" i="1" s="1"/>
  <c r="T1057" i="1"/>
  <c r="U1057" i="1" s="1"/>
  <c r="T1049" i="1"/>
  <c r="U1049" i="1" s="1"/>
  <c r="T1041" i="1"/>
  <c r="U1041" i="1" s="1"/>
  <c r="T1033" i="1"/>
  <c r="U1033" i="1" s="1"/>
  <c r="T1025" i="1"/>
  <c r="U1025" i="1" s="1"/>
  <c r="T1017" i="1"/>
  <c r="U1017" i="1" s="1"/>
  <c r="T1009" i="1"/>
  <c r="U1009" i="1" s="1"/>
  <c r="T1001" i="1"/>
  <c r="U1001" i="1" s="1"/>
  <c r="T993" i="1"/>
  <c r="U993" i="1" s="1"/>
  <c r="T985" i="1"/>
  <c r="U985" i="1" s="1"/>
  <c r="T977" i="1"/>
  <c r="U977" i="1" s="1"/>
  <c r="T969" i="1"/>
  <c r="U969" i="1" s="1"/>
  <c r="T961" i="1"/>
  <c r="U961" i="1" s="1"/>
  <c r="T953" i="1"/>
  <c r="U953" i="1" s="1"/>
  <c r="T945" i="1"/>
  <c r="U945" i="1" s="1"/>
  <c r="T937" i="1"/>
  <c r="U937" i="1" s="1"/>
  <c r="T929" i="1"/>
  <c r="U929" i="1" s="1"/>
  <c r="T921" i="1"/>
  <c r="U921" i="1" s="1"/>
  <c r="T913" i="1"/>
  <c r="U913" i="1" s="1"/>
  <c r="T905" i="1"/>
  <c r="U905" i="1" s="1"/>
  <c r="T897" i="1"/>
  <c r="U897" i="1" s="1"/>
  <c r="T889" i="1"/>
  <c r="U889" i="1" s="1"/>
  <c r="T881" i="1"/>
  <c r="U881" i="1" s="1"/>
  <c r="T873" i="1"/>
  <c r="U873" i="1" s="1"/>
  <c r="T865" i="1"/>
  <c r="U865" i="1" s="1"/>
  <c r="T857" i="1"/>
  <c r="U857" i="1" s="1"/>
  <c r="T849" i="1"/>
  <c r="U849" i="1" s="1"/>
  <c r="T841" i="1"/>
  <c r="U841" i="1" s="1"/>
  <c r="T833" i="1"/>
  <c r="U833" i="1" s="1"/>
  <c r="T825" i="1"/>
  <c r="U825" i="1" s="1"/>
  <c r="T817" i="1"/>
  <c r="U817" i="1" s="1"/>
  <c r="T809" i="1"/>
  <c r="U809" i="1" s="1"/>
  <c r="T801" i="1"/>
  <c r="U801" i="1" s="1"/>
  <c r="T793" i="1"/>
  <c r="U793" i="1" s="1"/>
  <c r="T785" i="1"/>
  <c r="U785" i="1" s="1"/>
  <c r="T777" i="1"/>
  <c r="U777" i="1" s="1"/>
  <c r="T769" i="1"/>
  <c r="U769" i="1" s="1"/>
  <c r="T761" i="1"/>
  <c r="U761" i="1" s="1"/>
  <c r="T753" i="1"/>
  <c r="U753" i="1" s="1"/>
  <c r="T745" i="1"/>
  <c r="U745" i="1" s="1"/>
  <c r="T737" i="1"/>
  <c r="U737" i="1" s="1"/>
  <c r="T729" i="1"/>
  <c r="U729" i="1" s="1"/>
  <c r="T721" i="1"/>
  <c r="U721" i="1" s="1"/>
  <c r="T713" i="1"/>
  <c r="U713" i="1" s="1"/>
  <c r="T705" i="1"/>
  <c r="U705" i="1" s="1"/>
  <c r="T697" i="1"/>
  <c r="U697" i="1" s="1"/>
  <c r="T689" i="1"/>
  <c r="U689" i="1" s="1"/>
  <c r="T681" i="1"/>
  <c r="U681" i="1" s="1"/>
  <c r="T673" i="1"/>
  <c r="U673" i="1" s="1"/>
  <c r="T665" i="1"/>
  <c r="U665" i="1" s="1"/>
  <c r="T657" i="1"/>
  <c r="U657" i="1" s="1"/>
  <c r="T649" i="1"/>
  <c r="U649" i="1" s="1"/>
  <c r="T641" i="1"/>
  <c r="U641" i="1" s="1"/>
  <c r="T633" i="1"/>
  <c r="U633" i="1" s="1"/>
  <c r="T625" i="1"/>
  <c r="U625" i="1" s="1"/>
  <c r="T617" i="1"/>
  <c r="U617" i="1" s="1"/>
  <c r="T609" i="1"/>
  <c r="U609" i="1" s="1"/>
  <c r="T601" i="1"/>
  <c r="U601" i="1" s="1"/>
  <c r="T593" i="1"/>
  <c r="U593" i="1" s="1"/>
  <c r="T585" i="1"/>
  <c r="U585" i="1" s="1"/>
  <c r="T577" i="1"/>
  <c r="U577" i="1" s="1"/>
  <c r="T569" i="1"/>
  <c r="U569" i="1" s="1"/>
  <c r="T561" i="1"/>
  <c r="U561" i="1" s="1"/>
  <c r="T553" i="1"/>
  <c r="U553" i="1" s="1"/>
  <c r="T545" i="1"/>
  <c r="U545" i="1" s="1"/>
  <c r="T537" i="1"/>
  <c r="U537" i="1" s="1"/>
  <c r="T529" i="1"/>
  <c r="U529" i="1" s="1"/>
  <c r="T521" i="1"/>
  <c r="U521" i="1" s="1"/>
  <c r="T513" i="1"/>
  <c r="U513" i="1" s="1"/>
  <c r="T505" i="1"/>
  <c r="U505" i="1" s="1"/>
  <c r="T497" i="1"/>
  <c r="U497" i="1" s="1"/>
  <c r="T489" i="1"/>
  <c r="U489" i="1" s="1"/>
  <c r="T481" i="1"/>
  <c r="U481" i="1" s="1"/>
  <c r="T473" i="1"/>
  <c r="U473" i="1" s="1"/>
  <c r="T465" i="1"/>
  <c r="U465" i="1" s="1"/>
  <c r="T457" i="1"/>
  <c r="U457" i="1" s="1"/>
  <c r="T449" i="1"/>
  <c r="U449" i="1" s="1"/>
  <c r="T441" i="1"/>
  <c r="U441" i="1" s="1"/>
  <c r="T433" i="1"/>
  <c r="U433" i="1" s="1"/>
  <c r="T425" i="1"/>
  <c r="U425" i="1" s="1"/>
  <c r="T417" i="1"/>
  <c r="U417" i="1" s="1"/>
  <c r="T409" i="1"/>
  <c r="U409" i="1" s="1"/>
  <c r="T401" i="1"/>
  <c r="U401" i="1" s="1"/>
  <c r="T393" i="1"/>
  <c r="U393" i="1" s="1"/>
  <c r="T385" i="1"/>
  <c r="U385" i="1" s="1"/>
  <c r="T377" i="1"/>
  <c r="U377" i="1" s="1"/>
  <c r="T369" i="1"/>
  <c r="U369" i="1" s="1"/>
  <c r="T361" i="1"/>
  <c r="U361" i="1" s="1"/>
  <c r="T353" i="1"/>
  <c r="U353" i="1" s="1"/>
  <c r="T345" i="1"/>
  <c r="U345" i="1" s="1"/>
  <c r="T337" i="1"/>
  <c r="U337" i="1" s="1"/>
  <c r="T329" i="1"/>
  <c r="U329" i="1" s="1"/>
  <c r="T321" i="1"/>
  <c r="U321" i="1" s="1"/>
  <c r="T313" i="1"/>
  <c r="U313" i="1" s="1"/>
  <c r="T305" i="1"/>
  <c r="U305" i="1" s="1"/>
  <c r="T297" i="1"/>
  <c r="U297" i="1" s="1"/>
  <c r="T289" i="1"/>
  <c r="U289" i="1" s="1"/>
  <c r="T281" i="1"/>
  <c r="U281" i="1" s="1"/>
  <c r="T273" i="1"/>
  <c r="U273" i="1" s="1"/>
  <c r="T265" i="1"/>
  <c r="U265" i="1" s="1"/>
  <c r="T257" i="1"/>
  <c r="U257" i="1" s="1"/>
  <c r="T249" i="1"/>
  <c r="U249" i="1" s="1"/>
  <c r="T241" i="1"/>
  <c r="U241" i="1" s="1"/>
  <c r="T233" i="1"/>
  <c r="U233" i="1" s="1"/>
  <c r="T225" i="1"/>
  <c r="U225" i="1" s="1"/>
  <c r="T217" i="1"/>
  <c r="U217" i="1" s="1"/>
  <c r="T209" i="1"/>
  <c r="U209" i="1" s="1"/>
  <c r="T201" i="1"/>
  <c r="U201" i="1" s="1"/>
  <c r="T193" i="1"/>
  <c r="U193" i="1" s="1"/>
  <c r="T185" i="1"/>
  <c r="U185" i="1" s="1"/>
  <c r="T177" i="1"/>
  <c r="U177" i="1" s="1"/>
  <c r="T169" i="1"/>
  <c r="U169" i="1" s="1"/>
  <c r="T161" i="1"/>
  <c r="U161" i="1" s="1"/>
  <c r="T153" i="1"/>
  <c r="U153" i="1" s="1"/>
  <c r="T145" i="1"/>
  <c r="U145" i="1" s="1"/>
  <c r="T137" i="1"/>
  <c r="U137" i="1" s="1"/>
  <c r="T1240" i="1"/>
  <c r="U1240" i="1" s="1"/>
  <c r="T1232" i="1"/>
  <c r="U1232" i="1" s="1"/>
  <c r="T1224" i="1"/>
  <c r="U1224" i="1" s="1"/>
  <c r="T1216" i="1"/>
  <c r="U1216" i="1" s="1"/>
  <c r="T1208" i="1"/>
  <c r="U1208" i="1" s="1"/>
  <c r="T1200" i="1"/>
  <c r="U1200" i="1" s="1"/>
  <c r="T1192" i="1"/>
  <c r="U1192" i="1" s="1"/>
  <c r="T1184" i="1"/>
  <c r="U1184" i="1" s="1"/>
  <c r="T1176" i="1"/>
  <c r="U1176" i="1" s="1"/>
  <c r="T1168" i="1"/>
  <c r="U1168" i="1" s="1"/>
  <c r="T1160" i="1"/>
  <c r="U1160" i="1" s="1"/>
  <c r="T1152" i="1"/>
  <c r="U1152" i="1" s="1"/>
  <c r="T1144" i="1"/>
  <c r="U1144" i="1" s="1"/>
  <c r="T1136" i="1"/>
  <c r="U1136" i="1" s="1"/>
  <c r="T1128" i="1"/>
  <c r="U1128" i="1" s="1"/>
  <c r="T1120" i="1"/>
  <c r="U1120" i="1" s="1"/>
  <c r="T1112" i="1"/>
  <c r="U1112" i="1" s="1"/>
  <c r="T1104" i="1"/>
  <c r="U1104" i="1" s="1"/>
  <c r="T1096" i="1"/>
  <c r="U1096" i="1" s="1"/>
  <c r="T1088" i="1"/>
  <c r="U1088" i="1" s="1"/>
  <c r="T1080" i="1"/>
  <c r="U1080" i="1" s="1"/>
  <c r="T1072" i="1"/>
  <c r="U1072" i="1" s="1"/>
  <c r="T1064" i="1"/>
  <c r="U1064" i="1" s="1"/>
  <c r="T1056" i="1"/>
  <c r="U1056" i="1" s="1"/>
  <c r="T1048" i="1"/>
  <c r="U1048" i="1" s="1"/>
  <c r="T1040" i="1"/>
  <c r="U1040" i="1" s="1"/>
  <c r="T1032" i="1"/>
  <c r="U1032" i="1" s="1"/>
  <c r="T1024" i="1"/>
  <c r="U1024" i="1" s="1"/>
  <c r="T1016" i="1"/>
  <c r="U1016" i="1" s="1"/>
  <c r="T1008" i="1"/>
  <c r="U1008" i="1" s="1"/>
  <c r="T1000" i="1"/>
  <c r="U1000" i="1" s="1"/>
  <c r="T992" i="1"/>
  <c r="U992" i="1" s="1"/>
  <c r="T984" i="1"/>
  <c r="U984" i="1" s="1"/>
  <c r="T976" i="1"/>
  <c r="U976" i="1" s="1"/>
  <c r="T968" i="1"/>
  <c r="U968" i="1" s="1"/>
  <c r="T960" i="1"/>
  <c r="U960" i="1" s="1"/>
  <c r="T952" i="1"/>
  <c r="U952" i="1" s="1"/>
  <c r="T944" i="1"/>
  <c r="U944" i="1" s="1"/>
  <c r="T936" i="1"/>
  <c r="U936" i="1" s="1"/>
  <c r="T928" i="1"/>
  <c r="U928" i="1" s="1"/>
  <c r="T920" i="1"/>
  <c r="U920" i="1" s="1"/>
  <c r="T912" i="1"/>
  <c r="U912" i="1" s="1"/>
  <c r="T904" i="1"/>
  <c r="U904" i="1" s="1"/>
  <c r="T896" i="1"/>
  <c r="U896" i="1" s="1"/>
  <c r="T888" i="1"/>
  <c r="U888" i="1" s="1"/>
  <c r="T880" i="1"/>
  <c r="U880" i="1" s="1"/>
  <c r="T872" i="1"/>
  <c r="U872" i="1" s="1"/>
  <c r="T864" i="1"/>
  <c r="U864" i="1" s="1"/>
  <c r="T856" i="1"/>
  <c r="U856" i="1" s="1"/>
  <c r="T848" i="1"/>
  <c r="U848" i="1" s="1"/>
  <c r="T840" i="1"/>
  <c r="U840" i="1" s="1"/>
  <c r="T832" i="1"/>
  <c r="U832" i="1" s="1"/>
  <c r="T824" i="1"/>
  <c r="U824" i="1" s="1"/>
  <c r="T816" i="1"/>
  <c r="U816" i="1" s="1"/>
  <c r="T808" i="1"/>
  <c r="U808" i="1" s="1"/>
  <c r="T800" i="1"/>
  <c r="U800" i="1" s="1"/>
  <c r="T792" i="1"/>
  <c r="U792" i="1" s="1"/>
  <c r="T784" i="1"/>
  <c r="U784" i="1" s="1"/>
  <c r="T776" i="1"/>
  <c r="U776" i="1" s="1"/>
  <c r="T768" i="1"/>
  <c r="U768" i="1" s="1"/>
  <c r="T760" i="1"/>
  <c r="U760" i="1" s="1"/>
  <c r="T752" i="1"/>
  <c r="U752" i="1" s="1"/>
  <c r="T744" i="1"/>
  <c r="U744" i="1" s="1"/>
  <c r="T736" i="1"/>
  <c r="U736" i="1" s="1"/>
  <c r="T728" i="1"/>
  <c r="U728" i="1" s="1"/>
  <c r="T720" i="1"/>
  <c r="U720" i="1" s="1"/>
  <c r="T712" i="1"/>
  <c r="U712" i="1" s="1"/>
  <c r="T704" i="1"/>
  <c r="U704" i="1" s="1"/>
  <c r="T696" i="1"/>
  <c r="U696" i="1" s="1"/>
  <c r="T688" i="1"/>
  <c r="U688" i="1" s="1"/>
  <c r="T680" i="1"/>
  <c r="U680" i="1" s="1"/>
  <c r="T672" i="1"/>
  <c r="U672" i="1" s="1"/>
  <c r="T664" i="1"/>
  <c r="U664" i="1" s="1"/>
  <c r="T656" i="1"/>
  <c r="U656" i="1" s="1"/>
  <c r="T648" i="1"/>
  <c r="U648" i="1" s="1"/>
  <c r="T640" i="1"/>
  <c r="U640" i="1" s="1"/>
  <c r="T632" i="1"/>
  <c r="U632" i="1" s="1"/>
  <c r="T624" i="1"/>
  <c r="U624" i="1" s="1"/>
  <c r="T616" i="1"/>
  <c r="U616" i="1" s="1"/>
  <c r="T608" i="1"/>
  <c r="U608" i="1" s="1"/>
  <c r="T600" i="1"/>
  <c r="U600" i="1" s="1"/>
  <c r="T592" i="1"/>
  <c r="U592" i="1" s="1"/>
  <c r="T584" i="1"/>
  <c r="U584" i="1" s="1"/>
  <c r="T576" i="1"/>
  <c r="U576" i="1" s="1"/>
  <c r="T568" i="1"/>
  <c r="U568" i="1" s="1"/>
  <c r="T560" i="1"/>
  <c r="U560" i="1" s="1"/>
  <c r="T552" i="1"/>
  <c r="U552" i="1" s="1"/>
  <c r="T544" i="1"/>
  <c r="U544" i="1" s="1"/>
  <c r="T536" i="1"/>
  <c r="U536" i="1" s="1"/>
  <c r="T528" i="1"/>
  <c r="U528" i="1" s="1"/>
  <c r="T520" i="1"/>
  <c r="U520" i="1" s="1"/>
  <c r="T512" i="1"/>
  <c r="U512" i="1" s="1"/>
  <c r="T504" i="1"/>
  <c r="U504" i="1" s="1"/>
  <c r="T496" i="1"/>
  <c r="U496" i="1" s="1"/>
  <c r="T488" i="1"/>
  <c r="U488" i="1" s="1"/>
  <c r="T480" i="1"/>
  <c r="U480" i="1" s="1"/>
  <c r="T472" i="1"/>
  <c r="U472" i="1" s="1"/>
  <c r="T464" i="1"/>
  <c r="U464" i="1" s="1"/>
  <c r="T456" i="1"/>
  <c r="U456" i="1" s="1"/>
  <c r="T448" i="1"/>
  <c r="U448" i="1" s="1"/>
  <c r="T440" i="1"/>
  <c r="U440" i="1" s="1"/>
  <c r="T432" i="1"/>
  <c r="U432" i="1" s="1"/>
  <c r="T424" i="1"/>
  <c r="U424" i="1" s="1"/>
  <c r="T416" i="1"/>
  <c r="U416" i="1" s="1"/>
  <c r="T408" i="1"/>
  <c r="U408" i="1" s="1"/>
  <c r="T400" i="1"/>
  <c r="U400" i="1" s="1"/>
  <c r="T392" i="1"/>
  <c r="U392" i="1" s="1"/>
  <c r="T384" i="1"/>
  <c r="U384" i="1" s="1"/>
  <c r="T376" i="1"/>
  <c r="U376" i="1" s="1"/>
  <c r="T368" i="1"/>
  <c r="U368" i="1" s="1"/>
  <c r="T360" i="1"/>
  <c r="U360" i="1" s="1"/>
  <c r="T352" i="1"/>
  <c r="U352" i="1" s="1"/>
  <c r="T344" i="1"/>
  <c r="U344" i="1" s="1"/>
  <c r="T336" i="1"/>
  <c r="U336" i="1" s="1"/>
  <c r="T328" i="1"/>
  <c r="U328" i="1" s="1"/>
  <c r="T320" i="1"/>
  <c r="U320" i="1" s="1"/>
  <c r="T312" i="1"/>
  <c r="U312" i="1" s="1"/>
  <c r="T304" i="1"/>
  <c r="U304" i="1" s="1"/>
  <c r="T296" i="1"/>
  <c r="U296" i="1" s="1"/>
  <c r="T288" i="1"/>
  <c r="U288" i="1" s="1"/>
  <c r="T280" i="1"/>
  <c r="U280" i="1" s="1"/>
  <c r="T272" i="1"/>
  <c r="U272" i="1" s="1"/>
  <c r="T264" i="1"/>
  <c r="U264" i="1" s="1"/>
  <c r="T256" i="1"/>
  <c r="U256" i="1" s="1"/>
  <c r="T248" i="1"/>
  <c r="U248" i="1" s="1"/>
  <c r="T240" i="1"/>
  <c r="U240" i="1" s="1"/>
  <c r="T232" i="1"/>
  <c r="U232" i="1" s="1"/>
  <c r="T224" i="1"/>
  <c r="U224" i="1" s="1"/>
  <c r="T216" i="1"/>
  <c r="U216" i="1" s="1"/>
  <c r="T208" i="1"/>
  <c r="U208" i="1" s="1"/>
  <c r="T200" i="1"/>
  <c r="U200" i="1" s="1"/>
  <c r="T192" i="1"/>
  <c r="U192" i="1" s="1"/>
  <c r="T184" i="1"/>
  <c r="U184" i="1" s="1"/>
  <c r="T176" i="1"/>
  <c r="U176" i="1" s="1"/>
  <c r="T168" i="1"/>
  <c r="U168" i="1" s="1"/>
  <c r="T160" i="1"/>
  <c r="U160" i="1" s="1"/>
  <c r="T152" i="1"/>
  <c r="U152" i="1" s="1"/>
  <c r="T144" i="1"/>
  <c r="U144" i="1" s="1"/>
  <c r="T136" i="1"/>
  <c r="U136" i="1" s="1"/>
  <c r="T128" i="1"/>
  <c r="U128" i="1" s="1"/>
  <c r="T1103" i="1"/>
  <c r="U1103" i="1" s="1"/>
  <c r="T1095" i="1"/>
  <c r="U1095" i="1" s="1"/>
  <c r="T1087" i="1"/>
  <c r="U1087" i="1" s="1"/>
  <c r="T1079" i="1"/>
  <c r="U1079" i="1" s="1"/>
  <c r="T1071" i="1"/>
  <c r="U1071" i="1" s="1"/>
  <c r="T1063" i="1"/>
  <c r="U1063" i="1" s="1"/>
  <c r="T1055" i="1"/>
  <c r="U1055" i="1" s="1"/>
  <c r="T1047" i="1"/>
  <c r="U1047" i="1" s="1"/>
  <c r="T1039" i="1"/>
  <c r="U1039" i="1" s="1"/>
  <c r="T1031" i="1"/>
  <c r="U1031" i="1" s="1"/>
  <c r="T1023" i="1"/>
  <c r="U1023" i="1" s="1"/>
  <c r="T1015" i="1"/>
  <c r="U1015" i="1" s="1"/>
  <c r="T1007" i="1"/>
  <c r="U1007" i="1" s="1"/>
  <c r="T999" i="1"/>
  <c r="U999" i="1" s="1"/>
  <c r="T991" i="1"/>
  <c r="U991" i="1" s="1"/>
  <c r="T983" i="1"/>
  <c r="U983" i="1" s="1"/>
  <c r="T975" i="1"/>
  <c r="U975" i="1" s="1"/>
  <c r="T967" i="1"/>
  <c r="U967" i="1" s="1"/>
  <c r="T959" i="1"/>
  <c r="U959" i="1" s="1"/>
  <c r="T951" i="1"/>
  <c r="U951" i="1" s="1"/>
  <c r="T943" i="1"/>
  <c r="U943" i="1" s="1"/>
  <c r="T935" i="1"/>
  <c r="U935" i="1" s="1"/>
  <c r="T927" i="1"/>
  <c r="U927" i="1" s="1"/>
  <c r="T919" i="1"/>
  <c r="U919" i="1" s="1"/>
  <c r="T911" i="1"/>
  <c r="U911" i="1" s="1"/>
  <c r="T903" i="1"/>
  <c r="U903" i="1" s="1"/>
  <c r="T895" i="1"/>
  <c r="U895" i="1" s="1"/>
  <c r="T887" i="1"/>
  <c r="U887" i="1" s="1"/>
  <c r="T879" i="1"/>
  <c r="U879" i="1" s="1"/>
  <c r="T871" i="1"/>
  <c r="U871" i="1" s="1"/>
  <c r="T863" i="1"/>
  <c r="U863" i="1" s="1"/>
  <c r="T855" i="1"/>
  <c r="U855" i="1" s="1"/>
  <c r="T847" i="1"/>
  <c r="U847" i="1" s="1"/>
  <c r="T839" i="1"/>
  <c r="U839" i="1" s="1"/>
  <c r="T831" i="1"/>
  <c r="U831" i="1" s="1"/>
  <c r="T823" i="1"/>
  <c r="U823" i="1" s="1"/>
  <c r="T815" i="1"/>
  <c r="U815" i="1" s="1"/>
  <c r="T807" i="1"/>
  <c r="U807" i="1" s="1"/>
  <c r="T799" i="1"/>
  <c r="U799" i="1" s="1"/>
  <c r="T791" i="1"/>
  <c r="U791" i="1" s="1"/>
  <c r="T783" i="1"/>
  <c r="U783" i="1" s="1"/>
  <c r="T775" i="1"/>
  <c r="U775" i="1" s="1"/>
  <c r="T767" i="1"/>
  <c r="U767" i="1" s="1"/>
  <c r="T759" i="1"/>
  <c r="U759" i="1" s="1"/>
  <c r="T751" i="1"/>
  <c r="U751" i="1" s="1"/>
  <c r="T743" i="1"/>
  <c r="U743" i="1" s="1"/>
  <c r="T735" i="1"/>
  <c r="U735" i="1" s="1"/>
  <c r="T727" i="1"/>
  <c r="U727" i="1" s="1"/>
  <c r="T719" i="1"/>
  <c r="U719" i="1" s="1"/>
  <c r="T711" i="1"/>
  <c r="U711" i="1" s="1"/>
  <c r="T703" i="1"/>
  <c r="U703" i="1" s="1"/>
  <c r="T695" i="1"/>
  <c r="U695" i="1" s="1"/>
  <c r="T687" i="1"/>
  <c r="U687" i="1" s="1"/>
  <c r="T679" i="1"/>
  <c r="U679" i="1" s="1"/>
  <c r="T671" i="1"/>
  <c r="U671" i="1" s="1"/>
  <c r="T663" i="1"/>
  <c r="U663" i="1" s="1"/>
  <c r="T655" i="1"/>
  <c r="U655" i="1" s="1"/>
  <c r="T647" i="1"/>
  <c r="U647" i="1" s="1"/>
  <c r="T639" i="1"/>
  <c r="U639" i="1" s="1"/>
  <c r="T631" i="1"/>
  <c r="U631" i="1" s="1"/>
  <c r="T623" i="1"/>
  <c r="U623" i="1" s="1"/>
  <c r="T615" i="1"/>
  <c r="U615" i="1" s="1"/>
  <c r="T607" i="1"/>
  <c r="U607" i="1" s="1"/>
  <c r="T599" i="1"/>
  <c r="U599" i="1" s="1"/>
  <c r="T591" i="1"/>
  <c r="U591" i="1" s="1"/>
  <c r="T583" i="1"/>
  <c r="U583" i="1" s="1"/>
  <c r="T575" i="1"/>
  <c r="U575" i="1" s="1"/>
  <c r="T567" i="1"/>
  <c r="U567" i="1" s="1"/>
  <c r="T559" i="1"/>
  <c r="U559" i="1" s="1"/>
  <c r="T551" i="1"/>
  <c r="U551" i="1" s="1"/>
  <c r="T543" i="1"/>
  <c r="U543" i="1" s="1"/>
  <c r="T535" i="1"/>
  <c r="U535" i="1" s="1"/>
  <c r="T527" i="1"/>
  <c r="U527" i="1" s="1"/>
  <c r="T519" i="1"/>
  <c r="U519" i="1" s="1"/>
  <c r="T511" i="1"/>
  <c r="U511" i="1" s="1"/>
  <c r="T503" i="1"/>
  <c r="U503" i="1" s="1"/>
  <c r="T495" i="1"/>
  <c r="U495" i="1" s="1"/>
  <c r="T487" i="1"/>
  <c r="U487" i="1" s="1"/>
  <c r="T479" i="1"/>
  <c r="U479" i="1" s="1"/>
  <c r="T471" i="1"/>
  <c r="U471" i="1" s="1"/>
  <c r="T463" i="1"/>
  <c r="U463" i="1" s="1"/>
  <c r="T455" i="1"/>
  <c r="U455" i="1" s="1"/>
  <c r="T447" i="1"/>
  <c r="U447" i="1" s="1"/>
  <c r="T439" i="1"/>
  <c r="U439" i="1" s="1"/>
  <c r="T431" i="1"/>
  <c r="U431" i="1" s="1"/>
  <c r="T423" i="1"/>
  <c r="U423" i="1" s="1"/>
  <c r="T415" i="1"/>
  <c r="U415" i="1" s="1"/>
  <c r="T407" i="1"/>
  <c r="U407" i="1" s="1"/>
  <c r="T399" i="1"/>
  <c r="U399" i="1" s="1"/>
  <c r="T391" i="1"/>
  <c r="U391" i="1" s="1"/>
  <c r="T383" i="1"/>
  <c r="U383" i="1" s="1"/>
  <c r="T375" i="1"/>
  <c r="U375" i="1" s="1"/>
  <c r="T367" i="1"/>
  <c r="U367" i="1" s="1"/>
  <c r="T359" i="1"/>
  <c r="U359" i="1" s="1"/>
  <c r="T351" i="1"/>
  <c r="U351" i="1" s="1"/>
  <c r="T343" i="1"/>
  <c r="U343" i="1" s="1"/>
  <c r="T335" i="1"/>
  <c r="U335" i="1" s="1"/>
  <c r="T327" i="1"/>
  <c r="U327" i="1" s="1"/>
  <c r="T319" i="1"/>
  <c r="U319" i="1" s="1"/>
  <c r="T311" i="1"/>
  <c r="U311" i="1" s="1"/>
  <c r="T303" i="1"/>
  <c r="U303" i="1" s="1"/>
  <c r="T295" i="1"/>
  <c r="U295" i="1" s="1"/>
  <c r="T287" i="1"/>
  <c r="U287" i="1" s="1"/>
  <c r="T279" i="1"/>
  <c r="U279" i="1" s="1"/>
  <c r="T271" i="1"/>
  <c r="U271" i="1" s="1"/>
  <c r="T263" i="1"/>
  <c r="U263" i="1" s="1"/>
  <c r="T255" i="1"/>
  <c r="U255" i="1" s="1"/>
  <c r="T247" i="1"/>
  <c r="U247" i="1" s="1"/>
  <c r="T239" i="1"/>
  <c r="U239" i="1" s="1"/>
  <c r="T231" i="1"/>
  <c r="U231" i="1" s="1"/>
  <c r="T223" i="1"/>
  <c r="U223" i="1" s="1"/>
  <c r="T215" i="1"/>
  <c r="U215" i="1" s="1"/>
  <c r="T207" i="1"/>
  <c r="U207" i="1" s="1"/>
  <c r="T199" i="1"/>
  <c r="U199" i="1" s="1"/>
  <c r="T191" i="1"/>
  <c r="U191" i="1" s="1"/>
  <c r="T183" i="1"/>
  <c r="U183" i="1" s="1"/>
  <c r="T175" i="1"/>
  <c r="U175" i="1" s="1"/>
  <c r="T167" i="1"/>
  <c r="U167" i="1" s="1"/>
  <c r="T159" i="1"/>
  <c r="U159" i="1" s="1"/>
  <c r="T151" i="1"/>
  <c r="U151" i="1" s="1"/>
  <c r="T143" i="1"/>
  <c r="U143" i="1" s="1"/>
  <c r="T135" i="1"/>
  <c r="U135" i="1" s="1"/>
  <c r="T127" i="1"/>
  <c r="U127" i="1" s="1"/>
  <c r="T119" i="1"/>
  <c r="U119" i="1" s="1"/>
  <c r="T111" i="1"/>
  <c r="U111" i="1" s="1"/>
  <c r="T103" i="1"/>
  <c r="U103" i="1" s="1"/>
  <c r="T95" i="1"/>
  <c r="U95" i="1" s="1"/>
  <c r="T87" i="1"/>
  <c r="U87" i="1" s="1"/>
  <c r="T79" i="1"/>
  <c r="U79" i="1" s="1"/>
  <c r="T71" i="1"/>
  <c r="U71" i="1" s="1"/>
  <c r="T63" i="1"/>
  <c r="U63" i="1" s="1"/>
  <c r="T55" i="1"/>
  <c r="U55" i="1" s="1"/>
  <c r="T47" i="1"/>
  <c r="U47" i="1" s="1"/>
  <c r="T39" i="1"/>
  <c r="U39" i="1" s="1"/>
  <c r="T31" i="1"/>
  <c r="U31" i="1" s="1"/>
  <c r="T23" i="1"/>
  <c r="U23" i="1" s="1"/>
  <c r="T15" i="1"/>
  <c r="U15" i="1" s="1"/>
  <c r="T7" i="1"/>
  <c r="U7" i="1" s="1"/>
  <c r="T1206" i="1"/>
  <c r="U1206" i="1" s="1"/>
  <c r="T1198" i="1"/>
  <c r="U1198" i="1" s="1"/>
  <c r="T1190" i="1"/>
  <c r="U1190" i="1" s="1"/>
  <c r="T1182" i="1"/>
  <c r="U1182" i="1" s="1"/>
  <c r="T1174" i="1"/>
  <c r="U1174" i="1" s="1"/>
  <c r="T1166" i="1"/>
  <c r="U1166" i="1" s="1"/>
  <c r="T1158" i="1"/>
  <c r="U1158" i="1" s="1"/>
  <c r="T1150" i="1"/>
  <c r="U1150" i="1" s="1"/>
  <c r="T1142" i="1"/>
  <c r="U1142" i="1" s="1"/>
  <c r="T1134" i="1"/>
  <c r="U1134" i="1" s="1"/>
  <c r="T1126" i="1"/>
  <c r="U1126" i="1" s="1"/>
  <c r="T1118" i="1"/>
  <c r="U1118" i="1" s="1"/>
  <c r="T1110" i="1"/>
  <c r="U1110" i="1" s="1"/>
  <c r="T1102" i="1"/>
  <c r="U1102" i="1" s="1"/>
  <c r="T1094" i="1"/>
  <c r="U1094" i="1" s="1"/>
  <c r="T1086" i="1"/>
  <c r="U1086" i="1" s="1"/>
  <c r="T1078" i="1"/>
  <c r="U1078" i="1" s="1"/>
  <c r="T1070" i="1"/>
  <c r="U1070" i="1" s="1"/>
  <c r="T1062" i="1"/>
  <c r="U1062" i="1" s="1"/>
  <c r="T1054" i="1"/>
  <c r="U1054" i="1" s="1"/>
  <c r="T1046" i="1"/>
  <c r="U1046" i="1" s="1"/>
  <c r="T1038" i="1"/>
  <c r="U1038" i="1" s="1"/>
  <c r="T1030" i="1"/>
  <c r="U1030" i="1" s="1"/>
  <c r="T1022" i="1"/>
  <c r="U1022" i="1" s="1"/>
  <c r="T1014" i="1"/>
  <c r="U1014" i="1" s="1"/>
  <c r="T1006" i="1"/>
  <c r="U1006" i="1" s="1"/>
  <c r="T998" i="1"/>
  <c r="U998" i="1" s="1"/>
  <c r="T990" i="1"/>
  <c r="U990" i="1" s="1"/>
  <c r="T982" i="1"/>
  <c r="U982" i="1" s="1"/>
  <c r="T974" i="1"/>
  <c r="U974" i="1" s="1"/>
  <c r="T966" i="1"/>
  <c r="U966" i="1" s="1"/>
  <c r="T958" i="1"/>
  <c r="U958" i="1" s="1"/>
  <c r="T950" i="1"/>
  <c r="U950" i="1" s="1"/>
  <c r="T942" i="1"/>
  <c r="U942" i="1" s="1"/>
  <c r="T934" i="1"/>
  <c r="U934" i="1" s="1"/>
  <c r="T926" i="1"/>
  <c r="U926" i="1" s="1"/>
  <c r="T918" i="1"/>
  <c r="U918" i="1" s="1"/>
  <c r="T910" i="1"/>
  <c r="U910" i="1" s="1"/>
  <c r="T902" i="1"/>
  <c r="U902" i="1" s="1"/>
  <c r="T894" i="1"/>
  <c r="U894" i="1" s="1"/>
  <c r="T886" i="1"/>
  <c r="U886" i="1" s="1"/>
  <c r="T878" i="1"/>
  <c r="U878" i="1" s="1"/>
  <c r="T870" i="1"/>
  <c r="U870" i="1" s="1"/>
  <c r="T862" i="1"/>
  <c r="U862" i="1" s="1"/>
  <c r="T854" i="1"/>
  <c r="U854" i="1" s="1"/>
  <c r="T846" i="1"/>
  <c r="U846" i="1" s="1"/>
  <c r="T838" i="1"/>
  <c r="U838" i="1" s="1"/>
  <c r="T830" i="1"/>
  <c r="U830" i="1" s="1"/>
  <c r="T822" i="1"/>
  <c r="U822" i="1" s="1"/>
  <c r="T814" i="1"/>
  <c r="U814" i="1" s="1"/>
  <c r="T806" i="1"/>
  <c r="U806" i="1" s="1"/>
  <c r="T798" i="1"/>
  <c r="U798" i="1" s="1"/>
  <c r="T790" i="1"/>
  <c r="U790" i="1" s="1"/>
  <c r="T782" i="1"/>
  <c r="U782" i="1" s="1"/>
  <c r="T774" i="1"/>
  <c r="U774" i="1" s="1"/>
  <c r="T766" i="1"/>
  <c r="U766" i="1" s="1"/>
  <c r="T758" i="1"/>
  <c r="U758" i="1" s="1"/>
  <c r="T750" i="1"/>
  <c r="U750" i="1" s="1"/>
  <c r="T742" i="1"/>
  <c r="U742" i="1" s="1"/>
  <c r="T734" i="1"/>
  <c r="U734" i="1" s="1"/>
  <c r="T726" i="1"/>
  <c r="U726" i="1" s="1"/>
  <c r="T718" i="1"/>
  <c r="U718" i="1" s="1"/>
  <c r="T710" i="1"/>
  <c r="U710" i="1" s="1"/>
  <c r="T702" i="1"/>
  <c r="U702" i="1" s="1"/>
  <c r="T694" i="1"/>
  <c r="U694" i="1" s="1"/>
  <c r="T686" i="1"/>
  <c r="U686" i="1" s="1"/>
  <c r="T678" i="1"/>
  <c r="U678" i="1" s="1"/>
  <c r="T670" i="1"/>
  <c r="U670" i="1" s="1"/>
  <c r="T662" i="1"/>
  <c r="U662" i="1" s="1"/>
  <c r="T654" i="1"/>
  <c r="U654" i="1" s="1"/>
  <c r="T646" i="1"/>
  <c r="U646" i="1" s="1"/>
  <c r="T638" i="1"/>
  <c r="U638" i="1" s="1"/>
  <c r="T630" i="1"/>
  <c r="U630" i="1" s="1"/>
  <c r="T622" i="1"/>
  <c r="U622" i="1" s="1"/>
  <c r="T614" i="1"/>
  <c r="U614" i="1" s="1"/>
  <c r="T606" i="1"/>
  <c r="U606" i="1" s="1"/>
  <c r="T598" i="1"/>
  <c r="U598" i="1" s="1"/>
  <c r="T590" i="1"/>
  <c r="U590" i="1" s="1"/>
  <c r="T582" i="1"/>
  <c r="U582" i="1" s="1"/>
  <c r="T574" i="1"/>
  <c r="U574" i="1" s="1"/>
  <c r="T566" i="1"/>
  <c r="U566" i="1" s="1"/>
  <c r="T558" i="1"/>
  <c r="U558" i="1" s="1"/>
  <c r="T550" i="1"/>
  <c r="U550" i="1" s="1"/>
  <c r="T542" i="1"/>
  <c r="U542" i="1" s="1"/>
  <c r="T534" i="1"/>
  <c r="U534" i="1" s="1"/>
  <c r="T526" i="1"/>
  <c r="U526" i="1" s="1"/>
  <c r="T518" i="1"/>
  <c r="U518" i="1" s="1"/>
  <c r="T510" i="1"/>
  <c r="U510" i="1" s="1"/>
  <c r="T502" i="1"/>
  <c r="U502" i="1" s="1"/>
  <c r="T494" i="1"/>
  <c r="U494" i="1" s="1"/>
  <c r="T486" i="1"/>
  <c r="U486" i="1" s="1"/>
  <c r="T478" i="1"/>
  <c r="U478" i="1" s="1"/>
  <c r="T470" i="1"/>
  <c r="U470" i="1" s="1"/>
  <c r="T462" i="1"/>
  <c r="U462" i="1" s="1"/>
  <c r="T454" i="1"/>
  <c r="U454" i="1" s="1"/>
  <c r="T446" i="1"/>
  <c r="U446" i="1" s="1"/>
  <c r="T438" i="1"/>
  <c r="U438" i="1" s="1"/>
  <c r="T430" i="1"/>
  <c r="U430" i="1" s="1"/>
  <c r="T422" i="1"/>
  <c r="U422" i="1" s="1"/>
  <c r="T414" i="1"/>
  <c r="U414" i="1" s="1"/>
  <c r="T406" i="1"/>
  <c r="U406" i="1" s="1"/>
  <c r="T398" i="1"/>
  <c r="U398" i="1" s="1"/>
  <c r="T390" i="1"/>
  <c r="U390" i="1" s="1"/>
  <c r="T382" i="1"/>
  <c r="U382" i="1" s="1"/>
  <c r="T374" i="1"/>
  <c r="U374" i="1" s="1"/>
  <c r="T366" i="1"/>
  <c r="U366" i="1" s="1"/>
  <c r="T358" i="1"/>
  <c r="U358" i="1" s="1"/>
  <c r="T350" i="1"/>
  <c r="U350" i="1" s="1"/>
  <c r="T342" i="1"/>
  <c r="U342" i="1" s="1"/>
  <c r="T334" i="1"/>
  <c r="U334" i="1" s="1"/>
  <c r="T326" i="1"/>
  <c r="U326" i="1" s="1"/>
  <c r="T318" i="1"/>
  <c r="U318" i="1" s="1"/>
  <c r="T310" i="1"/>
  <c r="U310" i="1" s="1"/>
  <c r="T302" i="1"/>
  <c r="U302" i="1" s="1"/>
  <c r="T294" i="1"/>
  <c r="U294" i="1" s="1"/>
  <c r="T286" i="1"/>
  <c r="U286" i="1" s="1"/>
  <c r="T278" i="1"/>
  <c r="U278" i="1" s="1"/>
  <c r="T270" i="1"/>
  <c r="U270" i="1" s="1"/>
  <c r="T262" i="1"/>
  <c r="U262" i="1" s="1"/>
  <c r="T254" i="1"/>
  <c r="U254" i="1" s="1"/>
  <c r="T246" i="1"/>
  <c r="U246" i="1" s="1"/>
  <c r="T238" i="1"/>
  <c r="U238" i="1" s="1"/>
  <c r="T230" i="1"/>
  <c r="U230" i="1" s="1"/>
  <c r="T222" i="1"/>
  <c r="U222" i="1" s="1"/>
  <c r="T214" i="1"/>
  <c r="U214" i="1" s="1"/>
  <c r="T206" i="1"/>
  <c r="U206" i="1" s="1"/>
  <c r="T198" i="1"/>
  <c r="U198" i="1" s="1"/>
  <c r="T190" i="1"/>
  <c r="U190" i="1" s="1"/>
  <c r="T182" i="1"/>
  <c r="U182" i="1" s="1"/>
  <c r="T174" i="1"/>
  <c r="U174" i="1" s="1"/>
  <c r="T166" i="1"/>
  <c r="U166" i="1" s="1"/>
  <c r="T158" i="1"/>
  <c r="U158" i="1" s="1"/>
  <c r="T150" i="1"/>
  <c r="U150" i="1" s="1"/>
  <c r="T142" i="1"/>
  <c r="U142" i="1" s="1"/>
  <c r="T134" i="1"/>
  <c r="U134" i="1" s="1"/>
  <c r="T126" i="1"/>
  <c r="U126" i="1" s="1"/>
  <c r="T118" i="1"/>
  <c r="U118" i="1" s="1"/>
  <c r="T110" i="1"/>
  <c r="U110" i="1" s="1"/>
  <c r="T102" i="1"/>
  <c r="U102" i="1" s="1"/>
  <c r="T94" i="1"/>
  <c r="U94" i="1" s="1"/>
  <c r="T86" i="1"/>
  <c r="U86" i="1" s="1"/>
  <c r="T78" i="1"/>
  <c r="U78" i="1" s="1"/>
  <c r="T70" i="1"/>
  <c r="U70" i="1" s="1"/>
  <c r="T62" i="1"/>
  <c r="U62" i="1" s="1"/>
  <c r="T54" i="1"/>
  <c r="U54" i="1" s="1"/>
  <c r="T46" i="1"/>
  <c r="U46" i="1" s="1"/>
  <c r="T38" i="1"/>
  <c r="U38" i="1" s="1"/>
  <c r="T30" i="1"/>
  <c r="U30" i="1" s="1"/>
  <c r="T22" i="1"/>
  <c r="U22" i="1" s="1"/>
  <c r="T14" i="1"/>
  <c r="U14" i="1" s="1"/>
  <c r="T6" i="1"/>
  <c r="U6" i="1" s="1"/>
  <c r="T1053" i="1"/>
  <c r="U1053" i="1" s="1"/>
  <c r="T1045" i="1"/>
  <c r="U1045" i="1" s="1"/>
  <c r="T1037" i="1"/>
  <c r="U1037" i="1" s="1"/>
  <c r="T1029" i="1"/>
  <c r="U1029" i="1" s="1"/>
  <c r="T1021" i="1"/>
  <c r="U1021" i="1" s="1"/>
  <c r="T1013" i="1"/>
  <c r="U1013" i="1" s="1"/>
  <c r="T1005" i="1"/>
  <c r="U1005" i="1" s="1"/>
  <c r="T997" i="1"/>
  <c r="U997" i="1" s="1"/>
  <c r="T989" i="1"/>
  <c r="U989" i="1" s="1"/>
  <c r="T981" i="1"/>
  <c r="U981" i="1" s="1"/>
  <c r="T973" i="1"/>
  <c r="U973" i="1" s="1"/>
  <c r="T965" i="1"/>
  <c r="U965" i="1" s="1"/>
  <c r="T957" i="1"/>
  <c r="U957" i="1" s="1"/>
  <c r="T949" i="1"/>
  <c r="U949" i="1" s="1"/>
  <c r="T941" i="1"/>
  <c r="U941" i="1" s="1"/>
  <c r="T933" i="1"/>
  <c r="U933" i="1" s="1"/>
  <c r="T925" i="1"/>
  <c r="U925" i="1" s="1"/>
  <c r="T917" i="1"/>
  <c r="U917" i="1" s="1"/>
  <c r="T909" i="1"/>
  <c r="U909" i="1" s="1"/>
  <c r="T901" i="1"/>
  <c r="U901" i="1" s="1"/>
  <c r="T893" i="1"/>
  <c r="U893" i="1" s="1"/>
  <c r="T885" i="1"/>
  <c r="U885" i="1" s="1"/>
  <c r="T877" i="1"/>
  <c r="U877" i="1" s="1"/>
  <c r="T869" i="1"/>
  <c r="U869" i="1" s="1"/>
  <c r="T861" i="1"/>
  <c r="U861" i="1" s="1"/>
  <c r="T853" i="1"/>
  <c r="U853" i="1" s="1"/>
  <c r="T845" i="1"/>
  <c r="U845" i="1" s="1"/>
  <c r="T837" i="1"/>
  <c r="U837" i="1" s="1"/>
  <c r="T829" i="1"/>
  <c r="U829" i="1" s="1"/>
  <c r="T821" i="1"/>
  <c r="U821" i="1" s="1"/>
  <c r="T813" i="1"/>
  <c r="U813" i="1" s="1"/>
  <c r="T805" i="1"/>
  <c r="U805" i="1" s="1"/>
  <c r="T797" i="1"/>
  <c r="U797" i="1" s="1"/>
  <c r="T789" i="1"/>
  <c r="U789" i="1" s="1"/>
  <c r="T781" i="1"/>
  <c r="U781" i="1" s="1"/>
  <c r="T773" i="1"/>
  <c r="U773" i="1" s="1"/>
  <c r="T765" i="1"/>
  <c r="U765" i="1" s="1"/>
  <c r="T757" i="1"/>
  <c r="U757" i="1" s="1"/>
  <c r="T749" i="1"/>
  <c r="U749" i="1" s="1"/>
  <c r="T741" i="1"/>
  <c r="U741" i="1" s="1"/>
  <c r="T733" i="1"/>
  <c r="U733" i="1" s="1"/>
  <c r="T725" i="1"/>
  <c r="U725" i="1" s="1"/>
  <c r="T717" i="1"/>
  <c r="U717" i="1" s="1"/>
  <c r="T709" i="1"/>
  <c r="U709" i="1" s="1"/>
  <c r="T701" i="1"/>
  <c r="U701" i="1" s="1"/>
  <c r="T693" i="1"/>
  <c r="U693" i="1" s="1"/>
  <c r="T685" i="1"/>
  <c r="U685" i="1" s="1"/>
  <c r="T677" i="1"/>
  <c r="U677" i="1" s="1"/>
  <c r="T669" i="1"/>
  <c r="U669" i="1" s="1"/>
  <c r="T661" i="1"/>
  <c r="U661" i="1" s="1"/>
  <c r="T653" i="1"/>
  <c r="U653" i="1" s="1"/>
  <c r="T645" i="1"/>
  <c r="U645" i="1" s="1"/>
  <c r="T637" i="1"/>
  <c r="U637" i="1" s="1"/>
  <c r="T629" i="1"/>
  <c r="U629" i="1" s="1"/>
  <c r="T621" i="1"/>
  <c r="U621" i="1" s="1"/>
  <c r="T613" i="1"/>
  <c r="U613" i="1" s="1"/>
  <c r="T605" i="1"/>
  <c r="U605" i="1" s="1"/>
  <c r="T597" i="1"/>
  <c r="U597" i="1" s="1"/>
  <c r="T589" i="1"/>
  <c r="U589" i="1" s="1"/>
  <c r="T581" i="1"/>
  <c r="U581" i="1" s="1"/>
  <c r="T573" i="1"/>
  <c r="U573" i="1" s="1"/>
  <c r="T565" i="1"/>
  <c r="U565" i="1" s="1"/>
  <c r="T557" i="1"/>
  <c r="U557" i="1" s="1"/>
  <c r="T549" i="1"/>
  <c r="U549" i="1" s="1"/>
  <c r="T541" i="1"/>
  <c r="U541" i="1" s="1"/>
  <c r="T533" i="1"/>
  <c r="U533" i="1" s="1"/>
  <c r="T525" i="1"/>
  <c r="U525" i="1" s="1"/>
  <c r="T517" i="1"/>
  <c r="U517" i="1" s="1"/>
  <c r="T509" i="1"/>
  <c r="U509" i="1" s="1"/>
  <c r="T501" i="1"/>
  <c r="U501" i="1" s="1"/>
  <c r="T493" i="1"/>
  <c r="U493" i="1" s="1"/>
  <c r="T485" i="1"/>
  <c r="U485" i="1" s="1"/>
  <c r="T477" i="1"/>
  <c r="U477" i="1" s="1"/>
  <c r="T469" i="1"/>
  <c r="U469" i="1" s="1"/>
  <c r="T461" i="1"/>
  <c r="U461" i="1" s="1"/>
  <c r="T453" i="1"/>
  <c r="U453" i="1" s="1"/>
  <c r="T445" i="1"/>
  <c r="U445" i="1" s="1"/>
  <c r="T437" i="1"/>
  <c r="U437" i="1" s="1"/>
  <c r="T429" i="1"/>
  <c r="U429" i="1" s="1"/>
  <c r="T421" i="1"/>
  <c r="U421" i="1" s="1"/>
  <c r="T413" i="1"/>
  <c r="U413" i="1" s="1"/>
  <c r="T405" i="1"/>
  <c r="U405" i="1" s="1"/>
  <c r="T397" i="1"/>
  <c r="U397" i="1" s="1"/>
  <c r="T389" i="1"/>
  <c r="U389" i="1" s="1"/>
  <c r="T381" i="1"/>
  <c r="U381" i="1" s="1"/>
  <c r="T373" i="1"/>
  <c r="U373" i="1" s="1"/>
  <c r="T365" i="1"/>
  <c r="U365" i="1" s="1"/>
  <c r="T357" i="1"/>
  <c r="U357" i="1" s="1"/>
  <c r="T349" i="1"/>
  <c r="U349" i="1" s="1"/>
  <c r="T341" i="1"/>
  <c r="U341" i="1" s="1"/>
  <c r="T333" i="1"/>
  <c r="U333" i="1" s="1"/>
  <c r="T325" i="1"/>
  <c r="U325" i="1" s="1"/>
  <c r="T317" i="1"/>
  <c r="U317" i="1" s="1"/>
  <c r="T309" i="1"/>
  <c r="U309" i="1" s="1"/>
  <c r="T301" i="1"/>
  <c r="U301" i="1" s="1"/>
  <c r="T293" i="1"/>
  <c r="U293" i="1" s="1"/>
  <c r="T285" i="1"/>
  <c r="U285" i="1" s="1"/>
  <c r="T277" i="1"/>
  <c r="U277" i="1" s="1"/>
  <c r="T269" i="1"/>
  <c r="U269" i="1" s="1"/>
  <c r="T261" i="1"/>
  <c r="U261" i="1" s="1"/>
  <c r="T253" i="1"/>
  <c r="U253" i="1" s="1"/>
  <c r="T245" i="1"/>
  <c r="U245" i="1" s="1"/>
  <c r="T237" i="1"/>
  <c r="U237" i="1" s="1"/>
  <c r="T229" i="1"/>
  <c r="U229" i="1" s="1"/>
  <c r="T221" i="1"/>
  <c r="U221" i="1" s="1"/>
  <c r="T213" i="1"/>
  <c r="U213" i="1" s="1"/>
  <c r="T205" i="1"/>
  <c r="U205" i="1" s="1"/>
  <c r="T197" i="1"/>
  <c r="U197" i="1" s="1"/>
  <c r="T189" i="1"/>
  <c r="U189" i="1" s="1"/>
  <c r="T181" i="1"/>
  <c r="U181" i="1" s="1"/>
  <c r="T173" i="1"/>
  <c r="U173" i="1" s="1"/>
  <c r="T165" i="1"/>
  <c r="U165" i="1" s="1"/>
  <c r="T157" i="1"/>
  <c r="U157" i="1" s="1"/>
  <c r="T149" i="1"/>
  <c r="U149" i="1" s="1"/>
  <c r="T141" i="1"/>
  <c r="U141" i="1" s="1"/>
  <c r="T133" i="1"/>
  <c r="U133" i="1" s="1"/>
  <c r="T125" i="1"/>
  <c r="U125" i="1" s="1"/>
  <c r="T117" i="1"/>
  <c r="U117" i="1" s="1"/>
  <c r="T109" i="1"/>
  <c r="U109" i="1" s="1"/>
  <c r="T101" i="1"/>
  <c r="U101" i="1" s="1"/>
  <c r="T93" i="1"/>
  <c r="U93" i="1" s="1"/>
  <c r="T85" i="1"/>
  <c r="U85" i="1" s="1"/>
  <c r="T77" i="1"/>
  <c r="U77" i="1" s="1"/>
  <c r="T69" i="1"/>
  <c r="U69" i="1" s="1"/>
  <c r="T61" i="1"/>
  <c r="U61" i="1" s="1"/>
  <c r="T53" i="1"/>
  <c r="U53" i="1" s="1"/>
  <c r="T45" i="1"/>
  <c r="U45" i="1" s="1"/>
  <c r="T37" i="1"/>
  <c r="U37" i="1" s="1"/>
  <c r="T29" i="1"/>
  <c r="U29" i="1" s="1"/>
  <c r="T21" i="1"/>
  <c r="U21" i="1" s="1"/>
  <c r="T13" i="1"/>
  <c r="U13" i="1" s="1"/>
  <c r="T5" i="1"/>
  <c r="U5" i="1" s="1"/>
  <c r="T68" i="1"/>
  <c r="U68" i="1" s="1"/>
  <c r="T60" i="1"/>
  <c r="U60" i="1" s="1"/>
  <c r="T36" i="1"/>
  <c r="U36" i="1" s="1"/>
  <c r="T28" i="1"/>
  <c r="U28" i="1" s="1"/>
  <c r="T4" i="1"/>
  <c r="U4" i="1" s="1"/>
  <c r="T129" i="1"/>
  <c r="U129" i="1" s="1"/>
  <c r="T121" i="1"/>
  <c r="U121" i="1" s="1"/>
  <c r="T113" i="1"/>
  <c r="U113" i="1" s="1"/>
  <c r="T105" i="1"/>
  <c r="U105" i="1" s="1"/>
  <c r="T97" i="1"/>
  <c r="U97" i="1" s="1"/>
  <c r="T89" i="1"/>
  <c r="U89" i="1" s="1"/>
  <c r="T81" i="1"/>
  <c r="U81" i="1" s="1"/>
  <c r="T73" i="1"/>
  <c r="U73" i="1" s="1"/>
  <c r="T65" i="1"/>
  <c r="U65" i="1" s="1"/>
  <c r="T57" i="1"/>
  <c r="U57" i="1" s="1"/>
  <c r="T49" i="1"/>
  <c r="U49" i="1" s="1"/>
  <c r="T41" i="1"/>
  <c r="U41" i="1" s="1"/>
  <c r="T33" i="1"/>
  <c r="U33" i="1" s="1"/>
  <c r="T25" i="1"/>
  <c r="U25" i="1" s="1"/>
  <c r="T17" i="1"/>
  <c r="U17" i="1" s="1"/>
  <c r="T9" i="1"/>
  <c r="U9" i="1" s="1"/>
  <c r="T120" i="1"/>
  <c r="U120" i="1" s="1"/>
  <c r="T112" i="1"/>
  <c r="U112" i="1" s="1"/>
  <c r="T104" i="1"/>
  <c r="U104" i="1" s="1"/>
  <c r="T96" i="1"/>
  <c r="U96" i="1" s="1"/>
  <c r="T88" i="1"/>
  <c r="U88" i="1" s="1"/>
  <c r="T80" i="1"/>
  <c r="U80" i="1" s="1"/>
  <c r="T72" i="1"/>
  <c r="U72" i="1" s="1"/>
  <c r="T64" i="1"/>
  <c r="U64" i="1" s="1"/>
  <c r="T56" i="1"/>
  <c r="U56" i="1" s="1"/>
  <c r="T48" i="1"/>
  <c r="U48" i="1" s="1"/>
  <c r="T40" i="1"/>
  <c r="U40" i="1" s="1"/>
  <c r="T32" i="1"/>
  <c r="U32" i="1" s="1"/>
  <c r="T24" i="1"/>
  <c r="U24" i="1" s="1"/>
  <c r="T16" i="1"/>
  <c r="U16" i="1" s="1"/>
  <c r="T8" i="1"/>
  <c r="U8" i="1" s="1"/>
</calcChain>
</file>

<file path=xl/sharedStrings.xml><?xml version="1.0" encoding="utf-8"?>
<sst xmlns="http://schemas.openxmlformats.org/spreadsheetml/2006/main" count="14078" uniqueCount="2073">
  <si>
    <t>batch_id</t>
  </si>
  <si>
    <t>crop_type</t>
  </si>
  <si>
    <t>region</t>
  </si>
  <si>
    <t>season</t>
  </si>
  <si>
    <t>yield_quantity_kg</t>
  </si>
  <si>
    <t>moisture_content_%</t>
  </si>
  <si>
    <t>avg_temperature_celsius</t>
  </si>
  <si>
    <t>transport_delay_hours</t>
  </si>
  <si>
    <t>equipment_downtime_hours</t>
  </si>
  <si>
    <t>storage_duration_days</t>
  </si>
  <si>
    <t>quality_grade</t>
  </si>
  <si>
    <t>spoilage_loss_%</t>
  </si>
  <si>
    <t>supply_chain_stage</t>
  </si>
  <si>
    <t>resource_utilization_%</t>
  </si>
  <si>
    <t>climate_risk_level</t>
  </si>
  <si>
    <t>input_cost_per_kg</t>
  </si>
  <si>
    <t>final_market_price_per_kg</t>
  </si>
  <si>
    <t>BATCH00000</t>
  </si>
  <si>
    <t>Maize</t>
  </si>
  <si>
    <t>East</t>
  </si>
  <si>
    <t>Rabi</t>
  </si>
  <si>
    <t>C</t>
  </si>
  <si>
    <t>Farm</t>
  </si>
  <si>
    <t>Medium</t>
  </si>
  <si>
    <t>High</t>
  </si>
  <si>
    <t>BATCH00001</t>
  </si>
  <si>
    <t>Barley</t>
  </si>
  <si>
    <t>West</t>
  </si>
  <si>
    <t>Kharif</t>
  </si>
  <si>
    <t>B</t>
  </si>
  <si>
    <t>Low</t>
  </si>
  <si>
    <t>BATCH00002</t>
  </si>
  <si>
    <t>Wheat</t>
  </si>
  <si>
    <t>South</t>
  </si>
  <si>
    <t>A</t>
  </si>
  <si>
    <t>BATCH00003</t>
  </si>
  <si>
    <t>BATCH00004</t>
  </si>
  <si>
    <t>Transit</t>
  </si>
  <si>
    <t>BATCH00005</t>
  </si>
  <si>
    <t>BATCH00006</t>
  </si>
  <si>
    <t>Warehouse</t>
  </si>
  <si>
    <t>BATCH00007</t>
  </si>
  <si>
    <t>BATCH00008</t>
  </si>
  <si>
    <t>North</t>
  </si>
  <si>
    <t>BATCH00009</t>
  </si>
  <si>
    <t>Rice</t>
  </si>
  <si>
    <t>BATCH00010</t>
  </si>
  <si>
    <t>BATCH00011</t>
  </si>
  <si>
    <t>BATCH00012</t>
  </si>
  <si>
    <t>BATCH00013</t>
  </si>
  <si>
    <t>BATCH00014</t>
  </si>
  <si>
    <t>BATCH00015</t>
  </si>
  <si>
    <t>BATCH00016</t>
  </si>
  <si>
    <t>BATCH00017</t>
  </si>
  <si>
    <t>BATCH00018</t>
  </si>
  <si>
    <t>BATCH00019</t>
  </si>
  <si>
    <t>BATCH00020</t>
  </si>
  <si>
    <t>BATCH00021</t>
  </si>
  <si>
    <t>BATCH00022</t>
  </si>
  <si>
    <t>BATCH00023</t>
  </si>
  <si>
    <t>BATCH00024</t>
  </si>
  <si>
    <t>BATCH00025</t>
  </si>
  <si>
    <t>BATCH00026</t>
  </si>
  <si>
    <t>BATCH00027</t>
  </si>
  <si>
    <t>BATCH00028</t>
  </si>
  <si>
    <t>BATCH00029</t>
  </si>
  <si>
    <t>BATCH00030</t>
  </si>
  <si>
    <t>BATCH00031</t>
  </si>
  <si>
    <t>BATCH00032</t>
  </si>
  <si>
    <t>BATCH00033</t>
  </si>
  <si>
    <t>BATCH00034</t>
  </si>
  <si>
    <t>BATCH00035</t>
  </si>
  <si>
    <t>BATCH00036</t>
  </si>
  <si>
    <t>BATCH00037</t>
  </si>
  <si>
    <t>BATCH00038</t>
  </si>
  <si>
    <t>BATCH00039</t>
  </si>
  <si>
    <t>BATCH00040</t>
  </si>
  <si>
    <t>BATCH00041</t>
  </si>
  <si>
    <t>BATCH00042</t>
  </si>
  <si>
    <t>BATCH00043</t>
  </si>
  <si>
    <t>BATCH00044</t>
  </si>
  <si>
    <t>BATCH00045</t>
  </si>
  <si>
    <t>BATCH00046</t>
  </si>
  <si>
    <t>BATCH00047</t>
  </si>
  <si>
    <t>BATCH00048</t>
  </si>
  <si>
    <t>BATCH00049</t>
  </si>
  <si>
    <t>BATCH00050</t>
  </si>
  <si>
    <t>BATCH00051</t>
  </si>
  <si>
    <t>BATCH00052</t>
  </si>
  <si>
    <t>BATCH00053</t>
  </si>
  <si>
    <t>BATCH00054</t>
  </si>
  <si>
    <t>BATCH00055</t>
  </si>
  <si>
    <t>BATCH00056</t>
  </si>
  <si>
    <t>BATCH00057</t>
  </si>
  <si>
    <t>BATCH00058</t>
  </si>
  <si>
    <t>BATCH00059</t>
  </si>
  <si>
    <t>BATCH00060</t>
  </si>
  <si>
    <t>BATCH00061</t>
  </si>
  <si>
    <t>BATCH00062</t>
  </si>
  <si>
    <t>BATCH00063</t>
  </si>
  <si>
    <t>BATCH00064</t>
  </si>
  <si>
    <t>BATCH00065</t>
  </si>
  <si>
    <t>BATCH00066</t>
  </si>
  <si>
    <t>BATCH00067</t>
  </si>
  <si>
    <t>BATCH00068</t>
  </si>
  <si>
    <t>BATCH00069</t>
  </si>
  <si>
    <t>BATCH00070</t>
  </si>
  <si>
    <t>BATCH00071</t>
  </si>
  <si>
    <t>BATCH00072</t>
  </si>
  <si>
    <t>BATCH00073</t>
  </si>
  <si>
    <t>BATCH00074</t>
  </si>
  <si>
    <t>BATCH00075</t>
  </si>
  <si>
    <t>BATCH00076</t>
  </si>
  <si>
    <t>BATCH00077</t>
  </si>
  <si>
    <t>BATCH00078</t>
  </si>
  <si>
    <t>BATCH00079</t>
  </si>
  <si>
    <t>BATCH00080</t>
  </si>
  <si>
    <t>BATCH00081</t>
  </si>
  <si>
    <t>BATCH00082</t>
  </si>
  <si>
    <t>BATCH00083</t>
  </si>
  <si>
    <t>BATCH00084</t>
  </si>
  <si>
    <t>BATCH00085</t>
  </si>
  <si>
    <t>BATCH00086</t>
  </si>
  <si>
    <t>BATCH00087</t>
  </si>
  <si>
    <t>BATCH00088</t>
  </si>
  <si>
    <t>BATCH00089</t>
  </si>
  <si>
    <t>BATCH00090</t>
  </si>
  <si>
    <t>BATCH00091</t>
  </si>
  <si>
    <t>BATCH00092</t>
  </si>
  <si>
    <t>BATCH00093</t>
  </si>
  <si>
    <t>BATCH00094</t>
  </si>
  <si>
    <t>BATCH00095</t>
  </si>
  <si>
    <t>BATCH00096</t>
  </si>
  <si>
    <t>BATCH00097</t>
  </si>
  <si>
    <t>BATCH00098</t>
  </si>
  <si>
    <t>BATCH00099</t>
  </si>
  <si>
    <t>BATCH00100</t>
  </si>
  <si>
    <t>BATCH00101</t>
  </si>
  <si>
    <t>BATCH00102</t>
  </si>
  <si>
    <t>BATCH00103</t>
  </si>
  <si>
    <t>BATCH00104</t>
  </si>
  <si>
    <t>BATCH00105</t>
  </si>
  <si>
    <t>BATCH00106</t>
  </si>
  <si>
    <t>BATCH00107</t>
  </si>
  <si>
    <t>BATCH00108</t>
  </si>
  <si>
    <t>BATCH00109</t>
  </si>
  <si>
    <t>BATCH00110</t>
  </si>
  <si>
    <t>BATCH00111</t>
  </si>
  <si>
    <t>BATCH00112</t>
  </si>
  <si>
    <t>BATCH00113</t>
  </si>
  <si>
    <t>BATCH00114</t>
  </si>
  <si>
    <t>BATCH00115</t>
  </si>
  <si>
    <t>BATCH00116</t>
  </si>
  <si>
    <t>BATCH00117</t>
  </si>
  <si>
    <t>BATCH00118</t>
  </si>
  <si>
    <t>BATCH00119</t>
  </si>
  <si>
    <t>BATCH00120</t>
  </si>
  <si>
    <t>BATCH00121</t>
  </si>
  <si>
    <t>BATCH00122</t>
  </si>
  <si>
    <t>BATCH00123</t>
  </si>
  <si>
    <t>BATCH00124</t>
  </si>
  <si>
    <t>BATCH00125</t>
  </si>
  <si>
    <t>BATCH00126</t>
  </si>
  <si>
    <t>BATCH00127</t>
  </si>
  <si>
    <t>BATCH00128</t>
  </si>
  <si>
    <t>BATCH00129</t>
  </si>
  <si>
    <t>BATCH00130</t>
  </si>
  <si>
    <t>BATCH00131</t>
  </si>
  <si>
    <t>BATCH00132</t>
  </si>
  <si>
    <t>BATCH00133</t>
  </si>
  <si>
    <t>BATCH00134</t>
  </si>
  <si>
    <t>BATCH00135</t>
  </si>
  <si>
    <t>BATCH00136</t>
  </si>
  <si>
    <t>BATCH00137</t>
  </si>
  <si>
    <t>BATCH00138</t>
  </si>
  <si>
    <t>BATCH00139</t>
  </si>
  <si>
    <t>BATCH00140</t>
  </si>
  <si>
    <t>BATCH00141</t>
  </si>
  <si>
    <t>BATCH00142</t>
  </si>
  <si>
    <t>BATCH00143</t>
  </si>
  <si>
    <t>BATCH00144</t>
  </si>
  <si>
    <t>BATCH00145</t>
  </si>
  <si>
    <t>BATCH00146</t>
  </si>
  <si>
    <t>BATCH00147</t>
  </si>
  <si>
    <t>BATCH00148</t>
  </si>
  <si>
    <t>BATCH00149</t>
  </si>
  <si>
    <t>BATCH00150</t>
  </si>
  <si>
    <t>BATCH00151</t>
  </si>
  <si>
    <t>BATCH00152</t>
  </si>
  <si>
    <t>BATCH00153</t>
  </si>
  <si>
    <t>BATCH00154</t>
  </si>
  <si>
    <t>BATCH00155</t>
  </si>
  <si>
    <t>BATCH00156</t>
  </si>
  <si>
    <t>BATCH00157</t>
  </si>
  <si>
    <t>BATCH00158</t>
  </si>
  <si>
    <t>BATCH00159</t>
  </si>
  <si>
    <t>BATCH00160</t>
  </si>
  <si>
    <t>BATCH00161</t>
  </si>
  <si>
    <t>BATCH00162</t>
  </si>
  <si>
    <t>BATCH00163</t>
  </si>
  <si>
    <t>BATCH00164</t>
  </si>
  <si>
    <t>BATCH00165</t>
  </si>
  <si>
    <t>BATCH00166</t>
  </si>
  <si>
    <t>BATCH00167</t>
  </si>
  <si>
    <t>BATCH00168</t>
  </si>
  <si>
    <t>BATCH00169</t>
  </si>
  <si>
    <t>BATCH00170</t>
  </si>
  <si>
    <t>BATCH00171</t>
  </si>
  <si>
    <t>BATCH00172</t>
  </si>
  <si>
    <t>BATCH00173</t>
  </si>
  <si>
    <t>BATCH00174</t>
  </si>
  <si>
    <t>BATCH00175</t>
  </si>
  <si>
    <t>BATCH00176</t>
  </si>
  <si>
    <t>BATCH00177</t>
  </si>
  <si>
    <t>BATCH00178</t>
  </si>
  <si>
    <t>BATCH00179</t>
  </si>
  <si>
    <t>BATCH00180</t>
  </si>
  <si>
    <t>BATCH00181</t>
  </si>
  <si>
    <t>BATCH00182</t>
  </si>
  <si>
    <t>BATCH00183</t>
  </si>
  <si>
    <t>BATCH00184</t>
  </si>
  <si>
    <t>BATCH00185</t>
  </si>
  <si>
    <t>BATCH00186</t>
  </si>
  <si>
    <t>BATCH00187</t>
  </si>
  <si>
    <t>BATCH00188</t>
  </si>
  <si>
    <t>BATCH00189</t>
  </si>
  <si>
    <t>BATCH00190</t>
  </si>
  <si>
    <t>BATCH00191</t>
  </si>
  <si>
    <t>BATCH00192</t>
  </si>
  <si>
    <t>BATCH00193</t>
  </si>
  <si>
    <t>BATCH00194</t>
  </si>
  <si>
    <t>BATCH00195</t>
  </si>
  <si>
    <t>BATCH00196</t>
  </si>
  <si>
    <t>BATCH00197</t>
  </si>
  <si>
    <t>BATCH00198</t>
  </si>
  <si>
    <t>BATCH00199</t>
  </si>
  <si>
    <t>BATCH00200</t>
  </si>
  <si>
    <t>BATCH00201</t>
  </si>
  <si>
    <t>BATCH00202</t>
  </si>
  <si>
    <t>BATCH00203</t>
  </si>
  <si>
    <t>BATCH00204</t>
  </si>
  <si>
    <t>BATCH00205</t>
  </si>
  <si>
    <t>BATCH00206</t>
  </si>
  <si>
    <t>BATCH00207</t>
  </si>
  <si>
    <t>BATCH00208</t>
  </si>
  <si>
    <t>BATCH00209</t>
  </si>
  <si>
    <t>BATCH00210</t>
  </si>
  <si>
    <t>BATCH00211</t>
  </si>
  <si>
    <t>BATCH00212</t>
  </si>
  <si>
    <t>BATCH00213</t>
  </si>
  <si>
    <t>BATCH00214</t>
  </si>
  <si>
    <t>BATCH00215</t>
  </si>
  <si>
    <t>BATCH00216</t>
  </si>
  <si>
    <t>BATCH00217</t>
  </si>
  <si>
    <t>BATCH00218</t>
  </si>
  <si>
    <t>BATCH00219</t>
  </si>
  <si>
    <t>BATCH00220</t>
  </si>
  <si>
    <t>BATCH00221</t>
  </si>
  <si>
    <t>BATCH00222</t>
  </si>
  <si>
    <t>BATCH00223</t>
  </si>
  <si>
    <t>BATCH00224</t>
  </si>
  <si>
    <t>BATCH00225</t>
  </si>
  <si>
    <t>BATCH00226</t>
  </si>
  <si>
    <t>BATCH00227</t>
  </si>
  <si>
    <t>BATCH00228</t>
  </si>
  <si>
    <t>BATCH00229</t>
  </si>
  <si>
    <t>BATCH00230</t>
  </si>
  <si>
    <t>BATCH00231</t>
  </si>
  <si>
    <t>BATCH00232</t>
  </si>
  <si>
    <t>BATCH00233</t>
  </si>
  <si>
    <t>BATCH00234</t>
  </si>
  <si>
    <t>BATCH00235</t>
  </si>
  <si>
    <t>BATCH00236</t>
  </si>
  <si>
    <t>BATCH00237</t>
  </si>
  <si>
    <t>BATCH00238</t>
  </si>
  <si>
    <t>BATCH00239</t>
  </si>
  <si>
    <t>BATCH00240</t>
  </si>
  <si>
    <t>BATCH00241</t>
  </si>
  <si>
    <t>BATCH00242</t>
  </si>
  <si>
    <t>BATCH00243</t>
  </si>
  <si>
    <t>BATCH00244</t>
  </si>
  <si>
    <t>BATCH00245</t>
  </si>
  <si>
    <t>BATCH00246</t>
  </si>
  <si>
    <t>BATCH00247</t>
  </si>
  <si>
    <t>BATCH00248</t>
  </si>
  <si>
    <t>BATCH00249</t>
  </si>
  <si>
    <t>BATCH00250</t>
  </si>
  <si>
    <t>BATCH00251</t>
  </si>
  <si>
    <t>BATCH00252</t>
  </si>
  <si>
    <t>BATCH00253</t>
  </si>
  <si>
    <t>BATCH00254</t>
  </si>
  <si>
    <t>BATCH00255</t>
  </si>
  <si>
    <t>BATCH00256</t>
  </si>
  <si>
    <t>BATCH00257</t>
  </si>
  <si>
    <t>BATCH00258</t>
  </si>
  <si>
    <t>BATCH00259</t>
  </si>
  <si>
    <t>BATCH00260</t>
  </si>
  <si>
    <t>BATCH00261</t>
  </si>
  <si>
    <t>BATCH00262</t>
  </si>
  <si>
    <t>BATCH00263</t>
  </si>
  <si>
    <t>BATCH00264</t>
  </si>
  <si>
    <t>BATCH00265</t>
  </si>
  <si>
    <t>BATCH00266</t>
  </si>
  <si>
    <t>BATCH00267</t>
  </si>
  <si>
    <t>BATCH00268</t>
  </si>
  <si>
    <t>BATCH00269</t>
  </si>
  <si>
    <t>BATCH00270</t>
  </si>
  <si>
    <t>BATCH00271</t>
  </si>
  <si>
    <t>BATCH00272</t>
  </si>
  <si>
    <t>BATCH00273</t>
  </si>
  <si>
    <t>BATCH00274</t>
  </si>
  <si>
    <t>BATCH00275</t>
  </si>
  <si>
    <t>BATCH00276</t>
  </si>
  <si>
    <t>BATCH00277</t>
  </si>
  <si>
    <t>BATCH00278</t>
  </si>
  <si>
    <t>BATCH00279</t>
  </si>
  <si>
    <t>BATCH00280</t>
  </si>
  <si>
    <t>BATCH00281</t>
  </si>
  <si>
    <t>BATCH00282</t>
  </si>
  <si>
    <t>BATCH00283</t>
  </si>
  <si>
    <t>BATCH00284</t>
  </si>
  <si>
    <t>BATCH00285</t>
  </si>
  <si>
    <t>BATCH00286</t>
  </si>
  <si>
    <t>BATCH00287</t>
  </si>
  <si>
    <t>BATCH00288</t>
  </si>
  <si>
    <t>BATCH00289</t>
  </si>
  <si>
    <t>BATCH00290</t>
  </si>
  <si>
    <t>BATCH00291</t>
  </si>
  <si>
    <t>BATCH00292</t>
  </si>
  <si>
    <t>BATCH00293</t>
  </si>
  <si>
    <t>BATCH00294</t>
  </si>
  <si>
    <t>BATCH00295</t>
  </si>
  <si>
    <t>BATCH00296</t>
  </si>
  <si>
    <t>BATCH00297</t>
  </si>
  <si>
    <t>BATCH00298</t>
  </si>
  <si>
    <t>BATCH00299</t>
  </si>
  <si>
    <t>BATCH00300</t>
  </si>
  <si>
    <t>BATCH00301</t>
  </si>
  <si>
    <t>BATCH00302</t>
  </si>
  <si>
    <t>BATCH00303</t>
  </si>
  <si>
    <t>BATCH00304</t>
  </si>
  <si>
    <t>BATCH00305</t>
  </si>
  <si>
    <t>BATCH00306</t>
  </si>
  <si>
    <t>BATCH00307</t>
  </si>
  <si>
    <t>BATCH00308</t>
  </si>
  <si>
    <t>BATCH00309</t>
  </si>
  <si>
    <t>BATCH00310</t>
  </si>
  <si>
    <t>BATCH00311</t>
  </si>
  <si>
    <t>BATCH00312</t>
  </si>
  <si>
    <t>BATCH00313</t>
  </si>
  <si>
    <t>BATCH00314</t>
  </si>
  <si>
    <t>BATCH00315</t>
  </si>
  <si>
    <t>BATCH00316</t>
  </si>
  <si>
    <t>BATCH00317</t>
  </si>
  <si>
    <t>BATCH00318</t>
  </si>
  <si>
    <t>BATCH00319</t>
  </si>
  <si>
    <t>BATCH00320</t>
  </si>
  <si>
    <t>BATCH00321</t>
  </si>
  <si>
    <t>BATCH00322</t>
  </si>
  <si>
    <t>BATCH00323</t>
  </si>
  <si>
    <t>BATCH00324</t>
  </si>
  <si>
    <t>BATCH00325</t>
  </si>
  <si>
    <t>BATCH00326</t>
  </si>
  <si>
    <t>BATCH00327</t>
  </si>
  <si>
    <t>BATCH00328</t>
  </si>
  <si>
    <t>BATCH00329</t>
  </si>
  <si>
    <t>BATCH00330</t>
  </si>
  <si>
    <t>BATCH00331</t>
  </si>
  <si>
    <t>BATCH00332</t>
  </si>
  <si>
    <t>BATCH00333</t>
  </si>
  <si>
    <t>BATCH00334</t>
  </si>
  <si>
    <t>BATCH00335</t>
  </si>
  <si>
    <t>BATCH00336</t>
  </si>
  <si>
    <t>BATCH00337</t>
  </si>
  <si>
    <t>BATCH00338</t>
  </si>
  <si>
    <t>BATCH00339</t>
  </si>
  <si>
    <t>BATCH00340</t>
  </si>
  <si>
    <t>BATCH00341</t>
  </si>
  <si>
    <t>BATCH00342</t>
  </si>
  <si>
    <t>BATCH00343</t>
  </si>
  <si>
    <t>BATCH00344</t>
  </si>
  <si>
    <t>BATCH00345</t>
  </si>
  <si>
    <t>BATCH00346</t>
  </si>
  <si>
    <t>BATCH00347</t>
  </si>
  <si>
    <t>BATCH00348</t>
  </si>
  <si>
    <t>BATCH00349</t>
  </si>
  <si>
    <t>BATCH00350</t>
  </si>
  <si>
    <t>BATCH00351</t>
  </si>
  <si>
    <t>BATCH00352</t>
  </si>
  <si>
    <t>BATCH00353</t>
  </si>
  <si>
    <t>BATCH00354</t>
  </si>
  <si>
    <t>BATCH00355</t>
  </si>
  <si>
    <t>BATCH00356</t>
  </si>
  <si>
    <t>BATCH00357</t>
  </si>
  <si>
    <t>BATCH00358</t>
  </si>
  <si>
    <t>BATCH00359</t>
  </si>
  <si>
    <t>BATCH00360</t>
  </si>
  <si>
    <t>BATCH00361</t>
  </si>
  <si>
    <t>BATCH00362</t>
  </si>
  <si>
    <t>BATCH00363</t>
  </si>
  <si>
    <t>BATCH00364</t>
  </si>
  <si>
    <t>BATCH00365</t>
  </si>
  <si>
    <t>BATCH00366</t>
  </si>
  <si>
    <t>BATCH00367</t>
  </si>
  <si>
    <t>BATCH00368</t>
  </si>
  <si>
    <t>BATCH00369</t>
  </si>
  <si>
    <t>BATCH00370</t>
  </si>
  <si>
    <t>BATCH00371</t>
  </si>
  <si>
    <t>BATCH00372</t>
  </si>
  <si>
    <t>BATCH00373</t>
  </si>
  <si>
    <t>BATCH00374</t>
  </si>
  <si>
    <t>BATCH00375</t>
  </si>
  <si>
    <t>BATCH00376</t>
  </si>
  <si>
    <t>BATCH00377</t>
  </si>
  <si>
    <t>BATCH00378</t>
  </si>
  <si>
    <t>BATCH00379</t>
  </si>
  <si>
    <t>BATCH00380</t>
  </si>
  <si>
    <t>BATCH00381</t>
  </si>
  <si>
    <t>BATCH00382</t>
  </si>
  <si>
    <t>BATCH00383</t>
  </si>
  <si>
    <t>BATCH00384</t>
  </si>
  <si>
    <t>BATCH00385</t>
  </si>
  <si>
    <t>BATCH00386</t>
  </si>
  <si>
    <t>BATCH00387</t>
  </si>
  <si>
    <t>BATCH00388</t>
  </si>
  <si>
    <t>BATCH00389</t>
  </si>
  <si>
    <t>BATCH00390</t>
  </si>
  <si>
    <t>BATCH00391</t>
  </si>
  <si>
    <t>BATCH00392</t>
  </si>
  <si>
    <t>BATCH00393</t>
  </si>
  <si>
    <t>BATCH00394</t>
  </si>
  <si>
    <t>BATCH00395</t>
  </si>
  <si>
    <t>BATCH00396</t>
  </si>
  <si>
    <t>BATCH00397</t>
  </si>
  <si>
    <t>BATCH00398</t>
  </si>
  <si>
    <t>BATCH00399</t>
  </si>
  <si>
    <t>BATCH00400</t>
  </si>
  <si>
    <t>BATCH00401</t>
  </si>
  <si>
    <t>BATCH00402</t>
  </si>
  <si>
    <t>BATCH00403</t>
  </si>
  <si>
    <t>BATCH00404</t>
  </si>
  <si>
    <t>BATCH00405</t>
  </si>
  <si>
    <t>BATCH00406</t>
  </si>
  <si>
    <t>BATCH00407</t>
  </si>
  <si>
    <t>BATCH00408</t>
  </si>
  <si>
    <t>BATCH00409</t>
  </si>
  <si>
    <t>BATCH00410</t>
  </si>
  <si>
    <t>BATCH00411</t>
  </si>
  <si>
    <t>BATCH00412</t>
  </si>
  <si>
    <t>BATCH00413</t>
  </si>
  <si>
    <t>BATCH00414</t>
  </si>
  <si>
    <t>BATCH00415</t>
  </si>
  <si>
    <t>BATCH00416</t>
  </si>
  <si>
    <t>BATCH00417</t>
  </si>
  <si>
    <t>BATCH00418</t>
  </si>
  <si>
    <t>BATCH00419</t>
  </si>
  <si>
    <t>BATCH00420</t>
  </si>
  <si>
    <t>BATCH00421</t>
  </si>
  <si>
    <t>BATCH00422</t>
  </si>
  <si>
    <t>BATCH00423</t>
  </si>
  <si>
    <t>BATCH00424</t>
  </si>
  <si>
    <t>BATCH00425</t>
  </si>
  <si>
    <t>BATCH00426</t>
  </si>
  <si>
    <t>BATCH00427</t>
  </si>
  <si>
    <t>BATCH00428</t>
  </si>
  <si>
    <t>BATCH00429</t>
  </si>
  <si>
    <t>BATCH00430</t>
  </si>
  <si>
    <t>BATCH00431</t>
  </si>
  <si>
    <t>BATCH00432</t>
  </si>
  <si>
    <t>BATCH00433</t>
  </si>
  <si>
    <t>BATCH00434</t>
  </si>
  <si>
    <t>BATCH00435</t>
  </si>
  <si>
    <t>BATCH00436</t>
  </si>
  <si>
    <t>BATCH00437</t>
  </si>
  <si>
    <t>BATCH00438</t>
  </si>
  <si>
    <t>BATCH00439</t>
  </si>
  <si>
    <t>BATCH00440</t>
  </si>
  <si>
    <t>BATCH00441</t>
  </si>
  <si>
    <t>BATCH00442</t>
  </si>
  <si>
    <t>BATCH00443</t>
  </si>
  <si>
    <t>BATCH00444</t>
  </si>
  <si>
    <t>BATCH00445</t>
  </si>
  <si>
    <t>BATCH00446</t>
  </si>
  <si>
    <t>BATCH00447</t>
  </si>
  <si>
    <t>BATCH00448</t>
  </si>
  <si>
    <t>BATCH00449</t>
  </si>
  <si>
    <t>BATCH00450</t>
  </si>
  <si>
    <t>BATCH00451</t>
  </si>
  <si>
    <t>BATCH00452</t>
  </si>
  <si>
    <t>BATCH00453</t>
  </si>
  <si>
    <t>BATCH00454</t>
  </si>
  <si>
    <t>BATCH00455</t>
  </si>
  <si>
    <t>BATCH00456</t>
  </si>
  <si>
    <t>BATCH00457</t>
  </si>
  <si>
    <t>BATCH00458</t>
  </si>
  <si>
    <t>BATCH00459</t>
  </si>
  <si>
    <t>BATCH00460</t>
  </si>
  <si>
    <t>BATCH00461</t>
  </si>
  <si>
    <t>BATCH00462</t>
  </si>
  <si>
    <t>BATCH00463</t>
  </si>
  <si>
    <t>BATCH00464</t>
  </si>
  <si>
    <t>BATCH00465</t>
  </si>
  <si>
    <t>BATCH00466</t>
  </si>
  <si>
    <t>BATCH00467</t>
  </si>
  <si>
    <t>BATCH00468</t>
  </si>
  <si>
    <t>BATCH00469</t>
  </si>
  <si>
    <t>BATCH00470</t>
  </si>
  <si>
    <t>BATCH00471</t>
  </si>
  <si>
    <t>BATCH00472</t>
  </si>
  <si>
    <t>BATCH00473</t>
  </si>
  <si>
    <t>BATCH00474</t>
  </si>
  <si>
    <t>BATCH00475</t>
  </si>
  <si>
    <t>BATCH00476</t>
  </si>
  <si>
    <t>BATCH00477</t>
  </si>
  <si>
    <t>BATCH00478</t>
  </si>
  <si>
    <t>BATCH00479</t>
  </si>
  <si>
    <t>BATCH00480</t>
  </si>
  <si>
    <t>BATCH00481</t>
  </si>
  <si>
    <t>BATCH00482</t>
  </si>
  <si>
    <t>BATCH00483</t>
  </si>
  <si>
    <t>BATCH00484</t>
  </si>
  <si>
    <t>BATCH00485</t>
  </si>
  <si>
    <t>BATCH00486</t>
  </si>
  <si>
    <t>BATCH00487</t>
  </si>
  <si>
    <t>BATCH00488</t>
  </si>
  <si>
    <t>BATCH00489</t>
  </si>
  <si>
    <t>BATCH00490</t>
  </si>
  <si>
    <t>BATCH00491</t>
  </si>
  <si>
    <t>BATCH00492</t>
  </si>
  <si>
    <t>BATCH00493</t>
  </si>
  <si>
    <t>BATCH00494</t>
  </si>
  <si>
    <t>BATCH00495</t>
  </si>
  <si>
    <t>BATCH00496</t>
  </si>
  <si>
    <t>BATCH00497</t>
  </si>
  <si>
    <t>BATCH00498</t>
  </si>
  <si>
    <t>BATCH00499</t>
  </si>
  <si>
    <t>BATCH00500</t>
  </si>
  <si>
    <t>BATCH00501</t>
  </si>
  <si>
    <t>BATCH00502</t>
  </si>
  <si>
    <t>BATCH00503</t>
  </si>
  <si>
    <t>BATCH00504</t>
  </si>
  <si>
    <t>BATCH00505</t>
  </si>
  <si>
    <t>BATCH00506</t>
  </si>
  <si>
    <t>BATCH00507</t>
  </si>
  <si>
    <t>BATCH00508</t>
  </si>
  <si>
    <t>BATCH00509</t>
  </si>
  <si>
    <t>BATCH00510</t>
  </si>
  <si>
    <t>BATCH00511</t>
  </si>
  <si>
    <t>BATCH00512</t>
  </si>
  <si>
    <t>BATCH00513</t>
  </si>
  <si>
    <t>BATCH00514</t>
  </si>
  <si>
    <t>BATCH00515</t>
  </si>
  <si>
    <t>BATCH00516</t>
  </si>
  <si>
    <t>BATCH00517</t>
  </si>
  <si>
    <t>BATCH00518</t>
  </si>
  <si>
    <t>BATCH00519</t>
  </si>
  <si>
    <t>BATCH00520</t>
  </si>
  <si>
    <t>BATCH00521</t>
  </si>
  <si>
    <t>BATCH00522</t>
  </si>
  <si>
    <t>BATCH00523</t>
  </si>
  <si>
    <t>BATCH00524</t>
  </si>
  <si>
    <t>BATCH00525</t>
  </si>
  <si>
    <t>BATCH00526</t>
  </si>
  <si>
    <t>BATCH00527</t>
  </si>
  <si>
    <t>BATCH00528</t>
  </si>
  <si>
    <t>BATCH00529</t>
  </si>
  <si>
    <t>BATCH00530</t>
  </si>
  <si>
    <t>BATCH00531</t>
  </si>
  <si>
    <t>BATCH00532</t>
  </si>
  <si>
    <t>BATCH00533</t>
  </si>
  <si>
    <t>BATCH00534</t>
  </si>
  <si>
    <t>BATCH00535</t>
  </si>
  <si>
    <t>BATCH00536</t>
  </si>
  <si>
    <t>BATCH00537</t>
  </si>
  <si>
    <t>BATCH00538</t>
  </si>
  <si>
    <t>BATCH00539</t>
  </si>
  <si>
    <t>BATCH00540</t>
  </si>
  <si>
    <t>BATCH00541</t>
  </si>
  <si>
    <t>BATCH00542</t>
  </si>
  <si>
    <t>BATCH00543</t>
  </si>
  <si>
    <t>BATCH00544</t>
  </si>
  <si>
    <t>BATCH00545</t>
  </si>
  <si>
    <t>BATCH00546</t>
  </si>
  <si>
    <t>BATCH00547</t>
  </si>
  <si>
    <t>BATCH00548</t>
  </si>
  <si>
    <t>BATCH00549</t>
  </si>
  <si>
    <t>BATCH00550</t>
  </si>
  <si>
    <t>BATCH00551</t>
  </si>
  <si>
    <t>BATCH00552</t>
  </si>
  <si>
    <t>BATCH00553</t>
  </si>
  <si>
    <t>BATCH00554</t>
  </si>
  <si>
    <t>BATCH00555</t>
  </si>
  <si>
    <t>BATCH00556</t>
  </si>
  <si>
    <t>BATCH00557</t>
  </si>
  <si>
    <t>BATCH00558</t>
  </si>
  <si>
    <t>BATCH00559</t>
  </si>
  <si>
    <t>BATCH00560</t>
  </si>
  <si>
    <t>BATCH00561</t>
  </si>
  <si>
    <t>BATCH00562</t>
  </si>
  <si>
    <t>BATCH00563</t>
  </si>
  <si>
    <t>BATCH00564</t>
  </si>
  <si>
    <t>BATCH00565</t>
  </si>
  <si>
    <t>BATCH00566</t>
  </si>
  <si>
    <t>BATCH00567</t>
  </si>
  <si>
    <t>BATCH00568</t>
  </si>
  <si>
    <t>BATCH00569</t>
  </si>
  <si>
    <t>BATCH00570</t>
  </si>
  <si>
    <t>BATCH00571</t>
  </si>
  <si>
    <t>BATCH00572</t>
  </si>
  <si>
    <t>BATCH00573</t>
  </si>
  <si>
    <t>BATCH00574</t>
  </si>
  <si>
    <t>BATCH00575</t>
  </si>
  <si>
    <t>BATCH00576</t>
  </si>
  <si>
    <t>BATCH00577</t>
  </si>
  <si>
    <t>BATCH00578</t>
  </si>
  <si>
    <t>BATCH00579</t>
  </si>
  <si>
    <t>BATCH00580</t>
  </si>
  <si>
    <t>BATCH00581</t>
  </si>
  <si>
    <t>BATCH00582</t>
  </si>
  <si>
    <t>BATCH00583</t>
  </si>
  <si>
    <t>BATCH00584</t>
  </si>
  <si>
    <t>BATCH00585</t>
  </si>
  <si>
    <t>BATCH00586</t>
  </si>
  <si>
    <t>BATCH00587</t>
  </si>
  <si>
    <t>BATCH00588</t>
  </si>
  <si>
    <t>BATCH00589</t>
  </si>
  <si>
    <t>BATCH00590</t>
  </si>
  <si>
    <t>BATCH00591</t>
  </si>
  <si>
    <t>BATCH00592</t>
  </si>
  <si>
    <t>BATCH00593</t>
  </si>
  <si>
    <t>BATCH00594</t>
  </si>
  <si>
    <t>BATCH00595</t>
  </si>
  <si>
    <t>BATCH00596</t>
  </si>
  <si>
    <t>BATCH00597</t>
  </si>
  <si>
    <t>BATCH00598</t>
  </si>
  <si>
    <t>BATCH00599</t>
  </si>
  <si>
    <t>BATCH00600</t>
  </si>
  <si>
    <t>BATCH00601</t>
  </si>
  <si>
    <t>BATCH00602</t>
  </si>
  <si>
    <t>BATCH00603</t>
  </si>
  <si>
    <t>BATCH00604</t>
  </si>
  <si>
    <t>BATCH00605</t>
  </si>
  <si>
    <t>BATCH00606</t>
  </si>
  <si>
    <t>BATCH00607</t>
  </si>
  <si>
    <t>BATCH00608</t>
  </si>
  <si>
    <t>BATCH00609</t>
  </si>
  <si>
    <t>BATCH00610</t>
  </si>
  <si>
    <t>BATCH00611</t>
  </si>
  <si>
    <t>BATCH00612</t>
  </si>
  <si>
    <t>BATCH00613</t>
  </si>
  <si>
    <t>BATCH00614</t>
  </si>
  <si>
    <t>BATCH00615</t>
  </si>
  <si>
    <t>BATCH00616</t>
  </si>
  <si>
    <t>BATCH00617</t>
  </si>
  <si>
    <t>BATCH00618</t>
  </si>
  <si>
    <t>BATCH00619</t>
  </si>
  <si>
    <t>BATCH00620</t>
  </si>
  <si>
    <t>BATCH00621</t>
  </si>
  <si>
    <t>BATCH00622</t>
  </si>
  <si>
    <t>BATCH00623</t>
  </si>
  <si>
    <t>BATCH00624</t>
  </si>
  <si>
    <t>BATCH00625</t>
  </si>
  <si>
    <t>BATCH00626</t>
  </si>
  <si>
    <t>BATCH00627</t>
  </si>
  <si>
    <t>BATCH00628</t>
  </si>
  <si>
    <t>BATCH00629</t>
  </si>
  <si>
    <t>BATCH00630</t>
  </si>
  <si>
    <t>BATCH00631</t>
  </si>
  <si>
    <t>BATCH00632</t>
  </si>
  <si>
    <t>BATCH00633</t>
  </si>
  <si>
    <t>BATCH00634</t>
  </si>
  <si>
    <t>BATCH00635</t>
  </si>
  <si>
    <t>BATCH00636</t>
  </si>
  <si>
    <t>BATCH00637</t>
  </si>
  <si>
    <t>BATCH00638</t>
  </si>
  <si>
    <t>BATCH00639</t>
  </si>
  <si>
    <t>BATCH00640</t>
  </si>
  <si>
    <t>BATCH00641</t>
  </si>
  <si>
    <t>BATCH00642</t>
  </si>
  <si>
    <t>BATCH00643</t>
  </si>
  <si>
    <t>BATCH00644</t>
  </si>
  <si>
    <t>BATCH00645</t>
  </si>
  <si>
    <t>BATCH00646</t>
  </si>
  <si>
    <t>BATCH00647</t>
  </si>
  <si>
    <t>BATCH00648</t>
  </si>
  <si>
    <t>BATCH00649</t>
  </si>
  <si>
    <t>BATCH00650</t>
  </si>
  <si>
    <t>BATCH00651</t>
  </si>
  <si>
    <t>BATCH00652</t>
  </si>
  <si>
    <t>BATCH00653</t>
  </si>
  <si>
    <t>BATCH00654</t>
  </si>
  <si>
    <t>BATCH00655</t>
  </si>
  <si>
    <t>BATCH00656</t>
  </si>
  <si>
    <t>BATCH00657</t>
  </si>
  <si>
    <t>BATCH00658</t>
  </si>
  <si>
    <t>BATCH00659</t>
  </si>
  <si>
    <t>BATCH00660</t>
  </si>
  <si>
    <t>BATCH00661</t>
  </si>
  <si>
    <t>BATCH00662</t>
  </si>
  <si>
    <t>BATCH00663</t>
  </si>
  <si>
    <t>BATCH00664</t>
  </si>
  <si>
    <t>BATCH00665</t>
  </si>
  <si>
    <t>BATCH00666</t>
  </si>
  <si>
    <t>BATCH00667</t>
  </si>
  <si>
    <t>BATCH00668</t>
  </si>
  <si>
    <t>BATCH00669</t>
  </si>
  <si>
    <t>BATCH00670</t>
  </si>
  <si>
    <t>BATCH00671</t>
  </si>
  <si>
    <t>BATCH00672</t>
  </si>
  <si>
    <t>BATCH00673</t>
  </si>
  <si>
    <t>BATCH00674</t>
  </si>
  <si>
    <t>BATCH00675</t>
  </si>
  <si>
    <t>BATCH00676</t>
  </si>
  <si>
    <t>BATCH00677</t>
  </si>
  <si>
    <t>BATCH00678</t>
  </si>
  <si>
    <t>BATCH00679</t>
  </si>
  <si>
    <t>BATCH00680</t>
  </si>
  <si>
    <t>BATCH00681</t>
  </si>
  <si>
    <t>BATCH00682</t>
  </si>
  <si>
    <t>BATCH00683</t>
  </si>
  <si>
    <t>BATCH00684</t>
  </si>
  <si>
    <t>BATCH00685</t>
  </si>
  <si>
    <t>BATCH00686</t>
  </si>
  <si>
    <t>BATCH00687</t>
  </si>
  <si>
    <t>BATCH00688</t>
  </si>
  <si>
    <t>BATCH00689</t>
  </si>
  <si>
    <t>BATCH00690</t>
  </si>
  <si>
    <t>BATCH00691</t>
  </si>
  <si>
    <t>BATCH00692</t>
  </si>
  <si>
    <t>BATCH00693</t>
  </si>
  <si>
    <t>BATCH00694</t>
  </si>
  <si>
    <t>BATCH00695</t>
  </si>
  <si>
    <t>BATCH00696</t>
  </si>
  <si>
    <t>BATCH00697</t>
  </si>
  <si>
    <t>BATCH00698</t>
  </si>
  <si>
    <t>BATCH00699</t>
  </si>
  <si>
    <t>BATCH00700</t>
  </si>
  <si>
    <t>BATCH00701</t>
  </si>
  <si>
    <t>BATCH00702</t>
  </si>
  <si>
    <t>BATCH00703</t>
  </si>
  <si>
    <t>BATCH00704</t>
  </si>
  <si>
    <t>BATCH00705</t>
  </si>
  <si>
    <t>BATCH00706</t>
  </si>
  <si>
    <t>BATCH00707</t>
  </si>
  <si>
    <t>BATCH00708</t>
  </si>
  <si>
    <t>BATCH00709</t>
  </si>
  <si>
    <t>BATCH00710</t>
  </si>
  <si>
    <t>BATCH00711</t>
  </si>
  <si>
    <t>BATCH00712</t>
  </si>
  <si>
    <t>BATCH00713</t>
  </si>
  <si>
    <t>BATCH00714</t>
  </si>
  <si>
    <t>BATCH00715</t>
  </si>
  <si>
    <t>BATCH00716</t>
  </si>
  <si>
    <t>BATCH00717</t>
  </si>
  <si>
    <t>BATCH00718</t>
  </si>
  <si>
    <t>BATCH00719</t>
  </si>
  <si>
    <t>BATCH00720</t>
  </si>
  <si>
    <t>BATCH00721</t>
  </si>
  <si>
    <t>BATCH00722</t>
  </si>
  <si>
    <t>BATCH00723</t>
  </si>
  <si>
    <t>BATCH00724</t>
  </si>
  <si>
    <t>BATCH00725</t>
  </si>
  <si>
    <t>BATCH00726</t>
  </si>
  <si>
    <t>BATCH00727</t>
  </si>
  <si>
    <t>BATCH00728</t>
  </si>
  <si>
    <t>BATCH00729</t>
  </si>
  <si>
    <t>BATCH00730</t>
  </si>
  <si>
    <t>BATCH00731</t>
  </si>
  <si>
    <t>BATCH00732</t>
  </si>
  <si>
    <t>BATCH00733</t>
  </si>
  <si>
    <t>BATCH00734</t>
  </si>
  <si>
    <t>BATCH00735</t>
  </si>
  <si>
    <t>BATCH00736</t>
  </si>
  <si>
    <t>BATCH00737</t>
  </si>
  <si>
    <t>BATCH00738</t>
  </si>
  <si>
    <t>BATCH00739</t>
  </si>
  <si>
    <t>BATCH00740</t>
  </si>
  <si>
    <t>BATCH00741</t>
  </si>
  <si>
    <t>BATCH00742</t>
  </si>
  <si>
    <t>BATCH00743</t>
  </si>
  <si>
    <t>BATCH00744</t>
  </si>
  <si>
    <t>BATCH00745</t>
  </si>
  <si>
    <t>BATCH00746</t>
  </si>
  <si>
    <t>BATCH00747</t>
  </si>
  <si>
    <t>BATCH00748</t>
  </si>
  <si>
    <t>BATCH00749</t>
  </si>
  <si>
    <t>BATCH00750</t>
  </si>
  <si>
    <t>BATCH00751</t>
  </si>
  <si>
    <t>BATCH00752</t>
  </si>
  <si>
    <t>BATCH00753</t>
  </si>
  <si>
    <t>BATCH00754</t>
  </si>
  <si>
    <t>BATCH00755</t>
  </si>
  <si>
    <t>BATCH00756</t>
  </si>
  <si>
    <t>BATCH00757</t>
  </si>
  <si>
    <t>BATCH00758</t>
  </si>
  <si>
    <t>BATCH00759</t>
  </si>
  <si>
    <t>BATCH00760</t>
  </si>
  <si>
    <t>BATCH00761</t>
  </si>
  <si>
    <t>BATCH00762</t>
  </si>
  <si>
    <t>BATCH00763</t>
  </si>
  <si>
    <t>BATCH00764</t>
  </si>
  <si>
    <t>BATCH00765</t>
  </si>
  <si>
    <t>BATCH00766</t>
  </si>
  <si>
    <t>BATCH00767</t>
  </si>
  <si>
    <t>BATCH00768</t>
  </si>
  <si>
    <t>BATCH00769</t>
  </si>
  <si>
    <t>BATCH00770</t>
  </si>
  <si>
    <t>BATCH00771</t>
  </si>
  <si>
    <t>BATCH00772</t>
  </si>
  <si>
    <t>BATCH00773</t>
  </si>
  <si>
    <t>BATCH00774</t>
  </si>
  <si>
    <t>BATCH00775</t>
  </si>
  <si>
    <t>BATCH00776</t>
  </si>
  <si>
    <t>BATCH00777</t>
  </si>
  <si>
    <t>BATCH00778</t>
  </si>
  <si>
    <t>BATCH00779</t>
  </si>
  <si>
    <t>BATCH00780</t>
  </si>
  <si>
    <t>BATCH00781</t>
  </si>
  <si>
    <t>BATCH00782</t>
  </si>
  <si>
    <t>BATCH00783</t>
  </si>
  <si>
    <t>BATCH00784</t>
  </si>
  <si>
    <t>BATCH00785</t>
  </si>
  <si>
    <t>BATCH00786</t>
  </si>
  <si>
    <t>BATCH00787</t>
  </si>
  <si>
    <t>BATCH00788</t>
  </si>
  <si>
    <t>BATCH00789</t>
  </si>
  <si>
    <t>BATCH00790</t>
  </si>
  <si>
    <t>BATCH00791</t>
  </si>
  <si>
    <t>BATCH00792</t>
  </si>
  <si>
    <t>BATCH00793</t>
  </si>
  <si>
    <t>BATCH00794</t>
  </si>
  <si>
    <t>BATCH00795</t>
  </si>
  <si>
    <t>BATCH00796</t>
  </si>
  <si>
    <t>BATCH00797</t>
  </si>
  <si>
    <t>BATCH00798</t>
  </si>
  <si>
    <t>BATCH00799</t>
  </si>
  <si>
    <t>BATCH00800</t>
  </si>
  <si>
    <t>BATCH00801</t>
  </si>
  <si>
    <t>BATCH00802</t>
  </si>
  <si>
    <t>BATCH00803</t>
  </si>
  <si>
    <t>BATCH00804</t>
  </si>
  <si>
    <t>BATCH00805</t>
  </si>
  <si>
    <t>BATCH00806</t>
  </si>
  <si>
    <t>BATCH00807</t>
  </si>
  <si>
    <t>BATCH00808</t>
  </si>
  <si>
    <t>BATCH00809</t>
  </si>
  <si>
    <t>BATCH00810</t>
  </si>
  <si>
    <t>BATCH00811</t>
  </si>
  <si>
    <t>BATCH00812</t>
  </si>
  <si>
    <t>BATCH00813</t>
  </si>
  <si>
    <t>BATCH00814</t>
  </si>
  <si>
    <t>BATCH00815</t>
  </si>
  <si>
    <t>BATCH00816</t>
  </si>
  <si>
    <t>BATCH00817</t>
  </si>
  <si>
    <t>BATCH00818</t>
  </si>
  <si>
    <t>BATCH00819</t>
  </si>
  <si>
    <t>BATCH00820</t>
  </si>
  <si>
    <t>BATCH00821</t>
  </si>
  <si>
    <t>BATCH00822</t>
  </si>
  <si>
    <t>BATCH00823</t>
  </si>
  <si>
    <t>BATCH00824</t>
  </si>
  <si>
    <t>BATCH00825</t>
  </si>
  <si>
    <t>BATCH00826</t>
  </si>
  <si>
    <t>BATCH00827</t>
  </si>
  <si>
    <t>BATCH00828</t>
  </si>
  <si>
    <t>BATCH00829</t>
  </si>
  <si>
    <t>BATCH00830</t>
  </si>
  <si>
    <t>BATCH00831</t>
  </si>
  <si>
    <t>BATCH00832</t>
  </si>
  <si>
    <t>BATCH00833</t>
  </si>
  <si>
    <t>BATCH00834</t>
  </si>
  <si>
    <t>BATCH00835</t>
  </si>
  <si>
    <t>BATCH00836</t>
  </si>
  <si>
    <t>BATCH00837</t>
  </si>
  <si>
    <t>BATCH00838</t>
  </si>
  <si>
    <t>BATCH00839</t>
  </si>
  <si>
    <t>BATCH00840</t>
  </si>
  <si>
    <t>BATCH00841</t>
  </si>
  <si>
    <t>BATCH00842</t>
  </si>
  <si>
    <t>BATCH00843</t>
  </si>
  <si>
    <t>BATCH00844</t>
  </si>
  <si>
    <t>BATCH00845</t>
  </si>
  <si>
    <t>BATCH00846</t>
  </si>
  <si>
    <t>BATCH00847</t>
  </si>
  <si>
    <t>BATCH00848</t>
  </si>
  <si>
    <t>BATCH00849</t>
  </si>
  <si>
    <t>BATCH00850</t>
  </si>
  <si>
    <t>BATCH00851</t>
  </si>
  <si>
    <t>BATCH00852</t>
  </si>
  <si>
    <t>BATCH00853</t>
  </si>
  <si>
    <t>BATCH00854</t>
  </si>
  <si>
    <t>BATCH00855</t>
  </si>
  <si>
    <t>BATCH00856</t>
  </si>
  <si>
    <t>BATCH00857</t>
  </si>
  <si>
    <t>BATCH00858</t>
  </si>
  <si>
    <t>BATCH00859</t>
  </si>
  <si>
    <t>BATCH00860</t>
  </si>
  <si>
    <t>BATCH00861</t>
  </si>
  <si>
    <t>BATCH00862</t>
  </si>
  <si>
    <t>BATCH00863</t>
  </si>
  <si>
    <t>BATCH00864</t>
  </si>
  <si>
    <t>BATCH00865</t>
  </si>
  <si>
    <t>BATCH00866</t>
  </si>
  <si>
    <t>BATCH00867</t>
  </si>
  <si>
    <t>BATCH00868</t>
  </si>
  <si>
    <t>BATCH00869</t>
  </si>
  <si>
    <t>BATCH00870</t>
  </si>
  <si>
    <t>BATCH00871</t>
  </si>
  <si>
    <t>BATCH00872</t>
  </si>
  <si>
    <t>BATCH00873</t>
  </si>
  <si>
    <t>BATCH00874</t>
  </si>
  <si>
    <t>BATCH00875</t>
  </si>
  <si>
    <t>BATCH00876</t>
  </si>
  <si>
    <t>BATCH00877</t>
  </si>
  <si>
    <t>BATCH00878</t>
  </si>
  <si>
    <t>BATCH00879</t>
  </si>
  <si>
    <t>BATCH00880</t>
  </si>
  <si>
    <t>BATCH00881</t>
  </si>
  <si>
    <t>BATCH00882</t>
  </si>
  <si>
    <t>BATCH00883</t>
  </si>
  <si>
    <t>BATCH00884</t>
  </si>
  <si>
    <t>BATCH00885</t>
  </si>
  <si>
    <t>BATCH00886</t>
  </si>
  <si>
    <t>BATCH00887</t>
  </si>
  <si>
    <t>BATCH00888</t>
  </si>
  <si>
    <t>BATCH00889</t>
  </si>
  <si>
    <t>BATCH00890</t>
  </si>
  <si>
    <t>BATCH00891</t>
  </si>
  <si>
    <t>BATCH00892</t>
  </si>
  <si>
    <t>BATCH00893</t>
  </si>
  <si>
    <t>BATCH00894</t>
  </si>
  <si>
    <t>BATCH00895</t>
  </si>
  <si>
    <t>BATCH00896</t>
  </si>
  <si>
    <t>BATCH00897</t>
  </si>
  <si>
    <t>BATCH00898</t>
  </si>
  <si>
    <t>BATCH00899</t>
  </si>
  <si>
    <t>BATCH00900</t>
  </si>
  <si>
    <t>BATCH00901</t>
  </si>
  <si>
    <t>BATCH00902</t>
  </si>
  <si>
    <t>BATCH00903</t>
  </si>
  <si>
    <t>BATCH00904</t>
  </si>
  <si>
    <t>BATCH00905</t>
  </si>
  <si>
    <t>BATCH00906</t>
  </si>
  <si>
    <t>BATCH00907</t>
  </si>
  <si>
    <t>BATCH00908</t>
  </si>
  <si>
    <t>BATCH00909</t>
  </si>
  <si>
    <t>BATCH00910</t>
  </si>
  <si>
    <t>BATCH00911</t>
  </si>
  <si>
    <t>BATCH00912</t>
  </si>
  <si>
    <t>BATCH00913</t>
  </si>
  <si>
    <t>BATCH00914</t>
  </si>
  <si>
    <t>BATCH00915</t>
  </si>
  <si>
    <t>BATCH00916</t>
  </si>
  <si>
    <t>BATCH00917</t>
  </si>
  <si>
    <t>BATCH00918</t>
  </si>
  <si>
    <t>BATCH00919</t>
  </si>
  <si>
    <t>BATCH00920</t>
  </si>
  <si>
    <t>BATCH00921</t>
  </si>
  <si>
    <t>BATCH00922</t>
  </si>
  <si>
    <t>BATCH00923</t>
  </si>
  <si>
    <t>BATCH00924</t>
  </si>
  <si>
    <t>BATCH00925</t>
  </si>
  <si>
    <t>BATCH00926</t>
  </si>
  <si>
    <t>BATCH00927</t>
  </si>
  <si>
    <t>BATCH00928</t>
  </si>
  <si>
    <t>BATCH00929</t>
  </si>
  <si>
    <t>BATCH00930</t>
  </si>
  <si>
    <t>BATCH00931</t>
  </si>
  <si>
    <t>BATCH00932</t>
  </si>
  <si>
    <t>BATCH00933</t>
  </si>
  <si>
    <t>BATCH00934</t>
  </si>
  <si>
    <t>BATCH00935</t>
  </si>
  <si>
    <t>BATCH00936</t>
  </si>
  <si>
    <t>BATCH00937</t>
  </si>
  <si>
    <t>BATCH00938</t>
  </si>
  <si>
    <t>BATCH00939</t>
  </si>
  <si>
    <t>BATCH00940</t>
  </si>
  <si>
    <t>BATCH00941</t>
  </si>
  <si>
    <t>BATCH00942</t>
  </si>
  <si>
    <t>BATCH00943</t>
  </si>
  <si>
    <t>BATCH00944</t>
  </si>
  <si>
    <t>BATCH00945</t>
  </si>
  <si>
    <t>BATCH00946</t>
  </si>
  <si>
    <t>BATCH00947</t>
  </si>
  <si>
    <t>BATCH00948</t>
  </si>
  <si>
    <t>BATCH00949</t>
  </si>
  <si>
    <t>BATCH00950</t>
  </si>
  <si>
    <t>BATCH00951</t>
  </si>
  <si>
    <t>BATCH00952</t>
  </si>
  <si>
    <t>BATCH00953</t>
  </si>
  <si>
    <t>BATCH00954</t>
  </si>
  <si>
    <t>BATCH00955</t>
  </si>
  <si>
    <t>BATCH00956</t>
  </si>
  <si>
    <t>BATCH00957</t>
  </si>
  <si>
    <t>BATCH00958</t>
  </si>
  <si>
    <t>BATCH00959</t>
  </si>
  <si>
    <t>BATCH00960</t>
  </si>
  <si>
    <t>BATCH00961</t>
  </si>
  <si>
    <t>BATCH00962</t>
  </si>
  <si>
    <t>BATCH00963</t>
  </si>
  <si>
    <t>BATCH00964</t>
  </si>
  <si>
    <t>BATCH00965</t>
  </si>
  <si>
    <t>BATCH00966</t>
  </si>
  <si>
    <t>BATCH00967</t>
  </si>
  <si>
    <t>BATCH00968</t>
  </si>
  <si>
    <t>BATCH00969</t>
  </si>
  <si>
    <t>BATCH00970</t>
  </si>
  <si>
    <t>BATCH00971</t>
  </si>
  <si>
    <t>BATCH00972</t>
  </si>
  <si>
    <t>BATCH00973</t>
  </si>
  <si>
    <t>BATCH00974</t>
  </si>
  <si>
    <t>BATCH00975</t>
  </si>
  <si>
    <t>BATCH00976</t>
  </si>
  <si>
    <t>BATCH00977</t>
  </si>
  <si>
    <t>BATCH00978</t>
  </si>
  <si>
    <t>BATCH00979</t>
  </si>
  <si>
    <t>BATCH00980</t>
  </si>
  <si>
    <t>BATCH00981</t>
  </si>
  <si>
    <t>BATCH00982</t>
  </si>
  <si>
    <t>BATCH00983</t>
  </si>
  <si>
    <t>BATCH00984</t>
  </si>
  <si>
    <t>BATCH00985</t>
  </si>
  <si>
    <t>BATCH00986</t>
  </si>
  <si>
    <t>BATCH00987</t>
  </si>
  <si>
    <t>BATCH00988</t>
  </si>
  <si>
    <t>BATCH00989</t>
  </si>
  <si>
    <t>BATCH00990</t>
  </si>
  <si>
    <t>BATCH00991</t>
  </si>
  <si>
    <t>BATCH00992</t>
  </si>
  <si>
    <t>BATCH00993</t>
  </si>
  <si>
    <t>BATCH00994</t>
  </si>
  <si>
    <t>BATCH00995</t>
  </si>
  <si>
    <t>BATCH00996</t>
  </si>
  <si>
    <t>BATCH00997</t>
  </si>
  <si>
    <t>BATCH00998</t>
  </si>
  <si>
    <t>BATCH00999</t>
  </si>
  <si>
    <t>BATCH01000</t>
  </si>
  <si>
    <t>BATCH01001</t>
  </si>
  <si>
    <t>BATCH01002</t>
  </si>
  <si>
    <t>BATCH01003</t>
  </si>
  <si>
    <t>BATCH01004</t>
  </si>
  <si>
    <t>BATCH01005</t>
  </si>
  <si>
    <t>BATCH01006</t>
  </si>
  <si>
    <t>BATCH01007</t>
  </si>
  <si>
    <t>BATCH01008</t>
  </si>
  <si>
    <t>BATCH01009</t>
  </si>
  <si>
    <t>BATCH01010</t>
  </si>
  <si>
    <t>BATCH01011</t>
  </si>
  <si>
    <t>BATCH01012</t>
  </si>
  <si>
    <t>BATCH01013</t>
  </si>
  <si>
    <t>BATCH01014</t>
  </si>
  <si>
    <t>BATCH01015</t>
  </si>
  <si>
    <t>BATCH01016</t>
  </si>
  <si>
    <t>BATCH01017</t>
  </si>
  <si>
    <t>BATCH01018</t>
  </si>
  <si>
    <t>BATCH01019</t>
  </si>
  <si>
    <t>BATCH01020</t>
  </si>
  <si>
    <t>BATCH01021</t>
  </si>
  <si>
    <t>BATCH01022</t>
  </si>
  <si>
    <t>BATCH01023</t>
  </si>
  <si>
    <t>BATCH01024</t>
  </si>
  <si>
    <t>BATCH01025</t>
  </si>
  <si>
    <t>BATCH01026</t>
  </si>
  <si>
    <t>BATCH01027</t>
  </si>
  <si>
    <t>BATCH01028</t>
  </si>
  <si>
    <t>BATCH01029</t>
  </si>
  <si>
    <t>BATCH01030</t>
  </si>
  <si>
    <t>BATCH01031</t>
  </si>
  <si>
    <t>BATCH01032</t>
  </si>
  <si>
    <t>BATCH01033</t>
  </si>
  <si>
    <t>BATCH01034</t>
  </si>
  <si>
    <t>BATCH01035</t>
  </si>
  <si>
    <t>BATCH01036</t>
  </si>
  <si>
    <t>BATCH01037</t>
  </si>
  <si>
    <t>BATCH01038</t>
  </si>
  <si>
    <t>BATCH01039</t>
  </si>
  <si>
    <t>BATCH01040</t>
  </si>
  <si>
    <t>BATCH01041</t>
  </si>
  <si>
    <t>BATCH01042</t>
  </si>
  <si>
    <t>BATCH01043</t>
  </si>
  <si>
    <t>BATCH01044</t>
  </si>
  <si>
    <t>BATCH01045</t>
  </si>
  <si>
    <t>BATCH01046</t>
  </si>
  <si>
    <t>BATCH01047</t>
  </si>
  <si>
    <t>BATCH01048</t>
  </si>
  <si>
    <t>BATCH01049</t>
  </si>
  <si>
    <t>BATCH01050</t>
  </si>
  <si>
    <t>BATCH01051</t>
  </si>
  <si>
    <t>BATCH01052</t>
  </si>
  <si>
    <t>BATCH01053</t>
  </si>
  <si>
    <t>BATCH01054</t>
  </si>
  <si>
    <t>BATCH01055</t>
  </si>
  <si>
    <t>BATCH01056</t>
  </si>
  <si>
    <t>BATCH01057</t>
  </si>
  <si>
    <t>BATCH01058</t>
  </si>
  <si>
    <t>BATCH01059</t>
  </si>
  <si>
    <t>BATCH01060</t>
  </si>
  <si>
    <t>BATCH01061</t>
  </si>
  <si>
    <t>BATCH01062</t>
  </si>
  <si>
    <t>BATCH01063</t>
  </si>
  <si>
    <t>BATCH01064</t>
  </si>
  <si>
    <t>BATCH01065</t>
  </si>
  <si>
    <t>BATCH01066</t>
  </si>
  <si>
    <t>BATCH01067</t>
  </si>
  <si>
    <t>BATCH01068</t>
  </si>
  <si>
    <t>BATCH01069</t>
  </si>
  <si>
    <t>BATCH01070</t>
  </si>
  <si>
    <t>BATCH01071</t>
  </si>
  <si>
    <t>BATCH01072</t>
  </si>
  <si>
    <t>BATCH01073</t>
  </si>
  <si>
    <t>BATCH01074</t>
  </si>
  <si>
    <t>BATCH01075</t>
  </si>
  <si>
    <t>BATCH01076</t>
  </si>
  <si>
    <t>BATCH01077</t>
  </si>
  <si>
    <t>BATCH01078</t>
  </si>
  <si>
    <t>BATCH01079</t>
  </si>
  <si>
    <t>BATCH01080</t>
  </si>
  <si>
    <t>BATCH01081</t>
  </si>
  <si>
    <t>BATCH01082</t>
  </si>
  <si>
    <t>BATCH01083</t>
  </si>
  <si>
    <t>BATCH01084</t>
  </si>
  <si>
    <t>BATCH01085</t>
  </si>
  <si>
    <t>BATCH01086</t>
  </si>
  <si>
    <t>BATCH01087</t>
  </si>
  <si>
    <t>BATCH01088</t>
  </si>
  <si>
    <t>BATCH01089</t>
  </si>
  <si>
    <t>BATCH01090</t>
  </si>
  <si>
    <t>BATCH01091</t>
  </si>
  <si>
    <t>BATCH01092</t>
  </si>
  <si>
    <t>BATCH01093</t>
  </si>
  <si>
    <t>BATCH01094</t>
  </si>
  <si>
    <t>BATCH01095</t>
  </si>
  <si>
    <t>BATCH01096</t>
  </si>
  <si>
    <t>BATCH01097</t>
  </si>
  <si>
    <t>BATCH01098</t>
  </si>
  <si>
    <t>BATCH01099</t>
  </si>
  <si>
    <t>BATCH01100</t>
  </si>
  <si>
    <t>BATCH01101</t>
  </si>
  <si>
    <t>BATCH01102</t>
  </si>
  <si>
    <t>BATCH01103</t>
  </si>
  <si>
    <t>BATCH01104</t>
  </si>
  <si>
    <t>BATCH01105</t>
  </si>
  <si>
    <t>BATCH01106</t>
  </si>
  <si>
    <t>BATCH01107</t>
  </si>
  <si>
    <t>BATCH01108</t>
  </si>
  <si>
    <t>BATCH01109</t>
  </si>
  <si>
    <t>BATCH01110</t>
  </si>
  <si>
    <t>BATCH01111</t>
  </si>
  <si>
    <t>BATCH01112</t>
  </si>
  <si>
    <t>BATCH01113</t>
  </si>
  <si>
    <t>BATCH01114</t>
  </si>
  <si>
    <t>BATCH01115</t>
  </si>
  <si>
    <t>BATCH01116</t>
  </si>
  <si>
    <t>BATCH01117</t>
  </si>
  <si>
    <t>BATCH01118</t>
  </si>
  <si>
    <t>BATCH01119</t>
  </si>
  <si>
    <t>BATCH01120</t>
  </si>
  <si>
    <t>BATCH01121</t>
  </si>
  <si>
    <t>BATCH01122</t>
  </si>
  <si>
    <t>BATCH01123</t>
  </si>
  <si>
    <t>BATCH01124</t>
  </si>
  <si>
    <t>BATCH01125</t>
  </si>
  <si>
    <t>BATCH01126</t>
  </si>
  <si>
    <t>BATCH01127</t>
  </si>
  <si>
    <t>BATCH01128</t>
  </si>
  <si>
    <t>BATCH01129</t>
  </si>
  <si>
    <t>BATCH01130</t>
  </si>
  <si>
    <t>BATCH01131</t>
  </si>
  <si>
    <t>BATCH01132</t>
  </si>
  <si>
    <t>BATCH01133</t>
  </si>
  <si>
    <t>BATCH01134</t>
  </si>
  <si>
    <t>BATCH01135</t>
  </si>
  <si>
    <t>BATCH01136</t>
  </si>
  <si>
    <t>BATCH01137</t>
  </si>
  <si>
    <t>BATCH01138</t>
  </si>
  <si>
    <t>BATCH01139</t>
  </si>
  <si>
    <t>BATCH01140</t>
  </si>
  <si>
    <t>BATCH01141</t>
  </si>
  <si>
    <t>BATCH01142</t>
  </si>
  <si>
    <t>BATCH01143</t>
  </si>
  <si>
    <t>BATCH01144</t>
  </si>
  <si>
    <t>BATCH01145</t>
  </si>
  <si>
    <t>BATCH01146</t>
  </si>
  <si>
    <t>BATCH01147</t>
  </si>
  <si>
    <t>BATCH01148</t>
  </si>
  <si>
    <t>BATCH01149</t>
  </si>
  <si>
    <t>BATCH01150</t>
  </si>
  <si>
    <t>BATCH01151</t>
  </si>
  <si>
    <t>BATCH01152</t>
  </si>
  <si>
    <t>BATCH01153</t>
  </si>
  <si>
    <t>BATCH01154</t>
  </si>
  <si>
    <t>BATCH01155</t>
  </si>
  <si>
    <t>BATCH01156</t>
  </si>
  <si>
    <t>BATCH01157</t>
  </si>
  <si>
    <t>BATCH01158</t>
  </si>
  <si>
    <t>BATCH01159</t>
  </si>
  <si>
    <t>BATCH01160</t>
  </si>
  <si>
    <t>BATCH01161</t>
  </si>
  <si>
    <t>BATCH01162</t>
  </si>
  <si>
    <t>BATCH01163</t>
  </si>
  <si>
    <t>BATCH01164</t>
  </si>
  <si>
    <t>BATCH01165</t>
  </si>
  <si>
    <t>BATCH01166</t>
  </si>
  <si>
    <t>BATCH01167</t>
  </si>
  <si>
    <t>BATCH01168</t>
  </si>
  <si>
    <t>BATCH01169</t>
  </si>
  <si>
    <t>BATCH01170</t>
  </si>
  <si>
    <t>BATCH01171</t>
  </si>
  <si>
    <t>BATCH01172</t>
  </si>
  <si>
    <t>BATCH01173</t>
  </si>
  <si>
    <t>BATCH01174</t>
  </si>
  <si>
    <t>BATCH01175</t>
  </si>
  <si>
    <t>BATCH01176</t>
  </si>
  <si>
    <t>BATCH01177</t>
  </si>
  <si>
    <t>BATCH01178</t>
  </si>
  <si>
    <t>BATCH01179</t>
  </si>
  <si>
    <t>BATCH01180</t>
  </si>
  <si>
    <t>BATCH01181</t>
  </si>
  <si>
    <t>BATCH01182</t>
  </si>
  <si>
    <t>BATCH01183</t>
  </si>
  <si>
    <t>BATCH01184</t>
  </si>
  <si>
    <t>BATCH01185</t>
  </si>
  <si>
    <t>BATCH01186</t>
  </si>
  <si>
    <t>BATCH01187</t>
  </si>
  <si>
    <t>BATCH01188</t>
  </si>
  <si>
    <t>BATCH01189</t>
  </si>
  <si>
    <t>BATCH01190</t>
  </si>
  <si>
    <t>BATCH01191</t>
  </si>
  <si>
    <t>BATCH01192</t>
  </si>
  <si>
    <t>BATCH01193</t>
  </si>
  <si>
    <t>BATCH01194</t>
  </si>
  <si>
    <t>BATCH01195</t>
  </si>
  <si>
    <t>BATCH01196</t>
  </si>
  <si>
    <t>BATCH01197</t>
  </si>
  <si>
    <t>BATCH01198</t>
  </si>
  <si>
    <t>BATCH01199</t>
  </si>
  <si>
    <t>BATCH01200</t>
  </si>
  <si>
    <t>BATCH01201</t>
  </si>
  <si>
    <t>BATCH01202</t>
  </si>
  <si>
    <t>BATCH01203</t>
  </si>
  <si>
    <t>BATCH01204</t>
  </si>
  <si>
    <t>BATCH01205</t>
  </si>
  <si>
    <t>BATCH01206</t>
  </si>
  <si>
    <t>BATCH01207</t>
  </si>
  <si>
    <t>BATCH01208</t>
  </si>
  <si>
    <t>BATCH01209</t>
  </si>
  <si>
    <t>BATCH01210</t>
  </si>
  <si>
    <t>BATCH01211</t>
  </si>
  <si>
    <t>BATCH01212</t>
  </si>
  <si>
    <t>BATCH01213</t>
  </si>
  <si>
    <t>BATCH01214</t>
  </si>
  <si>
    <t>BATCH01215</t>
  </si>
  <si>
    <t>BATCH01216</t>
  </si>
  <si>
    <t>BATCH01217</t>
  </si>
  <si>
    <t>BATCH01218</t>
  </si>
  <si>
    <t>BATCH01219</t>
  </si>
  <si>
    <t>BATCH01220</t>
  </si>
  <si>
    <t>BATCH01221</t>
  </si>
  <si>
    <t>BATCH01222</t>
  </si>
  <si>
    <t>BATCH01223</t>
  </si>
  <si>
    <t>BATCH01224</t>
  </si>
  <si>
    <t>BATCH01225</t>
  </si>
  <si>
    <t>BATCH01226</t>
  </si>
  <si>
    <t>BATCH01227</t>
  </si>
  <si>
    <t>BATCH01228</t>
  </si>
  <si>
    <t>BATCH01229</t>
  </si>
  <si>
    <t>BATCH01230</t>
  </si>
  <si>
    <t>BATCH01231</t>
  </si>
  <si>
    <t>BATCH01232</t>
  </si>
  <si>
    <t>BATCH01233</t>
  </si>
  <si>
    <t>BATCH01234</t>
  </si>
  <si>
    <t>BATCH01235</t>
  </si>
  <si>
    <t>BATCH01236</t>
  </si>
  <si>
    <t>BATCH01237</t>
  </si>
  <si>
    <t>BATCH01238</t>
  </si>
  <si>
    <t>BATCH01239</t>
  </si>
  <si>
    <t>BATCH01240</t>
  </si>
  <si>
    <t>BATCH01241</t>
  </si>
  <si>
    <t>BATCH01242</t>
  </si>
  <si>
    <t>BATCH01243</t>
  </si>
  <si>
    <t>BATCH01244</t>
  </si>
  <si>
    <t>BATCH01245</t>
  </si>
  <si>
    <t>BATCH01246</t>
  </si>
  <si>
    <t>BATCH01247</t>
  </si>
  <si>
    <t>BATCH01248</t>
  </si>
  <si>
    <t>BATCH01249</t>
  </si>
  <si>
    <t>BATCH01250</t>
  </si>
  <si>
    <t>BATCH01251</t>
  </si>
  <si>
    <t>BATCH01252</t>
  </si>
  <si>
    <t>BATCH01253</t>
  </si>
  <si>
    <t>BATCH01254</t>
  </si>
  <si>
    <t>BATCH01255</t>
  </si>
  <si>
    <t>BATCH01256</t>
  </si>
  <si>
    <t>BATCH01257</t>
  </si>
  <si>
    <t>BATCH01258</t>
  </si>
  <si>
    <t>BATCH01259</t>
  </si>
  <si>
    <t>BATCH01260</t>
  </si>
  <si>
    <t>BATCH01261</t>
  </si>
  <si>
    <t>BATCH01262</t>
  </si>
  <si>
    <t>BATCH01263</t>
  </si>
  <si>
    <t>BATCH01264</t>
  </si>
  <si>
    <t>BATCH01265</t>
  </si>
  <si>
    <t>BATCH01266</t>
  </si>
  <si>
    <t>BATCH01267</t>
  </si>
  <si>
    <t>BATCH01268</t>
  </si>
  <si>
    <t>BATCH01269</t>
  </si>
  <si>
    <t>BATCH01270</t>
  </si>
  <si>
    <t>BATCH01271</t>
  </si>
  <si>
    <t>BATCH01272</t>
  </si>
  <si>
    <t>BATCH01273</t>
  </si>
  <si>
    <t>BATCH01274</t>
  </si>
  <si>
    <t>BATCH01275</t>
  </si>
  <si>
    <t>BATCH01276</t>
  </si>
  <si>
    <t>BATCH01277</t>
  </si>
  <si>
    <t>BATCH01278</t>
  </si>
  <si>
    <t>BATCH01279</t>
  </si>
  <si>
    <t>BATCH01280</t>
  </si>
  <si>
    <t>BATCH01281</t>
  </si>
  <si>
    <t>BATCH01282</t>
  </si>
  <si>
    <t>BATCH01283</t>
  </si>
  <si>
    <t>BATCH01284</t>
  </si>
  <si>
    <t>BATCH01285</t>
  </si>
  <si>
    <t>BATCH01286</t>
  </si>
  <si>
    <t>BATCH01287</t>
  </si>
  <si>
    <t>BATCH01288</t>
  </si>
  <si>
    <t>BATCH01289</t>
  </si>
  <si>
    <t>BATCH01290</t>
  </si>
  <si>
    <t>BATCH01291</t>
  </si>
  <si>
    <t>BATCH01292</t>
  </si>
  <si>
    <t>BATCH01293</t>
  </si>
  <si>
    <t>BATCH01294</t>
  </si>
  <si>
    <t>BATCH01295</t>
  </si>
  <si>
    <t>BATCH01296</t>
  </si>
  <si>
    <t>BATCH01297</t>
  </si>
  <si>
    <t>BATCH01298</t>
  </si>
  <si>
    <t>BATCH01299</t>
  </si>
  <si>
    <t>BATCH01300</t>
  </si>
  <si>
    <t>BATCH01301</t>
  </si>
  <si>
    <t>BATCH01302</t>
  </si>
  <si>
    <t>BATCH01303</t>
  </si>
  <si>
    <t>BATCH01304</t>
  </si>
  <si>
    <t>BATCH01305</t>
  </si>
  <si>
    <t>BATCH01306</t>
  </si>
  <si>
    <t>BATCH01307</t>
  </si>
  <si>
    <t>BATCH01308</t>
  </si>
  <si>
    <t>BATCH01309</t>
  </si>
  <si>
    <t>BATCH01310</t>
  </si>
  <si>
    <t>BATCH01311</t>
  </si>
  <si>
    <t>BATCH01312</t>
  </si>
  <si>
    <t>BATCH01313</t>
  </si>
  <si>
    <t>BATCH01314</t>
  </si>
  <si>
    <t>BATCH01315</t>
  </si>
  <si>
    <t>BATCH01316</t>
  </si>
  <si>
    <t>BATCH01317</t>
  </si>
  <si>
    <t>BATCH01318</t>
  </si>
  <si>
    <t>BATCH01319</t>
  </si>
  <si>
    <t>BATCH01320</t>
  </si>
  <si>
    <t>BATCH01321</t>
  </si>
  <si>
    <t>BATCH01322</t>
  </si>
  <si>
    <t>BATCH01323</t>
  </si>
  <si>
    <t>BATCH01324</t>
  </si>
  <si>
    <t>BATCH01325</t>
  </si>
  <si>
    <t>BATCH01326</t>
  </si>
  <si>
    <t>BATCH01327</t>
  </si>
  <si>
    <t>BATCH01328</t>
  </si>
  <si>
    <t>BATCH01329</t>
  </si>
  <si>
    <t>BATCH01330</t>
  </si>
  <si>
    <t>BATCH01331</t>
  </si>
  <si>
    <t>BATCH01332</t>
  </si>
  <si>
    <t>BATCH01333</t>
  </si>
  <si>
    <t>BATCH01334</t>
  </si>
  <si>
    <t>BATCH01335</t>
  </si>
  <si>
    <t>BATCH01336</t>
  </si>
  <si>
    <t>BATCH01337</t>
  </si>
  <si>
    <t>BATCH01338</t>
  </si>
  <si>
    <t>BATCH01339</t>
  </si>
  <si>
    <t>BATCH01340</t>
  </si>
  <si>
    <t>BATCH01341</t>
  </si>
  <si>
    <t>BATCH01342</t>
  </si>
  <si>
    <t>BATCH01343</t>
  </si>
  <si>
    <t>BATCH01344</t>
  </si>
  <si>
    <t>BATCH01345</t>
  </si>
  <si>
    <t>BATCH01346</t>
  </si>
  <si>
    <t>BATCH01347</t>
  </si>
  <si>
    <t>BATCH01348</t>
  </si>
  <si>
    <t>BATCH01349</t>
  </si>
  <si>
    <t>BATCH01350</t>
  </si>
  <si>
    <t>BATCH01351</t>
  </si>
  <si>
    <t>BATCH01352</t>
  </si>
  <si>
    <t>BATCH01353</t>
  </si>
  <si>
    <t>BATCH01354</t>
  </si>
  <si>
    <t>BATCH01355</t>
  </si>
  <si>
    <t>BATCH01356</t>
  </si>
  <si>
    <t>BATCH01357</t>
  </si>
  <si>
    <t>BATCH01358</t>
  </si>
  <si>
    <t>BATCH01359</t>
  </si>
  <si>
    <t>BATCH01360</t>
  </si>
  <si>
    <t>BATCH01361</t>
  </si>
  <si>
    <t>BATCH01362</t>
  </si>
  <si>
    <t>BATCH01363</t>
  </si>
  <si>
    <t>BATCH01364</t>
  </si>
  <si>
    <t>BATCH01365</t>
  </si>
  <si>
    <t>BATCH01366</t>
  </si>
  <si>
    <t>BATCH01367</t>
  </si>
  <si>
    <t>BATCH01368</t>
  </si>
  <si>
    <t>BATCH01369</t>
  </si>
  <si>
    <t>BATCH01370</t>
  </si>
  <si>
    <t>BATCH01371</t>
  </si>
  <si>
    <t>BATCH01372</t>
  </si>
  <si>
    <t>BATCH01373</t>
  </si>
  <si>
    <t>BATCH01374</t>
  </si>
  <si>
    <t>BATCH01375</t>
  </si>
  <si>
    <t>BATCH01376</t>
  </si>
  <si>
    <t>BATCH01377</t>
  </si>
  <si>
    <t>BATCH01378</t>
  </si>
  <si>
    <t>BATCH01379</t>
  </si>
  <si>
    <t>BATCH01380</t>
  </si>
  <si>
    <t>BATCH01381</t>
  </si>
  <si>
    <t>BATCH01382</t>
  </si>
  <si>
    <t>BATCH01383</t>
  </si>
  <si>
    <t>BATCH01384</t>
  </si>
  <si>
    <t>BATCH01385</t>
  </si>
  <si>
    <t>BATCH01386</t>
  </si>
  <si>
    <t>BATCH01387</t>
  </si>
  <si>
    <t>BATCH01388</t>
  </si>
  <si>
    <t>BATCH01389</t>
  </si>
  <si>
    <t>BATCH01390</t>
  </si>
  <si>
    <t>BATCH01391</t>
  </si>
  <si>
    <t>BATCH01392</t>
  </si>
  <si>
    <t>BATCH01393</t>
  </si>
  <si>
    <t>BATCH01394</t>
  </si>
  <si>
    <t>BATCH01395</t>
  </si>
  <si>
    <t>BATCH01396</t>
  </si>
  <si>
    <t>BATCH01397</t>
  </si>
  <si>
    <t>BATCH01398</t>
  </si>
  <si>
    <t>BATCH01399</t>
  </si>
  <si>
    <t>BATCH01400</t>
  </si>
  <si>
    <t>BATCH01401</t>
  </si>
  <si>
    <t>BATCH01402</t>
  </si>
  <si>
    <t>BATCH01403</t>
  </si>
  <si>
    <t>BATCH01404</t>
  </si>
  <si>
    <t>BATCH01405</t>
  </si>
  <si>
    <t>BATCH01406</t>
  </si>
  <si>
    <t>BATCH01407</t>
  </si>
  <si>
    <t>BATCH01408</t>
  </si>
  <si>
    <t>BATCH01409</t>
  </si>
  <si>
    <t>BATCH01410</t>
  </si>
  <si>
    <t>BATCH01411</t>
  </si>
  <si>
    <t>BATCH01412</t>
  </si>
  <si>
    <t>BATCH01413</t>
  </si>
  <si>
    <t>BATCH01414</t>
  </si>
  <si>
    <t>BATCH01415</t>
  </si>
  <si>
    <t>BATCH01416</t>
  </si>
  <si>
    <t>BATCH01417</t>
  </si>
  <si>
    <t>BATCH01418</t>
  </si>
  <si>
    <t>BATCH01419</t>
  </si>
  <si>
    <t>BATCH01420</t>
  </si>
  <si>
    <t>BATCH01421</t>
  </si>
  <si>
    <t>BATCH01422</t>
  </si>
  <si>
    <t>BATCH01423</t>
  </si>
  <si>
    <t>BATCH01424</t>
  </si>
  <si>
    <t>BATCH01425</t>
  </si>
  <si>
    <t>BATCH01426</t>
  </si>
  <si>
    <t>BATCH01427</t>
  </si>
  <si>
    <t>BATCH01428</t>
  </si>
  <si>
    <t>BATCH01429</t>
  </si>
  <si>
    <t>BATCH01430</t>
  </si>
  <si>
    <t>BATCH01431</t>
  </si>
  <si>
    <t>BATCH01432</t>
  </si>
  <si>
    <t>BATCH01433</t>
  </si>
  <si>
    <t>BATCH01434</t>
  </si>
  <si>
    <t>BATCH01435</t>
  </si>
  <si>
    <t>BATCH01436</t>
  </si>
  <si>
    <t>BATCH01437</t>
  </si>
  <si>
    <t>BATCH01438</t>
  </si>
  <si>
    <t>BATCH01439</t>
  </si>
  <si>
    <t>BATCH01440</t>
  </si>
  <si>
    <t>BATCH01441</t>
  </si>
  <si>
    <t>BATCH01442</t>
  </si>
  <si>
    <t>BATCH01443</t>
  </si>
  <si>
    <t>BATCH01444</t>
  </si>
  <si>
    <t>BATCH01445</t>
  </si>
  <si>
    <t>BATCH01446</t>
  </si>
  <si>
    <t>BATCH01447</t>
  </si>
  <si>
    <t>BATCH01448</t>
  </si>
  <si>
    <t>BATCH01449</t>
  </si>
  <si>
    <t>BATCH01450</t>
  </si>
  <si>
    <t>BATCH01451</t>
  </si>
  <si>
    <t>BATCH01452</t>
  </si>
  <si>
    <t>BATCH01453</t>
  </si>
  <si>
    <t>BATCH01454</t>
  </si>
  <si>
    <t>BATCH01455</t>
  </si>
  <si>
    <t>BATCH01456</t>
  </si>
  <si>
    <t>BATCH01457</t>
  </si>
  <si>
    <t>BATCH01458</t>
  </si>
  <si>
    <t>BATCH01459</t>
  </si>
  <si>
    <t>BATCH01460</t>
  </si>
  <si>
    <t>BATCH01461</t>
  </si>
  <si>
    <t>BATCH01462</t>
  </si>
  <si>
    <t>BATCH01463</t>
  </si>
  <si>
    <t>BATCH01464</t>
  </si>
  <si>
    <t>BATCH01465</t>
  </si>
  <si>
    <t>BATCH01466</t>
  </si>
  <si>
    <t>BATCH01467</t>
  </si>
  <si>
    <t>BATCH01468</t>
  </si>
  <si>
    <t>BATCH01469</t>
  </si>
  <si>
    <t>BATCH01470</t>
  </si>
  <si>
    <t>BATCH01471</t>
  </si>
  <si>
    <t>BATCH01472</t>
  </si>
  <si>
    <t>BATCH01473</t>
  </si>
  <si>
    <t>BATCH01474</t>
  </si>
  <si>
    <t>BATCH01475</t>
  </si>
  <si>
    <t>BATCH01476</t>
  </si>
  <si>
    <t>BATCH01477</t>
  </si>
  <si>
    <t>BATCH01478</t>
  </si>
  <si>
    <t>BATCH01479</t>
  </si>
  <si>
    <t>BATCH01480</t>
  </si>
  <si>
    <t>BATCH01481</t>
  </si>
  <si>
    <t>BATCH01482</t>
  </si>
  <si>
    <t>BATCH01483</t>
  </si>
  <si>
    <t>BATCH01484</t>
  </si>
  <si>
    <t>BATCH01485</t>
  </si>
  <si>
    <t>BATCH01486</t>
  </si>
  <si>
    <t>BATCH01487</t>
  </si>
  <si>
    <t>BATCH01488</t>
  </si>
  <si>
    <t>BATCH01489</t>
  </si>
  <si>
    <t>BATCH01490</t>
  </si>
  <si>
    <t>BATCH01491</t>
  </si>
  <si>
    <t>BATCH01492</t>
  </si>
  <si>
    <t>BATCH01493</t>
  </si>
  <si>
    <t>BATCH01494</t>
  </si>
  <si>
    <t>BATCH01495</t>
  </si>
  <si>
    <t>BATCH01496</t>
  </si>
  <si>
    <t>BATCH01497</t>
  </si>
  <si>
    <t>BATCH01498</t>
  </si>
  <si>
    <t>BATCH01499</t>
  </si>
  <si>
    <t>BATCH01500</t>
  </si>
  <si>
    <t>BATCH01501</t>
  </si>
  <si>
    <t>BATCH01502</t>
  </si>
  <si>
    <t>BATCH01503</t>
  </si>
  <si>
    <t>BATCH01504</t>
  </si>
  <si>
    <t>BATCH01505</t>
  </si>
  <si>
    <t>BATCH01506</t>
  </si>
  <si>
    <t>BATCH01507</t>
  </si>
  <si>
    <t>BATCH01508</t>
  </si>
  <si>
    <t>BATCH01509</t>
  </si>
  <si>
    <t>BATCH01510</t>
  </si>
  <si>
    <t>BATCH01511</t>
  </si>
  <si>
    <t>BATCH01512</t>
  </si>
  <si>
    <t>BATCH01513</t>
  </si>
  <si>
    <t>BATCH01514</t>
  </si>
  <si>
    <t>BATCH01515</t>
  </si>
  <si>
    <t>BATCH01516</t>
  </si>
  <si>
    <t>BATCH01517</t>
  </si>
  <si>
    <t>BATCH01518</t>
  </si>
  <si>
    <t>BATCH01519</t>
  </si>
  <si>
    <t>BATCH01520</t>
  </si>
  <si>
    <t>BATCH01521</t>
  </si>
  <si>
    <t>BATCH01522</t>
  </si>
  <si>
    <t>BATCH01523</t>
  </si>
  <si>
    <t>BATCH01524</t>
  </si>
  <si>
    <t>BATCH01525</t>
  </si>
  <si>
    <t>BATCH01526</t>
  </si>
  <si>
    <t>BATCH01527</t>
  </si>
  <si>
    <t>BATCH01528</t>
  </si>
  <si>
    <t>BATCH01529</t>
  </si>
  <si>
    <t>BATCH01530</t>
  </si>
  <si>
    <t>BATCH01531</t>
  </si>
  <si>
    <t>BATCH01532</t>
  </si>
  <si>
    <t>BATCH01533</t>
  </si>
  <si>
    <t>BATCH01534</t>
  </si>
  <si>
    <t>BATCH01535</t>
  </si>
  <si>
    <t>BATCH01536</t>
  </si>
  <si>
    <t>BATCH01537</t>
  </si>
  <si>
    <t>BATCH01538</t>
  </si>
  <si>
    <t>BATCH01539</t>
  </si>
  <si>
    <t>BATCH01540</t>
  </si>
  <si>
    <t>BATCH01541</t>
  </si>
  <si>
    <t>BATCH01542</t>
  </si>
  <si>
    <t>BATCH01543</t>
  </si>
  <si>
    <t>BATCH01544</t>
  </si>
  <si>
    <t>BATCH01545</t>
  </si>
  <si>
    <t>BATCH01546</t>
  </si>
  <si>
    <t>BATCH01547</t>
  </si>
  <si>
    <t>BATCH01548</t>
  </si>
  <si>
    <t>BATCH01549</t>
  </si>
  <si>
    <t>BATCH01550</t>
  </si>
  <si>
    <t>BATCH01551</t>
  </si>
  <si>
    <t>BATCH01552</t>
  </si>
  <si>
    <t>BATCH01553</t>
  </si>
  <si>
    <t>BATCH01554</t>
  </si>
  <si>
    <t>BATCH01555</t>
  </si>
  <si>
    <t>BATCH01556</t>
  </si>
  <si>
    <t>BATCH01557</t>
  </si>
  <si>
    <t>BATCH01558</t>
  </si>
  <si>
    <t>BATCH01559</t>
  </si>
  <si>
    <t>BATCH01560</t>
  </si>
  <si>
    <t>BATCH01561</t>
  </si>
  <si>
    <t>BATCH01562</t>
  </si>
  <si>
    <t>BATCH01563</t>
  </si>
  <si>
    <t>BATCH01564</t>
  </si>
  <si>
    <t>BATCH01565</t>
  </si>
  <si>
    <t>BATCH01566</t>
  </si>
  <si>
    <t>BATCH01567</t>
  </si>
  <si>
    <t>BATCH01568</t>
  </si>
  <si>
    <t>BATCH01569</t>
  </si>
  <si>
    <t>BATCH01570</t>
  </si>
  <si>
    <t>BATCH01571</t>
  </si>
  <si>
    <t>BATCH01572</t>
  </si>
  <si>
    <t>BATCH01573</t>
  </si>
  <si>
    <t>BATCH01574</t>
  </si>
  <si>
    <t>BATCH01575</t>
  </si>
  <si>
    <t>BATCH01576</t>
  </si>
  <si>
    <t>BATCH01577</t>
  </si>
  <si>
    <t>BATCH01578</t>
  </si>
  <si>
    <t>BATCH01579</t>
  </si>
  <si>
    <t>BATCH01580</t>
  </si>
  <si>
    <t>BATCH01581</t>
  </si>
  <si>
    <t>BATCH01582</t>
  </si>
  <si>
    <t>BATCH01583</t>
  </si>
  <si>
    <t>BATCH01584</t>
  </si>
  <si>
    <t>BATCH01585</t>
  </si>
  <si>
    <t>BATCH01586</t>
  </si>
  <si>
    <t>BATCH01587</t>
  </si>
  <si>
    <t>BATCH01588</t>
  </si>
  <si>
    <t>BATCH01589</t>
  </si>
  <si>
    <t>BATCH01590</t>
  </si>
  <si>
    <t>BATCH01591</t>
  </si>
  <si>
    <t>BATCH01592</t>
  </si>
  <si>
    <t>BATCH01593</t>
  </si>
  <si>
    <t>BATCH01594</t>
  </si>
  <si>
    <t>BATCH01595</t>
  </si>
  <si>
    <t>BATCH01596</t>
  </si>
  <si>
    <t>BATCH01597</t>
  </si>
  <si>
    <t>BATCH01598</t>
  </si>
  <si>
    <t>BATCH01599</t>
  </si>
  <si>
    <t>BATCH01600</t>
  </si>
  <si>
    <t>BATCH01601</t>
  </si>
  <si>
    <t>BATCH01602</t>
  </si>
  <si>
    <t>BATCH01603</t>
  </si>
  <si>
    <t>BATCH01604</t>
  </si>
  <si>
    <t>BATCH01605</t>
  </si>
  <si>
    <t>BATCH01606</t>
  </si>
  <si>
    <t>BATCH01607</t>
  </si>
  <si>
    <t>BATCH01608</t>
  </si>
  <si>
    <t>BATCH01609</t>
  </si>
  <si>
    <t>BATCH01610</t>
  </si>
  <si>
    <t>BATCH01611</t>
  </si>
  <si>
    <t>BATCH01612</t>
  </si>
  <si>
    <t>BATCH01613</t>
  </si>
  <si>
    <t>BATCH01614</t>
  </si>
  <si>
    <t>BATCH01615</t>
  </si>
  <si>
    <t>BATCH01616</t>
  </si>
  <si>
    <t>BATCH01617</t>
  </si>
  <si>
    <t>BATCH01618</t>
  </si>
  <si>
    <t>BATCH01619</t>
  </si>
  <si>
    <t>BATCH01620</t>
  </si>
  <si>
    <t>BATCH01621</t>
  </si>
  <si>
    <t>BATCH01622</t>
  </si>
  <si>
    <t>BATCH01623</t>
  </si>
  <si>
    <t>BATCH01624</t>
  </si>
  <si>
    <t>BATCH01625</t>
  </si>
  <si>
    <t>BATCH01626</t>
  </si>
  <si>
    <t>BATCH01627</t>
  </si>
  <si>
    <t>BATCH01628</t>
  </si>
  <si>
    <t>BATCH01629</t>
  </si>
  <si>
    <t>BATCH01630</t>
  </si>
  <si>
    <t>BATCH01631</t>
  </si>
  <si>
    <t>BATCH01632</t>
  </si>
  <si>
    <t>BATCH01633</t>
  </si>
  <si>
    <t>BATCH01634</t>
  </si>
  <si>
    <t>BATCH01635</t>
  </si>
  <si>
    <t>BATCH01636</t>
  </si>
  <si>
    <t>BATCH01637</t>
  </si>
  <si>
    <t>BATCH01638</t>
  </si>
  <si>
    <t>BATCH01639</t>
  </si>
  <si>
    <t>BATCH01640</t>
  </si>
  <si>
    <t>BATCH01641</t>
  </si>
  <si>
    <t>BATCH01642</t>
  </si>
  <si>
    <t>BATCH01643</t>
  </si>
  <si>
    <t>BATCH01644</t>
  </si>
  <si>
    <t>BATCH01645</t>
  </si>
  <si>
    <t>BATCH01646</t>
  </si>
  <si>
    <t>BATCH01647</t>
  </si>
  <si>
    <t>BATCH01648</t>
  </si>
  <si>
    <t>BATCH01649</t>
  </si>
  <si>
    <t>BATCH01650</t>
  </si>
  <si>
    <t>BATCH01651</t>
  </si>
  <si>
    <t>BATCH01652</t>
  </si>
  <si>
    <t>BATCH01653</t>
  </si>
  <si>
    <t>BATCH01654</t>
  </si>
  <si>
    <t>BATCH01655</t>
  </si>
  <si>
    <t>BATCH01656</t>
  </si>
  <si>
    <t>BATCH01657</t>
  </si>
  <si>
    <t>BATCH01658</t>
  </si>
  <si>
    <t>BATCH01659</t>
  </si>
  <si>
    <t>BATCH01660</t>
  </si>
  <si>
    <t>BATCH01661</t>
  </si>
  <si>
    <t>BATCH01662</t>
  </si>
  <si>
    <t>BATCH01663</t>
  </si>
  <si>
    <t>BATCH01664</t>
  </si>
  <si>
    <t>BATCH01665</t>
  </si>
  <si>
    <t>BATCH01666</t>
  </si>
  <si>
    <t>BATCH01667</t>
  </si>
  <si>
    <t>BATCH01668</t>
  </si>
  <si>
    <t>BATCH01669</t>
  </si>
  <si>
    <t>BATCH01670</t>
  </si>
  <si>
    <t>BATCH01671</t>
  </si>
  <si>
    <t>BATCH01672</t>
  </si>
  <si>
    <t>BATCH01673</t>
  </si>
  <si>
    <t>BATCH01674</t>
  </si>
  <si>
    <t>BATCH01675</t>
  </si>
  <si>
    <t>BATCH01676</t>
  </si>
  <si>
    <t>BATCH01677</t>
  </si>
  <si>
    <t>BATCH01678</t>
  </si>
  <si>
    <t>BATCH01679</t>
  </si>
  <si>
    <t>BATCH01680</t>
  </si>
  <si>
    <t>BATCH01681</t>
  </si>
  <si>
    <t>BATCH01682</t>
  </si>
  <si>
    <t>BATCH01683</t>
  </si>
  <si>
    <t>BATCH01684</t>
  </si>
  <si>
    <t>BATCH01685</t>
  </si>
  <si>
    <t>BATCH01686</t>
  </si>
  <si>
    <t>BATCH01687</t>
  </si>
  <si>
    <t>BATCH01688</t>
  </si>
  <si>
    <t>BATCH01689</t>
  </si>
  <si>
    <t>BATCH01690</t>
  </si>
  <si>
    <t>BATCH01691</t>
  </si>
  <si>
    <t>BATCH01692</t>
  </si>
  <si>
    <t>BATCH01693</t>
  </si>
  <si>
    <t>BATCH01694</t>
  </si>
  <si>
    <t>BATCH01695</t>
  </si>
  <si>
    <t>BATCH01696</t>
  </si>
  <si>
    <t>BATCH01697</t>
  </si>
  <si>
    <t>BATCH01698</t>
  </si>
  <si>
    <t>BATCH01699</t>
  </si>
  <si>
    <t>BATCH01700</t>
  </si>
  <si>
    <t>BATCH01701</t>
  </si>
  <si>
    <t>BATCH01702</t>
  </si>
  <si>
    <t>BATCH01703</t>
  </si>
  <si>
    <t>BATCH01704</t>
  </si>
  <si>
    <t>BATCH01705</t>
  </si>
  <si>
    <t>BATCH01706</t>
  </si>
  <si>
    <t>BATCH01707</t>
  </si>
  <si>
    <t>BATCH01708</t>
  </si>
  <si>
    <t>BATCH01709</t>
  </si>
  <si>
    <t>BATCH01710</t>
  </si>
  <si>
    <t>BATCH01711</t>
  </si>
  <si>
    <t>BATCH01712</t>
  </si>
  <si>
    <t>BATCH01713</t>
  </si>
  <si>
    <t>BATCH01714</t>
  </si>
  <si>
    <t>BATCH01715</t>
  </si>
  <si>
    <t>BATCH01716</t>
  </si>
  <si>
    <t>BATCH01717</t>
  </si>
  <si>
    <t>BATCH01718</t>
  </si>
  <si>
    <t>BATCH01719</t>
  </si>
  <si>
    <t>BATCH01720</t>
  </si>
  <si>
    <t>BATCH01721</t>
  </si>
  <si>
    <t>BATCH01722</t>
  </si>
  <si>
    <t>BATCH01723</t>
  </si>
  <si>
    <t>BATCH01724</t>
  </si>
  <si>
    <t>BATCH01725</t>
  </si>
  <si>
    <t>BATCH01726</t>
  </si>
  <si>
    <t>BATCH01727</t>
  </si>
  <si>
    <t>BATCH01728</t>
  </si>
  <si>
    <t>BATCH01729</t>
  </si>
  <si>
    <t>BATCH01730</t>
  </si>
  <si>
    <t>BATCH01731</t>
  </si>
  <si>
    <t>BATCH01732</t>
  </si>
  <si>
    <t>BATCH01733</t>
  </si>
  <si>
    <t>BATCH01734</t>
  </si>
  <si>
    <t>BATCH01735</t>
  </si>
  <si>
    <t>BATCH01736</t>
  </si>
  <si>
    <t>BATCH01737</t>
  </si>
  <si>
    <t>BATCH01738</t>
  </si>
  <si>
    <t>BATCH01739</t>
  </si>
  <si>
    <t>BATCH01740</t>
  </si>
  <si>
    <t>BATCH01741</t>
  </si>
  <si>
    <t>BATCH01742</t>
  </si>
  <si>
    <t>BATCH01743</t>
  </si>
  <si>
    <t>BATCH01744</t>
  </si>
  <si>
    <t>BATCH01745</t>
  </si>
  <si>
    <t>BATCH01746</t>
  </si>
  <si>
    <t>BATCH01747</t>
  </si>
  <si>
    <t>BATCH01748</t>
  </si>
  <si>
    <t>BATCH01749</t>
  </si>
  <si>
    <t>BATCH01750</t>
  </si>
  <si>
    <t>BATCH01751</t>
  </si>
  <si>
    <t>BATCH01752</t>
  </si>
  <si>
    <t>BATCH01753</t>
  </si>
  <si>
    <t>BATCH01754</t>
  </si>
  <si>
    <t>BATCH01755</t>
  </si>
  <si>
    <t>BATCH01756</t>
  </si>
  <si>
    <t>BATCH01757</t>
  </si>
  <si>
    <t>BATCH01758</t>
  </si>
  <si>
    <t>BATCH01759</t>
  </si>
  <si>
    <t>BATCH01760</t>
  </si>
  <si>
    <t>BATCH01761</t>
  </si>
  <si>
    <t>BATCH01762</t>
  </si>
  <si>
    <t>BATCH01763</t>
  </si>
  <si>
    <t>BATCH01764</t>
  </si>
  <si>
    <t>BATCH01765</t>
  </si>
  <si>
    <t>BATCH01766</t>
  </si>
  <si>
    <t>BATCH01767</t>
  </si>
  <si>
    <t>BATCH01768</t>
  </si>
  <si>
    <t>BATCH01769</t>
  </si>
  <si>
    <t>BATCH01770</t>
  </si>
  <si>
    <t>BATCH01771</t>
  </si>
  <si>
    <t>BATCH01772</t>
  </si>
  <si>
    <t>BATCH01773</t>
  </si>
  <si>
    <t>BATCH01774</t>
  </si>
  <si>
    <t>BATCH01775</t>
  </si>
  <si>
    <t>BATCH01776</t>
  </si>
  <si>
    <t>BATCH01777</t>
  </si>
  <si>
    <t>BATCH01778</t>
  </si>
  <si>
    <t>BATCH01779</t>
  </si>
  <si>
    <t>BATCH01780</t>
  </si>
  <si>
    <t>BATCH01781</t>
  </si>
  <si>
    <t>BATCH01782</t>
  </si>
  <si>
    <t>BATCH01783</t>
  </si>
  <si>
    <t>BATCH01784</t>
  </si>
  <si>
    <t>BATCH01785</t>
  </si>
  <si>
    <t>BATCH01786</t>
  </si>
  <si>
    <t>BATCH01787</t>
  </si>
  <si>
    <t>BATCH01788</t>
  </si>
  <si>
    <t>BATCH01789</t>
  </si>
  <si>
    <t>BATCH01790</t>
  </si>
  <si>
    <t>BATCH01791</t>
  </si>
  <si>
    <t>BATCH01792</t>
  </si>
  <si>
    <t>BATCH01793</t>
  </si>
  <si>
    <t>BATCH01794</t>
  </si>
  <si>
    <t>BATCH01795</t>
  </si>
  <si>
    <t>BATCH01796</t>
  </si>
  <si>
    <t>BATCH01797</t>
  </si>
  <si>
    <t>BATCH01798</t>
  </si>
  <si>
    <t>BATCH01799</t>
  </si>
  <si>
    <t>BATCH01800</t>
  </si>
  <si>
    <t>BATCH01801</t>
  </si>
  <si>
    <t>BATCH01802</t>
  </si>
  <si>
    <t>BATCH01803</t>
  </si>
  <si>
    <t>BATCH01804</t>
  </si>
  <si>
    <t>BATCH01805</t>
  </si>
  <si>
    <t>BATCH01806</t>
  </si>
  <si>
    <t>BATCH01807</t>
  </si>
  <si>
    <t>BATCH01808</t>
  </si>
  <si>
    <t>BATCH01809</t>
  </si>
  <si>
    <t>BATCH01810</t>
  </si>
  <si>
    <t>BATCH01811</t>
  </si>
  <si>
    <t>BATCH01812</t>
  </si>
  <si>
    <t>BATCH01813</t>
  </si>
  <si>
    <t>BATCH01814</t>
  </si>
  <si>
    <t>BATCH01815</t>
  </si>
  <si>
    <t>BATCH01816</t>
  </si>
  <si>
    <t>BATCH01817</t>
  </si>
  <si>
    <t>BATCH01818</t>
  </si>
  <si>
    <t>BATCH01819</t>
  </si>
  <si>
    <t>BATCH01820</t>
  </si>
  <si>
    <t>BATCH01821</t>
  </si>
  <si>
    <t>BATCH01822</t>
  </si>
  <si>
    <t>BATCH01823</t>
  </si>
  <si>
    <t>BATCH01824</t>
  </si>
  <si>
    <t>BATCH01825</t>
  </si>
  <si>
    <t>BATCH01826</t>
  </si>
  <si>
    <t>BATCH01827</t>
  </si>
  <si>
    <t>BATCH01828</t>
  </si>
  <si>
    <t>BATCH01829</t>
  </si>
  <si>
    <t>BATCH01830</t>
  </si>
  <si>
    <t>BATCH01831</t>
  </si>
  <si>
    <t>BATCH01832</t>
  </si>
  <si>
    <t>BATCH01833</t>
  </si>
  <si>
    <t>BATCH01834</t>
  </si>
  <si>
    <t>BATCH01835</t>
  </si>
  <si>
    <t>BATCH01836</t>
  </si>
  <si>
    <t>BATCH01837</t>
  </si>
  <si>
    <t>BATCH01838</t>
  </si>
  <si>
    <t>BATCH01839</t>
  </si>
  <si>
    <t>BATCH01840</t>
  </si>
  <si>
    <t>BATCH01841</t>
  </si>
  <si>
    <t>BATCH01842</t>
  </si>
  <si>
    <t>BATCH01843</t>
  </si>
  <si>
    <t>BATCH01844</t>
  </si>
  <si>
    <t>BATCH01845</t>
  </si>
  <si>
    <t>BATCH01846</t>
  </si>
  <si>
    <t>BATCH01847</t>
  </si>
  <si>
    <t>BATCH01848</t>
  </si>
  <si>
    <t>BATCH01849</t>
  </si>
  <si>
    <t>BATCH01850</t>
  </si>
  <si>
    <t>BATCH01851</t>
  </si>
  <si>
    <t>BATCH01852</t>
  </si>
  <si>
    <t>BATCH01853</t>
  </si>
  <si>
    <t>BATCH01854</t>
  </si>
  <si>
    <t>BATCH01855</t>
  </si>
  <si>
    <t>BATCH01856</t>
  </si>
  <si>
    <t>BATCH01857</t>
  </si>
  <si>
    <t>BATCH01858</t>
  </si>
  <si>
    <t>BATCH01859</t>
  </si>
  <si>
    <t>BATCH01860</t>
  </si>
  <si>
    <t>BATCH01861</t>
  </si>
  <si>
    <t>BATCH01862</t>
  </si>
  <si>
    <t>BATCH01863</t>
  </si>
  <si>
    <t>BATCH01864</t>
  </si>
  <si>
    <t>BATCH01865</t>
  </si>
  <si>
    <t>BATCH01866</t>
  </si>
  <si>
    <t>BATCH01867</t>
  </si>
  <si>
    <t>BATCH01868</t>
  </si>
  <si>
    <t>BATCH01869</t>
  </si>
  <si>
    <t>BATCH01870</t>
  </si>
  <si>
    <t>BATCH01871</t>
  </si>
  <si>
    <t>BATCH01872</t>
  </si>
  <si>
    <t>BATCH01873</t>
  </si>
  <si>
    <t>BATCH01874</t>
  </si>
  <si>
    <t>BATCH01875</t>
  </si>
  <si>
    <t>BATCH01876</t>
  </si>
  <si>
    <t>BATCH01877</t>
  </si>
  <si>
    <t>BATCH01878</t>
  </si>
  <si>
    <t>BATCH01879</t>
  </si>
  <si>
    <t>BATCH01880</t>
  </si>
  <si>
    <t>BATCH01881</t>
  </si>
  <si>
    <t>BATCH01882</t>
  </si>
  <si>
    <t>BATCH01883</t>
  </si>
  <si>
    <t>BATCH01884</t>
  </si>
  <si>
    <t>BATCH01885</t>
  </si>
  <si>
    <t>BATCH01886</t>
  </si>
  <si>
    <t>BATCH01887</t>
  </si>
  <si>
    <t>BATCH01888</t>
  </si>
  <si>
    <t>BATCH01889</t>
  </si>
  <si>
    <t>BATCH01890</t>
  </si>
  <si>
    <t>BATCH01891</t>
  </si>
  <si>
    <t>BATCH01892</t>
  </si>
  <si>
    <t>BATCH01893</t>
  </si>
  <si>
    <t>BATCH01894</t>
  </si>
  <si>
    <t>BATCH01895</t>
  </si>
  <si>
    <t>BATCH01896</t>
  </si>
  <si>
    <t>BATCH01897</t>
  </si>
  <si>
    <t>BATCH01898</t>
  </si>
  <si>
    <t>BATCH01899</t>
  </si>
  <si>
    <t>BATCH01900</t>
  </si>
  <si>
    <t>BATCH01901</t>
  </si>
  <si>
    <t>BATCH01902</t>
  </si>
  <si>
    <t>BATCH01903</t>
  </si>
  <si>
    <t>BATCH01904</t>
  </si>
  <si>
    <t>BATCH01905</t>
  </si>
  <si>
    <t>BATCH01906</t>
  </si>
  <si>
    <t>BATCH01907</t>
  </si>
  <si>
    <t>BATCH01908</t>
  </si>
  <si>
    <t>BATCH01909</t>
  </si>
  <si>
    <t>BATCH01910</t>
  </si>
  <si>
    <t>BATCH01911</t>
  </si>
  <si>
    <t>BATCH01912</t>
  </si>
  <si>
    <t>BATCH01913</t>
  </si>
  <si>
    <t>BATCH01914</t>
  </si>
  <si>
    <t>BATCH01915</t>
  </si>
  <si>
    <t>BATCH01916</t>
  </si>
  <si>
    <t>BATCH01917</t>
  </si>
  <si>
    <t>BATCH01918</t>
  </si>
  <si>
    <t>BATCH01919</t>
  </si>
  <si>
    <t>BATCH01920</t>
  </si>
  <si>
    <t>BATCH01921</t>
  </si>
  <si>
    <t>BATCH01922</t>
  </si>
  <si>
    <t>BATCH01923</t>
  </si>
  <si>
    <t>BATCH01924</t>
  </si>
  <si>
    <t>BATCH01925</t>
  </si>
  <si>
    <t>BATCH01926</t>
  </si>
  <si>
    <t>BATCH01927</t>
  </si>
  <si>
    <t>BATCH01928</t>
  </si>
  <si>
    <t>BATCH01929</t>
  </si>
  <si>
    <t>BATCH01930</t>
  </si>
  <si>
    <t>BATCH01931</t>
  </si>
  <si>
    <t>BATCH01932</t>
  </si>
  <si>
    <t>BATCH01933</t>
  </si>
  <si>
    <t>BATCH01934</t>
  </si>
  <si>
    <t>BATCH01935</t>
  </si>
  <si>
    <t>BATCH01936</t>
  </si>
  <si>
    <t>BATCH01937</t>
  </si>
  <si>
    <t>BATCH01938</t>
  </si>
  <si>
    <t>BATCH01939</t>
  </si>
  <si>
    <t>BATCH01940</t>
  </si>
  <si>
    <t>BATCH01941</t>
  </si>
  <si>
    <t>BATCH01942</t>
  </si>
  <si>
    <t>BATCH01943</t>
  </si>
  <si>
    <t>BATCH01944</t>
  </si>
  <si>
    <t>BATCH01945</t>
  </si>
  <si>
    <t>BATCH01946</t>
  </si>
  <si>
    <t>BATCH01947</t>
  </si>
  <si>
    <t>BATCH01948</t>
  </si>
  <si>
    <t>BATCH01949</t>
  </si>
  <si>
    <t>BATCH01950</t>
  </si>
  <si>
    <t>BATCH01951</t>
  </si>
  <si>
    <t>BATCH01952</t>
  </si>
  <si>
    <t>BATCH01953</t>
  </si>
  <si>
    <t>BATCH01954</t>
  </si>
  <si>
    <t>BATCH01955</t>
  </si>
  <si>
    <t>BATCH01956</t>
  </si>
  <si>
    <t>BATCH01957</t>
  </si>
  <si>
    <t>BATCH01958</t>
  </si>
  <si>
    <t>BATCH01959</t>
  </si>
  <si>
    <t>BATCH01960</t>
  </si>
  <si>
    <t>BATCH01961</t>
  </si>
  <si>
    <t>BATCH01962</t>
  </si>
  <si>
    <t>BATCH01963</t>
  </si>
  <si>
    <t>BATCH01964</t>
  </si>
  <si>
    <t>BATCH01965</t>
  </si>
  <si>
    <t>BATCH01966</t>
  </si>
  <si>
    <t>BATCH01967</t>
  </si>
  <si>
    <t>BATCH01968</t>
  </si>
  <si>
    <t>BATCH01969</t>
  </si>
  <si>
    <t>BATCH01970</t>
  </si>
  <si>
    <t>BATCH01971</t>
  </si>
  <si>
    <t>BATCH01972</t>
  </si>
  <si>
    <t>BATCH01973</t>
  </si>
  <si>
    <t>BATCH01974</t>
  </si>
  <si>
    <t>BATCH01975</t>
  </si>
  <si>
    <t>BATCH01976</t>
  </si>
  <si>
    <t>BATCH01977</t>
  </si>
  <si>
    <t>BATCH01978</t>
  </si>
  <si>
    <t>BATCH01979</t>
  </si>
  <si>
    <t>BATCH01980</t>
  </si>
  <si>
    <t>BATCH01981</t>
  </si>
  <si>
    <t>BATCH01982</t>
  </si>
  <si>
    <t>BATCH01983</t>
  </si>
  <si>
    <t>BATCH01984</t>
  </si>
  <si>
    <t>BATCH01985</t>
  </si>
  <si>
    <t>BATCH01986</t>
  </si>
  <si>
    <t>BATCH01987</t>
  </si>
  <si>
    <t>BATCH01988</t>
  </si>
  <si>
    <t>BATCH01989</t>
  </si>
  <si>
    <t>BATCH01990</t>
  </si>
  <si>
    <t>BATCH01991</t>
  </si>
  <si>
    <t>BATCH01992</t>
  </si>
  <si>
    <t>BATCH01993</t>
  </si>
  <si>
    <t>BATCH01994</t>
  </si>
  <si>
    <t>BATCH01995</t>
  </si>
  <si>
    <t>BATCH01996</t>
  </si>
  <si>
    <t>BATCH01997</t>
  </si>
  <si>
    <t>BATCH01998</t>
  </si>
  <si>
    <t>BATCH01999</t>
  </si>
  <si>
    <t>total_input_cost</t>
  </si>
  <si>
    <t>total_revenue</t>
  </si>
  <si>
    <t>estimated_profit</t>
  </si>
  <si>
    <t>profit_margin_%</t>
  </si>
  <si>
    <t>spoilage_quantity_kg</t>
  </si>
  <si>
    <t>KPI</t>
  </si>
  <si>
    <t>Value</t>
  </si>
  <si>
    <t>Total Yield (kg)</t>
  </si>
  <si>
    <t>Total Input Cost (₹)</t>
  </si>
  <si>
    <t>Total Revenue (₹)</t>
  </si>
  <si>
    <t>Estimated Profit (₹)</t>
  </si>
  <si>
    <t>Average Profit Margin (%)</t>
  </si>
  <si>
    <t>Total Spoilage (kg)</t>
  </si>
  <si>
    <t>Avg Transport Delay (hrs)</t>
  </si>
  <si>
    <t>Avg Resource Utilization (%)</t>
  </si>
  <si>
    <t>KPI Dashboard</t>
  </si>
  <si>
    <t>Grand Total</t>
  </si>
  <si>
    <t>Total Profit (₹)</t>
  </si>
  <si>
    <t>Seasons</t>
  </si>
  <si>
    <t>Region</t>
  </si>
  <si>
    <t>Supply Chain Stage</t>
  </si>
  <si>
    <t>Climate Risk Level</t>
  </si>
  <si>
    <t>Crop Type</t>
  </si>
  <si>
    <t>Total Profit by Crop</t>
  </si>
  <si>
    <t>Total Profit by Region</t>
  </si>
  <si>
    <t>Profit Contribution by Season</t>
  </si>
  <si>
    <t>Spoilage by Supply Chain Stage</t>
  </si>
  <si>
    <t>Profit Contribution by Climate Risk Level</t>
  </si>
  <si>
    <t>AGRICULTURE SUPPLY CHAIN PERFORMANCE DASHBOARD</t>
  </si>
  <si>
    <t xml:space="preserve">           TOTAL YIELD(KG)</t>
  </si>
  <si>
    <t xml:space="preserve">           TOTAL REVENUE(₹)</t>
  </si>
  <si>
    <t xml:space="preserve">          TOTAL INPUT COST(₹)</t>
  </si>
  <si>
    <t xml:space="preserve">      ESTIMATED PROFIT(₹)</t>
  </si>
  <si>
    <t>AVG TRANSPORT DELAY(HRS)</t>
  </si>
  <si>
    <t>AVG RESOURCE UTILIZATION(%)</t>
  </si>
  <si>
    <t xml:space="preserve">    TOTAL SPOILAGE(KG)</t>
  </si>
  <si>
    <t xml:space="preserve">   AVG PROFIT MARGIN(%)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</si>
</sst>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quot;\ #,##0.00"/>
    <numFmt numFmtId="165" formatCode="&quot;₹&quot;\ #,##0"/>
  </numFmts>
  <fonts count="27"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36"/>
      <color theme="0"/>
      <name val="Aptos Narrow"/>
      <family val="2"/>
      <scheme val="minor"/>
    </font>
    <font>
      <sz val="26"/>
      <color theme="0"/>
      <name val="Calibri"/>
      <family val="2"/>
    </font>
    <font>
      <sz val="12"/>
      <color theme="1"/>
      <name val="Calibri"/>
      <family val="2"/>
    </font>
    <font>
      <b/>
      <sz val="12"/>
      <color theme="0"/>
      <name val="Calibri"/>
      <family val="2"/>
    </font>
    <font>
      <b/>
      <sz val="12"/>
      <color theme="1"/>
      <name val="Aptos Narrow"/>
      <family val="2"/>
      <scheme val="minor"/>
    </font>
    <font>
      <sz val="12"/>
      <color theme="1"/>
      <name val="Aptos Narrow"/>
      <family val="2"/>
      <scheme val="minor"/>
    </font>
    <font>
      <b/>
      <sz val="26"/>
      <color theme="0"/>
      <name val="Calibri"/>
      <family val="2"/>
    </font>
    <font>
      <b/>
      <sz val="11"/>
      <color theme="0"/>
      <name val="Calibri"/>
      <family val="2"/>
    </font>
    <font>
      <b/>
      <sz val="12"/>
      <color rgb="FF00CCFF"/>
      <name val="Calibr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89999084444715716"/>
        <bgColor indexed="64"/>
      </patternFill>
    </fill>
    <fill>
      <patternFill patternType="solid">
        <fgColor theme="4"/>
        <bgColor indexed="64"/>
      </patternFill>
    </fill>
    <fill>
      <patternFill patternType="solid">
        <fgColor theme="7" tint="0.79998168889431442"/>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61">
    <xf numFmtId="0" fontId="0" fillId="0" borderId="0" xfId="0"/>
    <xf numFmtId="164" fontId="0" fillId="0" borderId="0" xfId="0" applyNumberFormat="1"/>
    <xf numFmtId="0" fontId="0" fillId="0" borderId="10" xfId="0" applyBorder="1"/>
    <xf numFmtId="164" fontId="0" fillId="0" borderId="10" xfId="0" applyNumberFormat="1" applyBorder="1"/>
    <xf numFmtId="10" fontId="0" fillId="0" borderId="10" xfId="0" applyNumberFormat="1" applyBorder="1"/>
    <xf numFmtId="2" fontId="0" fillId="0" borderId="10" xfId="0" applyNumberFormat="1" applyBorder="1"/>
    <xf numFmtId="0" fontId="20" fillId="0" borderId="0" xfId="0" pivotButton="1" applyFont="1"/>
    <xf numFmtId="0" fontId="20" fillId="0" borderId="0" xfId="0" applyFont="1"/>
    <xf numFmtId="0" fontId="20" fillId="0" borderId="0" xfId="0" applyFont="1" applyAlignment="1">
      <alignment horizontal="left"/>
    </xf>
    <xf numFmtId="164" fontId="20" fillId="0" borderId="0" xfId="0" applyNumberFormat="1" applyFont="1"/>
    <xf numFmtId="4" fontId="20" fillId="0" borderId="0" xfId="0" applyNumberFormat="1" applyFont="1"/>
    <xf numFmtId="0" fontId="21" fillId="34" borderId="10" xfId="0" applyFont="1" applyFill="1" applyBorder="1" applyAlignment="1">
      <alignment horizontal="center" vertical="center" wrapText="1"/>
    </xf>
    <xf numFmtId="0" fontId="20" fillId="33" borderId="10" xfId="0" applyFont="1" applyFill="1" applyBorder="1" applyAlignment="1">
      <alignment horizontal="center" vertical="center" wrapText="1"/>
    </xf>
    <xf numFmtId="164" fontId="20" fillId="33" borderId="10" xfId="0" applyNumberFormat="1" applyFont="1" applyFill="1" applyBorder="1" applyAlignment="1">
      <alignment horizontal="center" vertical="center" wrapText="1"/>
    </xf>
    <xf numFmtId="10" fontId="20" fillId="33" borderId="10" xfId="0" applyNumberFormat="1" applyFont="1" applyFill="1" applyBorder="1" applyAlignment="1">
      <alignment horizontal="center" vertical="center" wrapText="1"/>
    </xf>
    <xf numFmtId="2" fontId="20" fillId="33" borderId="10" xfId="0" applyNumberFormat="1" applyFont="1" applyFill="1" applyBorder="1" applyAlignment="1">
      <alignment horizontal="center" vertical="center" wrapText="1"/>
    </xf>
    <xf numFmtId="0" fontId="0" fillId="0" borderId="0" xfId="0" applyAlignment="1">
      <alignment vertical="center"/>
    </xf>
    <xf numFmtId="0" fontId="0" fillId="35" borderId="0" xfId="0" applyFill="1"/>
    <xf numFmtId="0" fontId="22" fillId="33" borderId="11" xfId="0" applyFont="1" applyFill="1" applyBorder="1" applyAlignment="1">
      <alignment horizontal="center" vertical="center"/>
    </xf>
    <xf numFmtId="0" fontId="0" fillId="33" borderId="12" xfId="0" applyFill="1" applyBorder="1" applyAlignment="1">
      <alignment horizontal="center" vertical="center"/>
    </xf>
    <xf numFmtId="0" fontId="0" fillId="33" borderId="13" xfId="0" applyFill="1" applyBorder="1" applyAlignment="1">
      <alignment horizontal="center" vertical="center"/>
    </xf>
    <xf numFmtId="0" fontId="0" fillId="33" borderId="14" xfId="0" applyFill="1" applyBorder="1" applyAlignment="1">
      <alignment horizontal="center" vertical="center"/>
    </xf>
    <xf numFmtId="0" fontId="0" fillId="33" borderId="0" xfId="0" applyFill="1" applyAlignment="1">
      <alignment horizontal="center" vertical="center"/>
    </xf>
    <xf numFmtId="0" fontId="0" fillId="33" borderId="15" xfId="0" applyFill="1" applyBorder="1" applyAlignment="1">
      <alignment horizontal="center" vertical="center"/>
    </xf>
    <xf numFmtId="10" fontId="22" fillId="33" borderId="14" xfId="0" applyNumberFormat="1" applyFont="1" applyFill="1" applyBorder="1" applyAlignment="1">
      <alignment horizontal="center" vertical="center"/>
    </xf>
    <xf numFmtId="0" fontId="22" fillId="33" borderId="0" xfId="0" applyFont="1" applyFill="1" applyAlignment="1">
      <alignment horizontal="center" vertical="center"/>
    </xf>
    <xf numFmtId="0" fontId="22" fillId="33" borderId="15" xfId="0" applyFont="1" applyFill="1" applyBorder="1" applyAlignment="1">
      <alignment horizontal="center" vertical="center"/>
    </xf>
    <xf numFmtId="0" fontId="22" fillId="33" borderId="16" xfId="0" applyFont="1" applyFill="1" applyBorder="1" applyAlignment="1">
      <alignment horizontal="center" vertical="center"/>
    </xf>
    <xf numFmtId="0" fontId="22" fillId="33" borderId="17" xfId="0" applyFont="1" applyFill="1" applyBorder="1" applyAlignment="1">
      <alignment horizontal="center" vertical="center"/>
    </xf>
    <xf numFmtId="0" fontId="22" fillId="33" borderId="18" xfId="0" applyFont="1" applyFill="1" applyBorder="1" applyAlignment="1">
      <alignment horizontal="center" vertical="center"/>
    </xf>
    <xf numFmtId="4" fontId="22" fillId="33" borderId="14" xfId="0" applyNumberFormat="1" applyFont="1" applyFill="1" applyBorder="1" applyAlignment="1">
      <alignment horizontal="center" vertical="center"/>
    </xf>
    <xf numFmtId="4" fontId="22" fillId="33" borderId="0" xfId="0" applyNumberFormat="1" applyFont="1" applyFill="1" applyAlignment="1">
      <alignment horizontal="center" vertical="center"/>
    </xf>
    <xf numFmtId="4" fontId="22" fillId="33" borderId="15" xfId="0" applyNumberFormat="1" applyFont="1" applyFill="1" applyBorder="1" applyAlignment="1">
      <alignment horizontal="center" vertical="center"/>
    </xf>
    <xf numFmtId="4" fontId="22" fillId="33" borderId="16" xfId="0" applyNumberFormat="1" applyFont="1" applyFill="1" applyBorder="1" applyAlignment="1">
      <alignment horizontal="center" vertical="center"/>
    </xf>
    <xf numFmtId="4" fontId="22" fillId="33" borderId="17" xfId="0" applyNumberFormat="1" applyFont="1" applyFill="1" applyBorder="1" applyAlignment="1">
      <alignment horizontal="center" vertical="center"/>
    </xf>
    <xf numFmtId="4" fontId="22" fillId="33" borderId="18" xfId="0" applyNumberFormat="1" applyFont="1" applyFill="1" applyBorder="1" applyAlignment="1">
      <alignment horizontal="center" vertical="center"/>
    </xf>
    <xf numFmtId="2" fontId="22" fillId="33" borderId="14" xfId="0" applyNumberFormat="1" applyFont="1" applyFill="1" applyBorder="1" applyAlignment="1">
      <alignment horizontal="center" vertical="center"/>
    </xf>
    <xf numFmtId="2" fontId="22" fillId="33" borderId="0" xfId="0" applyNumberFormat="1" applyFont="1" applyFill="1" applyAlignment="1">
      <alignment horizontal="center" vertical="center"/>
    </xf>
    <xf numFmtId="2" fontId="22" fillId="33" borderId="15" xfId="0" applyNumberFormat="1" applyFont="1" applyFill="1" applyBorder="1" applyAlignment="1">
      <alignment horizontal="center" vertical="center"/>
    </xf>
    <xf numFmtId="2" fontId="22" fillId="33" borderId="16" xfId="0" applyNumberFormat="1" applyFont="1" applyFill="1" applyBorder="1" applyAlignment="1">
      <alignment horizontal="center" vertical="center"/>
    </xf>
    <xf numFmtId="2" fontId="22" fillId="33" borderId="17" xfId="0" applyNumberFormat="1" applyFont="1" applyFill="1" applyBorder="1" applyAlignment="1">
      <alignment horizontal="center" vertical="center"/>
    </xf>
    <xf numFmtId="2" fontId="22" fillId="33" borderId="18" xfId="0" applyNumberFormat="1" applyFont="1" applyFill="1" applyBorder="1" applyAlignment="1">
      <alignment horizontal="center" vertical="center"/>
    </xf>
    <xf numFmtId="0" fontId="24" fillId="34" borderId="0" xfId="0" applyFont="1" applyFill="1" applyAlignment="1">
      <alignment horizontal="center"/>
    </xf>
    <xf numFmtId="0" fontId="25" fillId="34" borderId="0" xfId="0" applyFont="1" applyFill="1" applyAlignment="1">
      <alignment horizontal="center"/>
    </xf>
    <xf numFmtId="0" fontId="22" fillId="33" borderId="12" xfId="0" applyFont="1" applyFill="1" applyBorder="1" applyAlignment="1">
      <alignment horizontal="center" vertical="center"/>
    </xf>
    <xf numFmtId="0" fontId="22" fillId="33" borderId="13" xfId="0" applyFont="1" applyFill="1" applyBorder="1" applyAlignment="1">
      <alignment horizontal="center" vertical="center"/>
    </xf>
    <xf numFmtId="0" fontId="22" fillId="33" borderId="14" xfId="0" applyFont="1" applyFill="1" applyBorder="1" applyAlignment="1">
      <alignment horizontal="center" vertical="center"/>
    </xf>
    <xf numFmtId="165" fontId="22" fillId="33" borderId="14" xfId="0" applyNumberFormat="1" applyFont="1" applyFill="1" applyBorder="1" applyAlignment="1">
      <alignment horizontal="center" vertical="center"/>
    </xf>
    <xf numFmtId="165" fontId="22" fillId="33" borderId="0" xfId="0" applyNumberFormat="1" applyFont="1" applyFill="1" applyAlignment="1">
      <alignment horizontal="center" vertical="center"/>
    </xf>
    <xf numFmtId="165" fontId="22" fillId="33" borderId="15" xfId="0" applyNumberFormat="1" applyFont="1" applyFill="1" applyBorder="1" applyAlignment="1">
      <alignment horizontal="center" vertical="center"/>
    </xf>
    <xf numFmtId="165" fontId="22" fillId="33" borderId="16" xfId="0" applyNumberFormat="1" applyFont="1" applyFill="1" applyBorder="1" applyAlignment="1">
      <alignment horizontal="center" vertical="center"/>
    </xf>
    <xf numFmtId="165" fontId="22" fillId="33" borderId="17" xfId="0" applyNumberFormat="1" applyFont="1" applyFill="1" applyBorder="1" applyAlignment="1">
      <alignment horizontal="center" vertical="center"/>
    </xf>
    <xf numFmtId="165" fontId="22" fillId="33" borderId="18" xfId="0" applyNumberFormat="1" applyFont="1" applyFill="1" applyBorder="1" applyAlignment="1">
      <alignment horizontal="center" vertical="center"/>
    </xf>
    <xf numFmtId="0" fontId="23" fillId="33" borderId="12" xfId="0" applyFont="1" applyFill="1" applyBorder="1" applyAlignment="1">
      <alignment horizontal="center" vertical="center"/>
    </xf>
    <xf numFmtId="0" fontId="23" fillId="33" borderId="13" xfId="0" applyFont="1" applyFill="1" applyBorder="1" applyAlignment="1">
      <alignment horizontal="center" vertical="center"/>
    </xf>
    <xf numFmtId="0" fontId="23" fillId="33" borderId="14" xfId="0" applyFont="1" applyFill="1" applyBorder="1" applyAlignment="1">
      <alignment horizontal="center" vertical="center"/>
    </xf>
    <xf numFmtId="0" fontId="23" fillId="33" borderId="0" xfId="0" applyFont="1" applyFill="1" applyAlignment="1">
      <alignment horizontal="center" vertical="center"/>
    </xf>
    <xf numFmtId="0" fontId="23" fillId="33" borderId="15" xfId="0" applyFont="1" applyFill="1" applyBorder="1" applyAlignment="1">
      <alignment horizontal="center" vertical="center"/>
    </xf>
    <xf numFmtId="0" fontId="18" fillId="34" borderId="0" xfId="0" applyFont="1" applyFill="1" applyAlignment="1">
      <alignment horizontal="center"/>
    </xf>
    <xf numFmtId="0" fontId="19" fillId="34" borderId="0" xfId="0" applyFont="1" applyFill="1" applyAlignment="1">
      <alignment horizontal="center"/>
    </xf>
    <xf numFmtId="0" fontId="24" fillId="34" borderId="0" xfId="0" applyFont="1" applyFill="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80">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sz val="12"/>
      </font>
    </dxf>
    <dxf>
      <font>
        <sz val="12"/>
      </font>
    </dxf>
    <dxf>
      <font>
        <sz val="12"/>
      </font>
    </dxf>
    <dxf>
      <font>
        <sz val="12"/>
      </font>
    </dxf>
    <dxf>
      <font>
        <sz val="12"/>
      </font>
    </dxf>
    <dxf>
      <font>
        <sz val="12"/>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sz val="12"/>
      </font>
    </dxf>
    <dxf>
      <font>
        <sz val="12"/>
      </font>
    </dxf>
    <dxf>
      <font>
        <sz val="12"/>
      </font>
    </dxf>
    <dxf>
      <font>
        <sz val="12"/>
      </font>
    </dxf>
    <dxf>
      <font>
        <sz val="12"/>
      </font>
    </dxf>
    <dxf>
      <font>
        <sz val="12"/>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sz val="12"/>
      </font>
    </dxf>
    <dxf>
      <font>
        <sz val="12"/>
      </font>
    </dxf>
    <dxf>
      <font>
        <sz val="12"/>
      </font>
    </dxf>
    <dxf>
      <font>
        <sz val="12"/>
      </font>
    </dxf>
    <dxf>
      <font>
        <sz val="12"/>
      </font>
    </dxf>
    <dxf>
      <font>
        <sz val="12"/>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sz val="12"/>
      </font>
    </dxf>
    <dxf>
      <font>
        <sz val="12"/>
      </font>
    </dxf>
    <dxf>
      <font>
        <sz val="12"/>
      </font>
    </dxf>
    <dxf>
      <font>
        <sz val="12"/>
      </font>
    </dxf>
    <dxf>
      <font>
        <sz val="12"/>
      </font>
    </dxf>
    <dxf>
      <font>
        <sz val="12"/>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sz val="12"/>
      </font>
    </dxf>
    <dxf>
      <font>
        <sz val="12"/>
      </font>
    </dxf>
    <dxf>
      <font>
        <sz val="12"/>
      </font>
    </dxf>
    <dxf>
      <font>
        <sz val="12"/>
      </font>
    </dxf>
    <dxf>
      <font>
        <sz val="12"/>
      </font>
    </dxf>
    <dxf>
      <font>
        <sz val="12"/>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sz val="12"/>
      </font>
    </dxf>
    <dxf>
      <font>
        <sz val="12"/>
      </font>
    </dxf>
    <dxf>
      <font>
        <sz val="12"/>
      </font>
    </dxf>
    <dxf>
      <font>
        <sz val="12"/>
      </font>
    </dxf>
    <dxf>
      <font>
        <sz val="12"/>
      </font>
    </dxf>
    <dxf>
      <font>
        <sz val="12"/>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sz val="12"/>
      </font>
    </dxf>
    <dxf>
      <font>
        <sz val="12"/>
      </font>
    </dxf>
    <dxf>
      <font>
        <sz val="12"/>
      </font>
    </dxf>
    <dxf>
      <font>
        <sz val="12"/>
      </font>
    </dxf>
    <dxf>
      <font>
        <sz val="12"/>
      </font>
    </dxf>
    <dxf>
      <font>
        <sz val="12"/>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sz val="12"/>
      </font>
    </dxf>
    <dxf>
      <font>
        <sz val="12"/>
      </font>
    </dxf>
    <dxf>
      <font>
        <sz val="12"/>
      </font>
    </dxf>
    <dxf>
      <font>
        <sz val="12"/>
      </font>
    </dxf>
    <dxf>
      <font>
        <sz val="12"/>
      </font>
    </dxf>
    <dxf>
      <font>
        <sz val="12"/>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sz val="12"/>
      </font>
    </dxf>
    <dxf>
      <font>
        <sz val="12"/>
      </font>
    </dxf>
    <dxf>
      <font>
        <sz val="12"/>
      </font>
    </dxf>
    <dxf>
      <font>
        <sz val="12"/>
      </font>
    </dxf>
    <dxf>
      <font>
        <sz val="12"/>
      </font>
    </dxf>
    <dxf>
      <font>
        <sz val="12"/>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sz val="12"/>
      </font>
    </dxf>
    <dxf>
      <font>
        <sz val="12"/>
      </font>
    </dxf>
    <dxf>
      <font>
        <sz val="12"/>
      </font>
    </dxf>
    <dxf>
      <font>
        <sz val="12"/>
      </font>
    </dxf>
    <dxf>
      <font>
        <sz val="12"/>
      </font>
    </dxf>
    <dxf>
      <font>
        <sz val="12"/>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sz val="12"/>
      </font>
    </dxf>
    <dxf>
      <font>
        <sz val="12"/>
      </font>
    </dxf>
    <dxf>
      <font>
        <sz val="12"/>
      </font>
    </dxf>
    <dxf>
      <font>
        <sz val="12"/>
      </font>
    </dxf>
    <dxf>
      <font>
        <sz val="12"/>
      </font>
    </dxf>
    <dxf>
      <font>
        <sz val="12"/>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sz val="12"/>
      </font>
    </dxf>
    <dxf>
      <font>
        <sz val="12"/>
      </font>
    </dxf>
    <dxf>
      <font>
        <sz val="12"/>
      </font>
    </dxf>
    <dxf>
      <font>
        <sz val="12"/>
      </font>
    </dxf>
    <dxf>
      <font>
        <sz val="12"/>
      </font>
    </dxf>
    <dxf>
      <font>
        <sz val="12"/>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sz val="12"/>
      </font>
    </dxf>
    <dxf>
      <font>
        <sz val="12"/>
      </font>
    </dxf>
    <dxf>
      <font>
        <sz val="12"/>
      </font>
    </dxf>
    <dxf>
      <font>
        <sz val="12"/>
      </font>
    </dxf>
    <dxf>
      <font>
        <sz val="12"/>
      </font>
    </dxf>
    <dxf>
      <font>
        <sz val="12"/>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[Agri_Supply_Chain_Excel.xlsm]PT_Crop_Performance!PivotTable1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PT_Crop_Performance!$B$4</c:f>
              <c:strCache>
                <c:ptCount val="1"/>
                <c:pt idx="0">
                  <c:v>Total</c:v>
                </c:pt>
              </c:strCache>
            </c:strRef>
          </c:tx>
          <c:spPr>
            <a:solidFill>
              <a:schemeClr val="accent1"/>
            </a:solidFill>
            <a:ln>
              <a:noFill/>
            </a:ln>
            <a:effectLst/>
          </c:spPr>
          <c:invertIfNegative val="0"/>
          <c:cat>
            <c:strRef>
              <c:f>PT_Crop_Performance!$A$5:$A$9</c:f>
              <c:strCache>
                <c:ptCount val="4"/>
                <c:pt idx="0">
                  <c:v>Barley</c:v>
                </c:pt>
                <c:pt idx="1">
                  <c:v>Maize</c:v>
                </c:pt>
                <c:pt idx="2">
                  <c:v>Rice</c:v>
                </c:pt>
                <c:pt idx="3">
                  <c:v>Wheat</c:v>
                </c:pt>
              </c:strCache>
            </c:strRef>
          </c:cat>
          <c:val>
            <c:numRef>
              <c:f>PT_Crop_Performance!$B$5:$B$9</c:f>
              <c:numCache>
                <c:formatCode>"₹"\ #,##0.00</c:formatCode>
                <c:ptCount val="4"/>
                <c:pt idx="0">
                  <c:v>848406.69609999971</c:v>
                </c:pt>
                <c:pt idx="1">
                  <c:v>907182.6258000005</c:v>
                </c:pt>
                <c:pt idx="2">
                  <c:v>905510.32959999971</c:v>
                </c:pt>
                <c:pt idx="3">
                  <c:v>890258.37920000032</c:v>
                </c:pt>
              </c:numCache>
            </c:numRef>
          </c:val>
          <c:extLst>
            <c:ext xmlns:c16="http://schemas.microsoft.com/office/drawing/2014/chart" uri="{C3380CC4-5D6E-409C-BE32-E72D297353CC}">
              <c16:uniqueId val="{00000000-4DBB-4C53-8848-DD5CE127AAB8}"/>
            </c:ext>
          </c:extLst>
        </c:ser>
        <c:dLbls>
          <c:showLegendKey val="0"/>
          <c:showVal val="0"/>
          <c:showCatName val="0"/>
          <c:showSerName val="0"/>
          <c:showPercent val="0"/>
          <c:showBubbleSize val="0"/>
        </c:dLbls>
        <c:gapWidth val="219"/>
        <c:axId val="1081702928"/>
        <c:axId val="1145531152"/>
      </c:barChart>
      <c:catAx>
        <c:axId val="10817029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5531152"/>
        <c:crosses val="autoZero"/>
        <c:auto val="1"/>
        <c:lblAlgn val="ctr"/>
        <c:lblOffset val="100"/>
        <c:noMultiLvlLbl val="0"/>
      </c:catAx>
      <c:valAx>
        <c:axId val="1145531152"/>
        <c:scaling>
          <c:orientation val="minMax"/>
        </c:scaling>
        <c:delete val="0"/>
        <c:axPos val="l"/>
        <c:numFmt formatCode="&quot;₹&quot;\ #,##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1702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[Agri_Supply_Chain_Excel.xlsm]PT_Region_Performance!PivotTable2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PT_Region_Performance!$B$4</c:f>
              <c:strCache>
                <c:ptCount val="1"/>
                <c:pt idx="0">
                  <c:v>Total</c:v>
                </c:pt>
              </c:strCache>
            </c:strRef>
          </c:tx>
          <c:spPr>
            <a:solidFill>
              <a:schemeClr val="accent1"/>
            </a:solidFill>
            <a:ln>
              <a:noFill/>
            </a:ln>
            <a:effectLst/>
          </c:spPr>
          <c:invertIfNegative val="0"/>
          <c:cat>
            <c:strRef>
              <c:f>PT_Region_Performance!$A$5:$A$9</c:f>
              <c:strCache>
                <c:ptCount val="4"/>
                <c:pt idx="0">
                  <c:v>East</c:v>
                </c:pt>
                <c:pt idx="1">
                  <c:v>North</c:v>
                </c:pt>
                <c:pt idx="2">
                  <c:v>South</c:v>
                </c:pt>
                <c:pt idx="3">
                  <c:v>West</c:v>
                </c:pt>
              </c:strCache>
            </c:strRef>
          </c:cat>
          <c:val>
            <c:numRef>
              <c:f>PT_Region_Performance!$B$5:$B$9</c:f>
              <c:numCache>
                <c:formatCode>"₹"\ #,##0.00</c:formatCode>
                <c:ptCount val="4"/>
                <c:pt idx="0">
                  <c:v>200243.27239999993</c:v>
                </c:pt>
                <c:pt idx="1">
                  <c:v>224740.34729999999</c:v>
                </c:pt>
                <c:pt idx="2">
                  <c:v>239481.58950000009</c:v>
                </c:pt>
                <c:pt idx="3">
                  <c:v>242717.41659999997</c:v>
                </c:pt>
              </c:numCache>
            </c:numRef>
          </c:val>
          <c:extLst>
            <c:ext xmlns:c16="http://schemas.microsoft.com/office/drawing/2014/chart" uri="{C3380CC4-5D6E-409C-BE32-E72D297353CC}">
              <c16:uniqueId val="{00000000-2BFC-4E96-9413-3A9CAEE23659}"/>
            </c:ext>
          </c:extLst>
        </c:ser>
        <c:dLbls>
          <c:showLegendKey val="0"/>
          <c:showVal val="0"/>
          <c:showCatName val="0"/>
          <c:showSerName val="0"/>
          <c:showPercent val="0"/>
          <c:showBubbleSize val="0"/>
        </c:dLbls>
        <c:gapWidth val="219"/>
        <c:axId val="1087297984"/>
        <c:axId val="1145479312"/>
      </c:barChart>
      <c:catAx>
        <c:axId val="10872979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5479312"/>
        <c:crosses val="autoZero"/>
        <c:auto val="1"/>
        <c:lblAlgn val="ctr"/>
        <c:lblOffset val="100"/>
        <c:noMultiLvlLbl val="0"/>
      </c:catAx>
      <c:valAx>
        <c:axId val="1145479312"/>
        <c:scaling>
          <c:orientation val="minMax"/>
        </c:scaling>
        <c:delete val="0"/>
        <c:axPos val="b"/>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7297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[Agri_Supply_Chain_Excel.xlsm]PT_Season_Performance!PivotTable3</c:name>
    <c:fmtId val="0"/>
  </c:pivotSource>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doughnutChart>
        <c:varyColors val="1"/>
        <c:ser>
          <c:idx val="0"/>
          <c:order val="0"/>
          <c:tx>
            <c:strRef>
              <c:f>PT_Season_Performance!$B$4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A34-4A48-8E4A-B176A8507680}"/>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A34-4A48-8E4A-B176A850768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PT_Season_Performance!$A$5:$A$7</c:f>
              <c:strCache>
                <c:ptCount val="2"/>
                <c:pt idx="0">
                  <c:v>Kharif</c:v>
                </c:pt>
                <c:pt idx="1">
                  <c:v>Rabi</c:v>
                </c:pt>
              </c:strCache>
            </c:strRef>
          </c:cat>
          <c:val>
            <c:numRef>
              <c:f>PT_Season_Performance!$B$5:$B$7</c:f>
              <c:numCache>
                <c:formatCode>"₹"\ #,##0.00</c:formatCode>
                <c:ptCount val="2"/>
                <c:pt idx="0">
                  <c:v>1871305.3403999992</c:v>
                </c:pt>
                <c:pt idx="1">
                  <c:v>1680052.6902999997</c:v>
                </c:pt>
              </c:numCache>
            </c:numRef>
          </c:val>
          <c:extLst>
            <c:ext xmlns:c16="http://schemas.microsoft.com/office/drawing/2014/chart" uri="{C3380CC4-5D6E-409C-BE32-E72D297353CC}">
              <c16:uniqueId val="{00000000-94F7-47B2-94D5-C194E5237F5A}"/>
            </c:ext>
          </c:extLst>
        </c:ser>
        <c:dLbls>
          <c:showLegendKey val="0"/>
          <c:showVal val="1"/>
          <c:showCatName val="0"/>
          <c:showSerName val="0"/>
          <c:showPercent val="0"/>
          <c:showBubbleSize val="0"/>
          <c:showLeaderLines val="0"/>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[Agri_Supply_Chain_Excel.xlsm]PT_Stage_Performance!PivotTable4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PT_Stage_Performance!$B$4</c:f>
              <c:strCache>
                <c:ptCount val="1"/>
                <c:pt idx="0">
                  <c:v>Total</c:v>
                </c:pt>
              </c:strCache>
            </c:strRef>
          </c:tx>
          <c:spPr>
            <a:solidFill>
              <a:schemeClr val="accent1"/>
            </a:solidFill>
            <a:ln>
              <a:noFill/>
            </a:ln>
            <a:effectLst/>
          </c:spPr>
          <c:invertIfNegative val="0"/>
          <c:cat>
            <c:strRef>
              <c:f>PT_Stage_Performance!$A$5:$A$8</c:f>
              <c:strCache>
                <c:ptCount val="3"/>
                <c:pt idx="0">
                  <c:v>Farm</c:v>
                </c:pt>
                <c:pt idx="1">
                  <c:v>Transit</c:v>
                </c:pt>
                <c:pt idx="2">
                  <c:v>Warehouse</c:v>
                </c:pt>
              </c:strCache>
            </c:strRef>
          </c:cat>
          <c:val>
            <c:numRef>
              <c:f>PT_Stage_Performance!$B$5:$B$8</c:f>
              <c:numCache>
                <c:formatCode>#,##0.00</c:formatCode>
                <c:ptCount val="3"/>
                <c:pt idx="0">
                  <c:v>17437.646155999995</c:v>
                </c:pt>
                <c:pt idx="1">
                  <c:v>18078.902137000001</c:v>
                </c:pt>
                <c:pt idx="2">
                  <c:v>16180.264199999992</c:v>
                </c:pt>
              </c:numCache>
            </c:numRef>
          </c:val>
          <c:extLst>
            <c:ext xmlns:c16="http://schemas.microsoft.com/office/drawing/2014/chart" uri="{C3380CC4-5D6E-409C-BE32-E72D297353CC}">
              <c16:uniqueId val="{00000000-BDEE-416D-9234-169C29EEB641}"/>
            </c:ext>
          </c:extLst>
        </c:ser>
        <c:dLbls>
          <c:showLegendKey val="0"/>
          <c:showVal val="0"/>
          <c:showCatName val="0"/>
          <c:showSerName val="0"/>
          <c:showPercent val="0"/>
          <c:showBubbleSize val="0"/>
        </c:dLbls>
        <c:gapWidth val="219"/>
        <c:overlap val="-27"/>
        <c:axId val="1087298448"/>
        <c:axId val="1145482192"/>
      </c:barChart>
      <c:catAx>
        <c:axId val="108729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5482192"/>
        <c:crosses val="autoZero"/>
        <c:auto val="1"/>
        <c:lblAlgn val="ctr"/>
        <c:lblOffset val="100"/>
        <c:noMultiLvlLbl val="0"/>
      </c:catAx>
      <c:valAx>
        <c:axId val="11454821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72984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[Agri_Supply_Chain_Excel.xlsm]PT_Risk_Loss!PivotTable5</c:name>
    <c:fmtId val="0"/>
  </c:pivotSource>
  <c:chart>
    <c:autoTitleDeleted val="1"/>
    <c:pivotFmts>
      <c:pivotFmt>
        <c:idx val="0"/>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xForSave val="1"/>
            </c:ext>
          </c:extLst>
        </c:dLbl>
      </c:pivotFmt>
      <c:pivotFmt>
        <c:idx val="2"/>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xForSave val="1"/>
            </c:ext>
          </c:extLst>
        </c:dLbl>
      </c:pivotFmt>
      <c:pivotFmt>
        <c:idx val="3"/>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xForSave val="1"/>
            </c:ext>
          </c:extLst>
        </c:dLbl>
      </c:pivotFmt>
    </c:pivotFmts>
    <c:plotArea>
      <c:layout>
        <c:manualLayout>
          <c:layoutTarget val="inner"/>
          <c:xMode val="edge"/>
          <c:yMode val="edge"/>
          <c:x val="0.24275026822570969"/>
          <c:y val="0.14111469004841412"/>
          <c:w val="0.51449946354858067"/>
          <c:h val="0.70835685383926428"/>
        </c:manualLayout>
      </c:layout>
      <c:pieChart>
        <c:varyColors val="1"/>
        <c:ser>
          <c:idx val="0"/>
          <c:order val="0"/>
          <c:tx>
            <c:strRef>
              <c:f>PT_Risk_Loss!$B$4</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2-8A39-4130-AD9A-B5AF23034818}"/>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8A39-4130-AD9A-B5AF23034818}"/>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4-8A39-4130-AD9A-B5AF2303481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2-8A39-4130-AD9A-B5AF23034818}"/>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3-8A39-4130-AD9A-B5AF23034818}"/>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1"/>
              <c:showCatName val="0"/>
              <c:showSerName val="0"/>
              <c:showPercent val="0"/>
              <c:showBubbleSize val="0"/>
              <c:extLst>
                <c:ext xmlns:c16="http://schemas.microsoft.com/office/drawing/2014/chart" uri="{C3380CC4-5D6E-409C-BE32-E72D297353CC}">
                  <c16:uniqueId val="{00000004-8A39-4130-AD9A-B5AF2303481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extLst>
          </c:dLbls>
          <c:cat>
            <c:strRef>
              <c:f>PT_Risk_Loss!$A$5:$A$8</c:f>
              <c:strCache>
                <c:ptCount val="3"/>
                <c:pt idx="0">
                  <c:v>High</c:v>
                </c:pt>
                <c:pt idx="1">
                  <c:v>Low</c:v>
                </c:pt>
                <c:pt idx="2">
                  <c:v>Medium</c:v>
                </c:pt>
              </c:strCache>
            </c:strRef>
          </c:cat>
          <c:val>
            <c:numRef>
              <c:f>PT_Risk_Loss!$B$5:$B$8</c:f>
              <c:numCache>
                <c:formatCode>"₹"\ #,##0.00</c:formatCode>
                <c:ptCount val="3"/>
                <c:pt idx="0">
                  <c:v>1311043.0596999994</c:v>
                </c:pt>
                <c:pt idx="1">
                  <c:v>1148685.5854000009</c:v>
                </c:pt>
                <c:pt idx="2">
                  <c:v>1091629.3855999999</c:v>
                </c:pt>
              </c:numCache>
            </c:numRef>
          </c:val>
          <c:extLst>
            <c:ext xmlns:c16="http://schemas.microsoft.com/office/drawing/2014/chart" uri="{C3380CC4-5D6E-409C-BE32-E72D297353CC}">
              <c16:uniqueId val="{00000000-8A39-4130-AD9A-B5AF23034818}"/>
            </c:ext>
          </c:extLst>
        </c:ser>
        <c:dLbls>
          <c:showLegendKey val="0"/>
          <c:showVal val="0"/>
          <c:showCatName val="0"/>
          <c:showSerName val="0"/>
          <c:showPercent val="0"/>
          <c:showBubbleSize val="0"/>
          <c:showLeaderLines val="0"/>
        </c:dLbls>
        <c:firstSliceAng val="0"/>
      </c:pieChart>
      <c:spPr>
        <a:noFill/>
        <a:ln>
          <a:noFill/>
        </a:ln>
        <a:effectLst/>
      </c:spPr>
    </c:plotArea>
    <c:legend>
      <c:legendPos val="r"/>
      <c:layout>
        <c:manualLayout>
          <c:xMode val="edge"/>
          <c:yMode val="edge"/>
          <c:x val="0.73441108545034639"/>
          <c:y val="0.69634261835557532"/>
          <c:w val="0.24711316397228639"/>
          <c:h val="0.2762262682128833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[Agri_Supply_Chain_Excel.xlsm]PT_Crop_Performance!PivotTable1</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Total Profit by Crop</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649418984136643"/>
          <c:y val="0.19202817460657182"/>
          <c:w val="0.76692968141066042"/>
          <c:h val="0.68828029803639557"/>
        </c:manualLayout>
      </c:layout>
      <c:barChart>
        <c:barDir val="col"/>
        <c:grouping val="clustered"/>
        <c:varyColors val="0"/>
        <c:ser>
          <c:idx val="0"/>
          <c:order val="0"/>
          <c:tx>
            <c:strRef>
              <c:f>PT_Crop_Performance!$B$4</c:f>
              <c:strCache>
                <c:ptCount val="1"/>
                <c:pt idx="0">
                  <c:v>Total</c:v>
                </c:pt>
              </c:strCache>
            </c:strRef>
          </c:tx>
          <c:spPr>
            <a:solidFill>
              <a:schemeClr val="accent1"/>
            </a:solidFill>
            <a:ln>
              <a:noFill/>
            </a:ln>
            <a:effectLst/>
          </c:spPr>
          <c:invertIfNegative val="0"/>
          <c:dLbls>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PT_Crop_Performance!$A$5:$A$9</c:f>
              <c:strCache>
                <c:ptCount val="4"/>
                <c:pt idx="0">
                  <c:v>Barley</c:v>
                </c:pt>
                <c:pt idx="1">
                  <c:v>Maize</c:v>
                </c:pt>
                <c:pt idx="2">
                  <c:v>Rice</c:v>
                </c:pt>
                <c:pt idx="3">
                  <c:v>Wheat</c:v>
                </c:pt>
              </c:strCache>
            </c:strRef>
          </c:cat>
          <c:val>
            <c:numRef>
              <c:f>PT_Crop_Performance!$B$5:$B$9</c:f>
              <c:numCache>
                <c:formatCode>"₹"\ #,##0.00</c:formatCode>
                <c:ptCount val="4"/>
                <c:pt idx="0">
                  <c:v>848406.69609999971</c:v>
                </c:pt>
                <c:pt idx="1">
                  <c:v>907182.6258000005</c:v>
                </c:pt>
                <c:pt idx="2">
                  <c:v>905510.32959999971</c:v>
                </c:pt>
                <c:pt idx="3">
                  <c:v>890258.37920000032</c:v>
                </c:pt>
              </c:numCache>
            </c:numRef>
          </c:val>
          <c:extLst>
            <c:ext xmlns:c16="http://schemas.microsoft.com/office/drawing/2014/chart" uri="{C3380CC4-5D6E-409C-BE32-E72D297353CC}">
              <c16:uniqueId val="{00000000-E9F7-472F-953D-7730EAA01D81}"/>
            </c:ext>
          </c:extLst>
        </c:ser>
        <c:dLbls>
          <c:dLblPos val="outEnd"/>
          <c:showLegendKey val="0"/>
          <c:showVal val="1"/>
          <c:showCatName val="0"/>
          <c:showSerName val="0"/>
          <c:showPercent val="0"/>
          <c:showBubbleSize val="0"/>
        </c:dLbls>
        <c:gapWidth val="219"/>
        <c:axId val="1081702928"/>
        <c:axId val="1145531152"/>
      </c:barChart>
      <c:catAx>
        <c:axId val="10817029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5531152"/>
        <c:crosses val="autoZero"/>
        <c:auto val="1"/>
        <c:lblAlgn val="ctr"/>
        <c:lblOffset val="100"/>
        <c:noMultiLvlLbl val="0"/>
      </c:catAx>
      <c:valAx>
        <c:axId val="1145531152"/>
        <c:scaling>
          <c:orientation val="minMax"/>
        </c:scaling>
        <c:delete val="0"/>
        <c:axPos val="l"/>
        <c:numFmt formatCode="&quot;₹&quot;\ #,##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1702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[Agri_Supply_Chain_Excel.xlsm]PT_Region_Performance!PivotTable2</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Total Profit by Region</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294884950872143"/>
          <c:y val="0.13566023397190538"/>
          <c:w val="0.74230262601001817"/>
          <c:h val="0.74502619614324939"/>
        </c:manualLayout>
      </c:layout>
      <c:barChart>
        <c:barDir val="bar"/>
        <c:grouping val="clustered"/>
        <c:varyColors val="0"/>
        <c:ser>
          <c:idx val="0"/>
          <c:order val="0"/>
          <c:tx>
            <c:strRef>
              <c:f>PT_Region_Performance!$B$4</c:f>
              <c:strCache>
                <c:ptCount val="1"/>
                <c:pt idx="0">
                  <c:v>Total</c:v>
                </c:pt>
              </c:strCache>
            </c:strRef>
          </c:tx>
          <c:spPr>
            <a:solidFill>
              <a:schemeClr val="accent1"/>
            </a:solidFill>
            <a:ln>
              <a:noFill/>
            </a:ln>
            <a:effectLst/>
          </c:spPr>
          <c:invertIfNegative val="0"/>
          <c:dLbls>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PT_Region_Performance!$A$5:$A$9</c:f>
              <c:strCache>
                <c:ptCount val="4"/>
                <c:pt idx="0">
                  <c:v>East</c:v>
                </c:pt>
                <c:pt idx="1">
                  <c:v>North</c:v>
                </c:pt>
                <c:pt idx="2">
                  <c:v>South</c:v>
                </c:pt>
                <c:pt idx="3">
                  <c:v>West</c:v>
                </c:pt>
              </c:strCache>
            </c:strRef>
          </c:cat>
          <c:val>
            <c:numRef>
              <c:f>PT_Region_Performance!$B$5:$B$9</c:f>
              <c:numCache>
                <c:formatCode>"₹"\ #,##0.00</c:formatCode>
                <c:ptCount val="4"/>
                <c:pt idx="0">
                  <c:v>200243.27239999993</c:v>
                </c:pt>
                <c:pt idx="1">
                  <c:v>224740.34729999999</c:v>
                </c:pt>
                <c:pt idx="2">
                  <c:v>239481.58950000009</c:v>
                </c:pt>
                <c:pt idx="3">
                  <c:v>242717.41659999997</c:v>
                </c:pt>
              </c:numCache>
            </c:numRef>
          </c:val>
          <c:extLst>
            <c:ext xmlns:c16="http://schemas.microsoft.com/office/drawing/2014/chart" uri="{C3380CC4-5D6E-409C-BE32-E72D297353CC}">
              <c16:uniqueId val="{00000000-809B-4EC4-890B-C86FBF457D2E}"/>
            </c:ext>
          </c:extLst>
        </c:ser>
        <c:dLbls>
          <c:dLblPos val="outEnd"/>
          <c:showLegendKey val="0"/>
          <c:showVal val="1"/>
          <c:showCatName val="0"/>
          <c:showSerName val="0"/>
          <c:showPercent val="0"/>
          <c:showBubbleSize val="0"/>
        </c:dLbls>
        <c:gapWidth val="219"/>
        <c:axId val="1087297984"/>
        <c:axId val="1145479312"/>
      </c:barChart>
      <c:catAx>
        <c:axId val="10872979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5479312"/>
        <c:crosses val="autoZero"/>
        <c:auto val="1"/>
        <c:lblAlgn val="ctr"/>
        <c:lblOffset val="100"/>
        <c:noMultiLvlLbl val="0"/>
      </c:catAx>
      <c:valAx>
        <c:axId val="1145479312"/>
        <c:scaling>
          <c:orientation val="minMax"/>
        </c:scaling>
        <c:delete val="0"/>
        <c:axPos val="b"/>
        <c:numFmt formatCode="&quot;₹&quot;\ #,##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72979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[Agri_Supply_Chain_Excel.xlsm]PT_Season_Performance!PivotTable3</c:name>
    <c:fmtId val="4"/>
  </c:pivotSource>
  <c:chart>
    <c:title>
      <c:tx>
        <c:rich>
          <a:bodyPr rot="0" spcFirstLastPara="1" vertOverflow="ellipsis" vert="horz" wrap="square" anchor="ctr" anchorCtr="1"/>
          <a:lstStyle/>
          <a:p>
            <a:pPr>
              <a:defRPr sz="1400" b="1" i="0" u="none" strike="noStrike" kern="1200" cap="none" spc="50" baseline="0">
                <a:solidFill>
                  <a:schemeClr val="tx1">
                    <a:lumMod val="65000"/>
                    <a:lumOff val="35000"/>
                  </a:schemeClr>
                </a:solidFill>
                <a:latin typeface="+mn-lt"/>
                <a:ea typeface="+mn-ea"/>
                <a:cs typeface="+mn-cs"/>
              </a:defRPr>
            </a:pPr>
            <a:r>
              <a:rPr lang="en-IN" sz="1400" b="1" i="0" u="none" strike="noStrike" cap="none" baseline="0"/>
              <a:t>Profit Contribution by Season</a:t>
            </a:r>
            <a:endParaRPr lang="en-US" cap="none" baseline="0"/>
          </a:p>
        </c:rich>
      </c:tx>
      <c:overlay val="1"/>
      <c:spPr>
        <a:noFill/>
        <a:ln>
          <a:noFill/>
        </a:ln>
        <a:effectLst/>
      </c:spPr>
      <c:txPr>
        <a:bodyPr rot="0" spcFirstLastPara="1" vertOverflow="ellipsis" vert="horz" wrap="square" anchor="ctr" anchorCtr="1"/>
        <a:lstStyle/>
        <a:p>
          <a:pPr>
            <a:defRPr sz="1400" b="1" i="0" u="none" strike="noStrike" kern="1200" cap="none"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1417241000584125"/>
          <c:y val="0.15821508798890779"/>
          <c:w val="0.50631389368069679"/>
          <c:h val="0.75662907475892971"/>
        </c:manualLayout>
      </c:layout>
      <c:doughnutChart>
        <c:varyColors val="1"/>
        <c:ser>
          <c:idx val="0"/>
          <c:order val="0"/>
          <c:tx>
            <c:strRef>
              <c:f>PT_Season_Performance!$B$4</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76D4-43C0-84F8-F859D2003F67}"/>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76D4-43C0-84F8-F859D2003F6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PT_Season_Performance!$A$5:$A$7</c:f>
              <c:strCache>
                <c:ptCount val="2"/>
                <c:pt idx="0">
                  <c:v>Kharif</c:v>
                </c:pt>
                <c:pt idx="1">
                  <c:v>Rabi</c:v>
                </c:pt>
              </c:strCache>
            </c:strRef>
          </c:cat>
          <c:val>
            <c:numRef>
              <c:f>PT_Season_Performance!$B$5:$B$7</c:f>
              <c:numCache>
                <c:formatCode>"₹"\ #,##0.00</c:formatCode>
                <c:ptCount val="2"/>
                <c:pt idx="0">
                  <c:v>1871305.3403999992</c:v>
                </c:pt>
                <c:pt idx="1">
                  <c:v>1680052.6902999997</c:v>
                </c:pt>
              </c:numCache>
            </c:numRef>
          </c:val>
          <c:extLst>
            <c:ext xmlns:c16="http://schemas.microsoft.com/office/drawing/2014/chart" uri="{C3380CC4-5D6E-409C-BE32-E72D297353CC}">
              <c16:uniqueId val="{00000004-76D4-43C0-84F8-F859D2003F67}"/>
            </c:ext>
          </c:extLst>
        </c:ser>
        <c:dLbls>
          <c:showLegendKey val="0"/>
          <c:showVal val="1"/>
          <c:showCatName val="0"/>
          <c:showSerName val="0"/>
          <c:showPercent val="0"/>
          <c:showBubbleSize val="0"/>
          <c:showLeaderLines val="0"/>
        </c:dLbls>
        <c:firstSliceAng val="0"/>
        <c:holeSize val="50"/>
      </c:doughnutChart>
      <c:spPr>
        <a:noFill/>
        <a:ln>
          <a:noFill/>
        </a:ln>
        <a:effectLst/>
      </c:spPr>
    </c:plotArea>
    <c:legend>
      <c:legendPos val="r"/>
      <c:layout>
        <c:manualLayout>
          <c:xMode val="edge"/>
          <c:yMode val="edge"/>
          <c:x val="0.7750488910114306"/>
          <c:y val="0.50606584939447663"/>
          <c:w val="0.13820678862417224"/>
          <c:h val="0.2268530502358646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[Agri_Supply_Chain_Excel.xlsm]PT_Stage_Performance!PivotTable4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i="0" u="none" strike="noStrike" baseline="0"/>
              <a:t>Spoilage by Supply Chain Stage</a:t>
            </a:r>
            <a:endParaRPr lang="en-IN"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PT_Stage_Performance!$B$4</c:f>
              <c:strCache>
                <c:ptCount val="1"/>
                <c:pt idx="0">
                  <c:v>Total</c:v>
                </c:pt>
              </c:strCache>
            </c:strRef>
          </c:tx>
          <c:spPr>
            <a:solidFill>
              <a:schemeClr val="accent1"/>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PT_Stage_Performance!$A$5:$A$8</c:f>
              <c:strCache>
                <c:ptCount val="3"/>
                <c:pt idx="0">
                  <c:v>Farm</c:v>
                </c:pt>
                <c:pt idx="1">
                  <c:v>Transit</c:v>
                </c:pt>
                <c:pt idx="2">
                  <c:v>Warehouse</c:v>
                </c:pt>
              </c:strCache>
            </c:strRef>
          </c:cat>
          <c:val>
            <c:numRef>
              <c:f>PT_Stage_Performance!$B$5:$B$8</c:f>
              <c:numCache>
                <c:formatCode>#,##0.00</c:formatCode>
                <c:ptCount val="3"/>
                <c:pt idx="0">
                  <c:v>17437.646155999995</c:v>
                </c:pt>
                <c:pt idx="1">
                  <c:v>18078.902137000001</c:v>
                </c:pt>
                <c:pt idx="2">
                  <c:v>16180.264199999992</c:v>
                </c:pt>
              </c:numCache>
            </c:numRef>
          </c:val>
          <c:extLst>
            <c:ext xmlns:c16="http://schemas.microsoft.com/office/drawing/2014/chart" uri="{C3380CC4-5D6E-409C-BE32-E72D297353CC}">
              <c16:uniqueId val="{00000000-0070-4668-8FC4-992D32CD826E}"/>
            </c:ext>
          </c:extLst>
        </c:ser>
        <c:dLbls>
          <c:dLblPos val="outEnd"/>
          <c:showLegendKey val="0"/>
          <c:showVal val="1"/>
          <c:showCatName val="0"/>
          <c:showSerName val="0"/>
          <c:showPercent val="0"/>
          <c:showBubbleSize val="0"/>
        </c:dLbls>
        <c:gapWidth val="219"/>
        <c:overlap val="-27"/>
        <c:axId val="1087298448"/>
        <c:axId val="1145482192"/>
      </c:barChart>
      <c:catAx>
        <c:axId val="108729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5482192"/>
        <c:crosses val="autoZero"/>
        <c:auto val="1"/>
        <c:lblAlgn val="ctr"/>
        <c:lblOffset val="100"/>
        <c:noMultiLvlLbl val="0"/>
      </c:catAx>
      <c:valAx>
        <c:axId val="1145482192"/>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72984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10000"/>
        <a:lumOff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18" Type="http://schemas.openxmlformats.org/officeDocument/2006/relationships/chart" Target="../charts/chart9.xml"/><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17" Type="http://schemas.openxmlformats.org/officeDocument/2006/relationships/chart" Target="../charts/chart8.xml"/><Relationship Id="rId2" Type="http://schemas.openxmlformats.org/officeDocument/2006/relationships/image" Target="../media/image2.svg"/><Relationship Id="rId16" Type="http://schemas.openxmlformats.org/officeDocument/2006/relationships/chart" Target="../charts/chart7.xml"/><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chart" Target="../charts/chart6.xml"/><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drawings/drawing1.xml><?xml version="1.0" encoding="utf-8"?>
<xdr:wsDr xmlns:xdr="http://schemas.openxmlformats.org/drawingml/2006/spreadsheetDrawing" xmlns:a="http://schemas.openxmlformats.org/drawingml/2006/main">
  <xdr:twoCellAnchor>
    <xdr:from>
      <xdr:col>3</xdr:col>
      <xdr:colOff>8901</xdr:colOff>
      <xdr:row>2</xdr:row>
      <xdr:rowOff>178038</xdr:rowOff>
    </xdr:from>
    <xdr:to>
      <xdr:col>7</xdr:col>
      <xdr:colOff>19639</xdr:colOff>
      <xdr:row>16</xdr:row>
      <xdr:rowOff>178037</xdr:rowOff>
    </xdr:to>
    <xdr:graphicFrame macro="">
      <xdr:nvGraphicFramePr>
        <xdr:cNvPr id="2" name="Chart 1">
          <a:extLst>
            <a:ext uri="{FF2B5EF4-FFF2-40B4-BE49-F238E27FC236}">
              <a16:creationId xmlns:a16="http://schemas.microsoft.com/office/drawing/2014/main" id="{A0E2B956-C0D3-5E09-8D9A-3620ED27AF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157997</xdr:colOff>
      <xdr:row>0</xdr:row>
      <xdr:rowOff>179109</xdr:rowOff>
    </xdr:from>
    <xdr:to>
      <xdr:col>10</xdr:col>
      <xdr:colOff>160354</xdr:colOff>
      <xdr:row>7</xdr:row>
      <xdr:rowOff>78557</xdr:rowOff>
    </xdr:to>
    <mc:AlternateContent xmlns:mc="http://schemas.openxmlformats.org/markup-compatibility/2006">
      <mc:Choice xmlns:a14="http://schemas.microsoft.com/office/drawing/2010/main" Requires="a14">
        <xdr:graphicFrame macro="">
          <xdr:nvGraphicFramePr>
            <xdr:cNvPr id="3" name="region">
              <a:extLst>
                <a:ext uri="{FF2B5EF4-FFF2-40B4-BE49-F238E27FC236}">
                  <a16:creationId xmlns:a16="http://schemas.microsoft.com/office/drawing/2014/main" id="{925A2F18-744F-0615-B255-B20ABF78FAE5}"/>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021889" y="179109"/>
              <a:ext cx="1828800" cy="14902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3</xdr:col>
      <xdr:colOff>9526</xdr:colOff>
      <xdr:row>3</xdr:row>
      <xdr:rowOff>0</xdr:rowOff>
    </xdr:from>
    <xdr:to>
      <xdr:col>7</xdr:col>
      <xdr:colOff>600075</xdr:colOff>
      <xdr:row>17</xdr:row>
      <xdr:rowOff>0</xdr:rowOff>
    </xdr:to>
    <xdr:graphicFrame macro="">
      <xdr:nvGraphicFramePr>
        <xdr:cNvPr id="2" name="Chart 1">
          <a:extLst>
            <a:ext uri="{FF2B5EF4-FFF2-40B4-BE49-F238E27FC236}">
              <a16:creationId xmlns:a16="http://schemas.microsoft.com/office/drawing/2014/main" id="{61F963CC-28CB-7672-AC28-4A3302EAA4D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304800</xdr:colOff>
      <xdr:row>1</xdr:row>
      <xdr:rowOff>9525</xdr:rowOff>
    </xdr:from>
    <xdr:to>
      <xdr:col>11</xdr:col>
      <xdr:colOff>304800</xdr:colOff>
      <xdr:row>7</xdr:row>
      <xdr:rowOff>123825</xdr:rowOff>
    </xdr:to>
    <mc:AlternateContent xmlns:mc="http://schemas.openxmlformats.org/markup-compatibility/2006">
      <mc:Choice xmlns:a14="http://schemas.microsoft.com/office/drawing/2010/main" Requires="a14">
        <xdr:graphicFrame macro="">
          <xdr:nvGraphicFramePr>
            <xdr:cNvPr id="3" name="crop_type">
              <a:extLst>
                <a:ext uri="{FF2B5EF4-FFF2-40B4-BE49-F238E27FC236}">
                  <a16:creationId xmlns:a16="http://schemas.microsoft.com/office/drawing/2014/main" id="{296E3D2E-325A-7383-DF4B-8E29D0BE2D34}"/>
                </a:ext>
              </a:extLst>
            </xdr:cNvPr>
            <xdr:cNvGraphicFramePr/>
          </xdr:nvGraphicFramePr>
          <xdr:xfrm>
            <a:off x="0" y="0"/>
            <a:ext cx="0" cy="0"/>
          </xdr:xfrm>
          <a:graphic>
            <a:graphicData uri="http://schemas.microsoft.com/office/drawing/2010/slicer">
              <sle:slicer xmlns:sle="http://schemas.microsoft.com/office/drawing/2010/slicer" name="crop_type"/>
            </a:graphicData>
          </a:graphic>
        </xdr:graphicFrame>
      </mc:Choice>
      <mc:Fallback>
        <xdr:sp macro="" textlink="">
          <xdr:nvSpPr>
            <xdr:cNvPr id="0" name=""/>
            <xdr:cNvSpPr>
              <a:spLocks noTextEdit="1"/>
            </xdr:cNvSpPr>
          </xdr:nvSpPr>
          <xdr:spPr>
            <a:xfrm>
              <a:off x="7486650" y="200025"/>
              <a:ext cx="1828800" cy="15335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3628</xdr:colOff>
      <xdr:row>3</xdr:row>
      <xdr:rowOff>0</xdr:rowOff>
    </xdr:from>
    <xdr:to>
      <xdr:col>7</xdr:col>
      <xdr:colOff>0</xdr:colOff>
      <xdr:row>17</xdr:row>
      <xdr:rowOff>9525</xdr:rowOff>
    </xdr:to>
    <xdr:graphicFrame macro="">
      <xdr:nvGraphicFramePr>
        <xdr:cNvPr id="2" name="Chart 1">
          <a:extLst>
            <a:ext uri="{FF2B5EF4-FFF2-40B4-BE49-F238E27FC236}">
              <a16:creationId xmlns:a16="http://schemas.microsoft.com/office/drawing/2014/main" id="{E6A37907-E1C2-1A91-93BA-2CBCDFC252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971549</xdr:colOff>
      <xdr:row>3</xdr:row>
      <xdr:rowOff>9526</xdr:rowOff>
    </xdr:from>
    <xdr:to>
      <xdr:col>7</xdr:col>
      <xdr:colOff>9525</xdr:colOff>
      <xdr:row>17</xdr:row>
      <xdr:rowOff>9525</xdr:rowOff>
    </xdr:to>
    <xdr:graphicFrame macro="">
      <xdr:nvGraphicFramePr>
        <xdr:cNvPr id="2" name="Chart 1">
          <a:extLst>
            <a:ext uri="{FF2B5EF4-FFF2-40B4-BE49-F238E27FC236}">
              <a16:creationId xmlns:a16="http://schemas.microsoft.com/office/drawing/2014/main" id="{7B60BB0C-0408-7E46-CBFC-FB691EC8E9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9525</xdr:colOff>
      <xdr:row>3</xdr:row>
      <xdr:rowOff>4761</xdr:rowOff>
    </xdr:from>
    <xdr:to>
      <xdr:col>7</xdr:col>
      <xdr:colOff>0</xdr:colOff>
      <xdr:row>18</xdr:row>
      <xdr:rowOff>9524</xdr:rowOff>
    </xdr:to>
    <xdr:graphicFrame macro="">
      <xdr:nvGraphicFramePr>
        <xdr:cNvPr id="2" name="Chart 1">
          <a:extLst>
            <a:ext uri="{FF2B5EF4-FFF2-40B4-BE49-F238E27FC236}">
              <a16:creationId xmlns:a16="http://schemas.microsoft.com/office/drawing/2014/main" id="{E1B636E3-07C1-1D7B-D606-B385ABCEAC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107829</xdr:colOff>
      <xdr:row>5</xdr:row>
      <xdr:rowOff>133621</xdr:rowOff>
    </xdr:from>
    <xdr:to>
      <xdr:col>3</xdr:col>
      <xdr:colOff>555389</xdr:colOff>
      <xdr:row>8</xdr:row>
      <xdr:rowOff>99193</xdr:rowOff>
    </xdr:to>
    <xdr:pic>
      <xdr:nvPicPr>
        <xdr:cNvPr id="3" name="Graphic 2" descr="Grain outline">
          <a:extLst>
            <a:ext uri="{FF2B5EF4-FFF2-40B4-BE49-F238E27FC236}">
              <a16:creationId xmlns:a16="http://schemas.microsoft.com/office/drawing/2014/main" id="{D3815CF1-622E-275A-D17D-CB993BBA840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07829" y="652309"/>
          <a:ext cx="447560" cy="531413"/>
        </a:xfrm>
        <a:prstGeom prst="rect">
          <a:avLst/>
        </a:prstGeom>
      </xdr:spPr>
    </xdr:pic>
    <xdr:clientData/>
  </xdr:twoCellAnchor>
  <xdr:twoCellAnchor editAs="oneCell">
    <xdr:from>
      <xdr:col>6</xdr:col>
      <xdr:colOff>121349</xdr:colOff>
      <xdr:row>5</xdr:row>
      <xdr:rowOff>129531</xdr:rowOff>
    </xdr:from>
    <xdr:to>
      <xdr:col>6</xdr:col>
      <xdr:colOff>500054</xdr:colOff>
      <xdr:row>8</xdr:row>
      <xdr:rowOff>72152</xdr:rowOff>
    </xdr:to>
    <xdr:pic>
      <xdr:nvPicPr>
        <xdr:cNvPr id="5" name="Graphic 4" descr="Money with solid fill">
          <a:extLst>
            <a:ext uri="{FF2B5EF4-FFF2-40B4-BE49-F238E27FC236}">
              <a16:creationId xmlns:a16="http://schemas.microsoft.com/office/drawing/2014/main" id="{247ABB2A-AFF9-54BE-92E4-7D3883DA01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026349" y="648219"/>
          <a:ext cx="378705" cy="508462"/>
        </a:xfrm>
        <a:prstGeom prst="rect">
          <a:avLst/>
        </a:prstGeom>
      </xdr:spPr>
    </xdr:pic>
    <xdr:clientData/>
  </xdr:twoCellAnchor>
  <xdr:twoCellAnchor editAs="oneCell">
    <xdr:from>
      <xdr:col>9</xdr:col>
      <xdr:colOff>128735</xdr:colOff>
      <xdr:row>5</xdr:row>
      <xdr:rowOff>156572</xdr:rowOff>
    </xdr:from>
    <xdr:to>
      <xdr:col>9</xdr:col>
      <xdr:colOff>553345</xdr:colOff>
      <xdr:row>8</xdr:row>
      <xdr:rowOff>87718</xdr:rowOff>
    </xdr:to>
    <xdr:pic>
      <xdr:nvPicPr>
        <xdr:cNvPr id="7" name="Graphic 6" descr="Coins outline">
          <a:extLst>
            <a:ext uri="{FF2B5EF4-FFF2-40B4-BE49-F238E27FC236}">
              <a16:creationId xmlns:a16="http://schemas.microsoft.com/office/drawing/2014/main" id="{1EB7FCE0-391D-3D41-96F9-62D63BDAC79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004750" y="675260"/>
          <a:ext cx="424610" cy="496987"/>
        </a:xfrm>
        <a:prstGeom prst="rect">
          <a:avLst/>
        </a:prstGeom>
      </xdr:spPr>
    </xdr:pic>
    <xdr:clientData/>
  </xdr:twoCellAnchor>
  <xdr:twoCellAnchor editAs="oneCell">
    <xdr:from>
      <xdr:col>12</xdr:col>
      <xdr:colOff>86924</xdr:colOff>
      <xdr:row>5</xdr:row>
      <xdr:rowOff>163956</xdr:rowOff>
    </xdr:from>
    <xdr:to>
      <xdr:col>13</xdr:col>
      <xdr:colOff>13296</xdr:colOff>
      <xdr:row>8</xdr:row>
      <xdr:rowOff>95101</xdr:rowOff>
    </xdr:to>
    <xdr:pic>
      <xdr:nvPicPr>
        <xdr:cNvPr id="9" name="Graphic 8" descr="Upward trend with solid fill">
          <a:extLst>
            <a:ext uri="{FF2B5EF4-FFF2-40B4-BE49-F238E27FC236}">
              <a16:creationId xmlns:a16="http://schemas.microsoft.com/office/drawing/2014/main" id="{105616B6-6145-AC9B-EC40-059FB6D8E884}"/>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009399" y="682644"/>
          <a:ext cx="539367" cy="496986"/>
        </a:xfrm>
        <a:prstGeom prst="rect">
          <a:avLst/>
        </a:prstGeom>
      </xdr:spPr>
    </xdr:pic>
    <xdr:clientData/>
  </xdr:twoCellAnchor>
  <xdr:oneCellAnchor>
    <xdr:from>
      <xdr:col>3</xdr:col>
      <xdr:colOff>0</xdr:colOff>
      <xdr:row>9</xdr:row>
      <xdr:rowOff>149187</xdr:rowOff>
    </xdr:from>
    <xdr:ext cx="481988" cy="516416"/>
    <xdr:sp macro="" textlink="">
      <xdr:nvSpPr>
        <xdr:cNvPr id="10" name="TextBox 9">
          <a:extLst>
            <a:ext uri="{FF2B5EF4-FFF2-40B4-BE49-F238E27FC236}">
              <a16:creationId xmlns:a16="http://schemas.microsoft.com/office/drawing/2014/main" id="{BB2EABF2-2558-F994-7FC8-AEEC8ABA377D}"/>
            </a:ext>
          </a:extLst>
        </xdr:cNvPr>
        <xdr:cNvSpPr txBox="1"/>
      </xdr:nvSpPr>
      <xdr:spPr>
        <a:xfrm>
          <a:off x="0" y="1652530"/>
          <a:ext cx="481988" cy="51641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2800" b="1">
              <a:solidFill>
                <a:schemeClr val="accent5">
                  <a:lumMod val="40000"/>
                  <a:lumOff val="60000"/>
                </a:schemeClr>
              </a:solidFill>
            </a:rPr>
            <a:t>%</a:t>
          </a:r>
        </a:p>
      </xdr:txBody>
    </xdr:sp>
    <xdr:clientData/>
  </xdr:oneCellAnchor>
  <xdr:twoCellAnchor editAs="oneCell">
    <xdr:from>
      <xdr:col>6</xdr:col>
      <xdr:colOff>33420</xdr:colOff>
      <xdr:row>10</xdr:row>
      <xdr:rowOff>35058</xdr:rowOff>
    </xdr:from>
    <xdr:to>
      <xdr:col>6</xdr:col>
      <xdr:colOff>503933</xdr:colOff>
      <xdr:row>12</xdr:row>
      <xdr:rowOff>143134</xdr:rowOff>
    </xdr:to>
    <xdr:pic>
      <xdr:nvPicPr>
        <xdr:cNvPr id="16" name="Graphic 15" descr="Packing Box Open with solid fill">
          <a:extLst>
            <a:ext uri="{FF2B5EF4-FFF2-40B4-BE49-F238E27FC236}">
              <a16:creationId xmlns:a16="http://schemas.microsoft.com/office/drawing/2014/main" id="{902B17D5-D284-F87A-1B10-259D6C31AE82}"/>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927953" y="1500443"/>
          <a:ext cx="470513" cy="484889"/>
        </a:xfrm>
        <a:prstGeom prst="rect">
          <a:avLst/>
        </a:prstGeom>
      </xdr:spPr>
    </xdr:pic>
    <xdr:clientData/>
  </xdr:twoCellAnchor>
  <xdr:twoCellAnchor editAs="oneCell">
    <xdr:from>
      <xdr:col>8</xdr:col>
      <xdr:colOff>780814</xdr:colOff>
      <xdr:row>10</xdr:row>
      <xdr:rowOff>20905</xdr:rowOff>
    </xdr:from>
    <xdr:to>
      <xdr:col>9</xdr:col>
      <xdr:colOff>501858</xdr:colOff>
      <xdr:row>12</xdr:row>
      <xdr:rowOff>158616</xdr:rowOff>
    </xdr:to>
    <xdr:pic>
      <xdr:nvPicPr>
        <xdr:cNvPr id="18" name="Graphic 17" descr="Alarm clock with solid fill">
          <a:extLst>
            <a:ext uri="{FF2B5EF4-FFF2-40B4-BE49-F238E27FC236}">
              <a16:creationId xmlns:a16="http://schemas.microsoft.com/office/drawing/2014/main" id="{43723DCC-F2CC-E8D7-5547-FCA7BEBF02D8}"/>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3864651" y="1482662"/>
          <a:ext cx="513222" cy="514939"/>
        </a:xfrm>
        <a:prstGeom prst="rect">
          <a:avLst/>
        </a:prstGeom>
      </xdr:spPr>
    </xdr:pic>
    <xdr:clientData/>
  </xdr:twoCellAnchor>
  <xdr:twoCellAnchor editAs="oneCell">
    <xdr:from>
      <xdr:col>11</xdr:col>
      <xdr:colOff>813151</xdr:colOff>
      <xdr:row>10</xdr:row>
      <xdr:rowOff>44895</xdr:rowOff>
    </xdr:from>
    <xdr:to>
      <xdr:col>12</xdr:col>
      <xdr:colOff>480981</xdr:colOff>
      <xdr:row>12</xdr:row>
      <xdr:rowOff>171130</xdr:rowOff>
    </xdr:to>
    <xdr:pic>
      <xdr:nvPicPr>
        <xdr:cNvPr id="20" name="Graphic 19" descr="Gears with solid fill">
          <a:extLst>
            <a:ext uri="{FF2B5EF4-FFF2-40B4-BE49-F238E27FC236}">
              <a16:creationId xmlns:a16="http://schemas.microsoft.com/office/drawing/2014/main" id="{488A4A3E-F7F4-1C57-4500-7977085B9B2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5795459" y="1510280"/>
          <a:ext cx="484259" cy="503048"/>
        </a:xfrm>
        <a:prstGeom prst="rect">
          <a:avLst/>
        </a:prstGeom>
      </xdr:spPr>
    </xdr:pic>
    <xdr:clientData/>
  </xdr:twoCellAnchor>
  <xdr:twoCellAnchor>
    <xdr:from>
      <xdr:col>3</xdr:col>
      <xdr:colOff>1</xdr:colOff>
      <xdr:row>13</xdr:row>
      <xdr:rowOff>10466</xdr:rowOff>
    </xdr:from>
    <xdr:to>
      <xdr:col>9</xdr:col>
      <xdr:colOff>9432</xdr:colOff>
      <xdr:row>26</xdr:row>
      <xdr:rowOff>11475</xdr:rowOff>
    </xdr:to>
    <xdr:graphicFrame macro="">
      <xdr:nvGraphicFramePr>
        <xdr:cNvPr id="21" name="Chart 20">
          <a:extLst>
            <a:ext uri="{FF2B5EF4-FFF2-40B4-BE49-F238E27FC236}">
              <a16:creationId xmlns:a16="http://schemas.microsoft.com/office/drawing/2014/main" id="{9CA82941-6AD3-4865-8BF1-97C3889D36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8</xdr:col>
      <xdr:colOff>782747</xdr:colOff>
      <xdr:row>13</xdr:row>
      <xdr:rowOff>9430</xdr:rowOff>
    </xdr:from>
    <xdr:to>
      <xdr:col>15</xdr:col>
      <xdr:colOff>20935</xdr:colOff>
      <xdr:row>26</xdr:row>
      <xdr:rowOff>11475</xdr:rowOff>
    </xdr:to>
    <xdr:graphicFrame macro="">
      <xdr:nvGraphicFramePr>
        <xdr:cNvPr id="22" name="Chart 21">
          <a:extLst>
            <a:ext uri="{FF2B5EF4-FFF2-40B4-BE49-F238E27FC236}">
              <a16:creationId xmlns:a16="http://schemas.microsoft.com/office/drawing/2014/main" id="{1B327A96-795A-4F5C-A9A2-8E25035F902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xdr:col>
      <xdr:colOff>0</xdr:colOff>
      <xdr:row>26</xdr:row>
      <xdr:rowOff>11476</xdr:rowOff>
    </xdr:from>
    <xdr:to>
      <xdr:col>9</xdr:col>
      <xdr:colOff>9430</xdr:colOff>
      <xdr:row>39</xdr:row>
      <xdr:rowOff>11476</xdr:rowOff>
    </xdr:to>
    <xdr:graphicFrame macro="">
      <xdr:nvGraphicFramePr>
        <xdr:cNvPr id="23" name="Chart 22">
          <a:extLst>
            <a:ext uri="{FF2B5EF4-FFF2-40B4-BE49-F238E27FC236}">
              <a16:creationId xmlns:a16="http://schemas.microsoft.com/office/drawing/2014/main" id="{3B4F8067-EDD0-4F8A-809A-16F283E3A28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9</xdr:col>
      <xdr:colOff>0</xdr:colOff>
      <xdr:row>26</xdr:row>
      <xdr:rowOff>9430</xdr:rowOff>
    </xdr:from>
    <xdr:to>
      <xdr:col>15</xdr:col>
      <xdr:colOff>18862</xdr:colOff>
      <xdr:row>39</xdr:row>
      <xdr:rowOff>19897</xdr:rowOff>
    </xdr:to>
    <xdr:graphicFrame macro="">
      <xdr:nvGraphicFramePr>
        <xdr:cNvPr id="26" name="Chart 25">
          <a:extLst>
            <a:ext uri="{FF2B5EF4-FFF2-40B4-BE49-F238E27FC236}">
              <a16:creationId xmlns:a16="http://schemas.microsoft.com/office/drawing/2014/main" id="{ABE08C7E-FC04-4D79-B495-FEA147EBBB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mc:AlternateContent xmlns:mc="http://schemas.openxmlformats.org/markup-compatibility/2006">
    <mc:Choice xmlns:a14="http://schemas.microsoft.com/office/drawing/2010/main" Requires="a14">
      <xdr:twoCellAnchor>
        <xdr:from>
          <xdr:col>3</xdr:col>
          <xdr:colOff>0</xdr:colOff>
          <xdr:row>3</xdr:row>
          <xdr:rowOff>0</xdr:rowOff>
        </xdr:from>
        <xdr:to>
          <xdr:col>6</xdr:col>
          <xdr:colOff>28575</xdr:colOff>
          <xdr:row>4</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7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CCFF"/>
                  </a:solidFill>
                  <a:latin typeface="Calibri"/>
                  <a:ea typeface="Calibri"/>
                  <a:cs typeface="Calibri"/>
                </a:rPr>
                <a:t>🔍 SEARCH CROP</a:t>
              </a:r>
            </a:p>
            <a:p>
              <a:pPr algn="ctr" rtl="0">
                <a:defRPr sz="1000"/>
              </a:pPr>
              <a:endParaRPr lang="en-IN" sz="1200" b="1" i="0" u="none" strike="noStrike" baseline="0">
                <a:solidFill>
                  <a:srgbClr val="00CCFF"/>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714375</xdr:colOff>
          <xdr:row>3</xdr:row>
          <xdr:rowOff>0</xdr:rowOff>
        </xdr:from>
        <xdr:to>
          <xdr:col>9</xdr:col>
          <xdr:colOff>9525</xdr:colOff>
          <xdr:row>4</xdr:row>
          <xdr:rowOff>180975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7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CCFF"/>
                  </a:solidFill>
                  <a:latin typeface="Calibri"/>
                  <a:ea typeface="Calibri"/>
                  <a:cs typeface="Calibri"/>
                </a:rPr>
                <a:t>🌍 SEARCH REGION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3</xdr:row>
          <xdr:rowOff>0</xdr:rowOff>
        </xdr:from>
        <xdr:to>
          <xdr:col>12</xdr:col>
          <xdr:colOff>0</xdr:colOff>
          <xdr:row>4</xdr:row>
          <xdr:rowOff>180975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7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CCFF"/>
                  </a:solidFill>
                  <a:latin typeface="Calibri"/>
                  <a:ea typeface="Calibri"/>
                  <a:cs typeface="Calibri"/>
                </a:rPr>
                <a:t>📊 SEARCH SEASON</a:t>
              </a:r>
            </a:p>
            <a:p>
              <a:pPr algn="ctr" rtl="0">
                <a:defRPr sz="1000"/>
              </a:pPr>
              <a:endParaRPr lang="en-IN" sz="1200" b="1" i="0" u="none" strike="noStrike" baseline="0">
                <a:solidFill>
                  <a:srgbClr val="00CCFF"/>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800100</xdr:colOff>
          <xdr:row>3</xdr:row>
          <xdr:rowOff>0</xdr:rowOff>
        </xdr:from>
        <xdr:to>
          <xdr:col>15</xdr:col>
          <xdr:colOff>0</xdr:colOff>
          <xdr:row>4</xdr:row>
          <xdr:rowOff>180975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7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CCFF"/>
                  </a:solidFill>
                  <a:latin typeface="Calibri"/>
                  <a:ea typeface="Calibri"/>
                  <a:cs typeface="Calibri"/>
                </a:rPr>
                <a:t>🏆 BEST PERFORMING CROP</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LCOT" refreshedDate="46266.442733912038" createdVersion="8" refreshedVersion="8" minRefreshableVersion="3" recordCount="2000" xr:uid="{B0826EB8-C947-469A-84D2-D6A1D9526680}">
  <cacheSource type="worksheet">
    <worksheetSource ref="A1:V2001" sheet="agri_supplychain_cleaned"/>
  </cacheSource>
  <cacheFields count="22">
    <cacheField name="batch_id" numFmtId="0">
      <sharedItems/>
    </cacheField>
    <cacheField name="crop_type" numFmtId="0">
      <sharedItems count="4">
        <s v="Maize"/>
        <s v="Barley"/>
        <s v="Wheat"/>
        <s v="Rice"/>
      </sharedItems>
    </cacheField>
    <cacheField name="region" numFmtId="0">
      <sharedItems count="4">
        <s v="East"/>
        <s v="West"/>
        <s v="South"/>
        <s v="North"/>
      </sharedItems>
    </cacheField>
    <cacheField name="season" numFmtId="0">
      <sharedItems count="2">
        <s v="Rabi"/>
        <s v="Kharif"/>
      </sharedItems>
    </cacheField>
    <cacheField name="yield_quantity_kg" numFmtId="0">
      <sharedItems containsSemiMixedTypes="0" containsString="0" containsNumber="1" minValue="199.24" maxValue="892.62"/>
    </cacheField>
    <cacheField name="moisture_content_%" numFmtId="0">
      <sharedItems containsSemiMixedTypes="0" containsString="0" containsNumber="1" minValue="8" maxValue="17.989999999999998"/>
    </cacheField>
    <cacheField name="avg_temperature_celsius" numFmtId="0">
      <sharedItems containsSemiMixedTypes="0" containsString="0" containsNumber="1" minValue="20" maxValue="39.97"/>
    </cacheField>
    <cacheField name="transport_delay_hours" numFmtId="0">
      <sharedItems containsSemiMixedTypes="0" containsString="0" containsNumber="1" minValue="0" maxValue="16.100000000000001"/>
    </cacheField>
    <cacheField name="equipment_downtime_hours" numFmtId="0">
      <sharedItems containsSemiMixedTypes="0" containsString="0" containsNumber="1" minValue="0" maxValue="6.8"/>
    </cacheField>
    <cacheField name="storage_duration_days" numFmtId="0">
      <sharedItems containsSemiMixedTypes="0" containsString="0" containsNumber="1" containsInteger="1" minValue="1" maxValue="29"/>
    </cacheField>
    <cacheField name="quality_grade" numFmtId="0">
      <sharedItems/>
    </cacheField>
    <cacheField name="spoilage_loss_%" numFmtId="0">
      <sharedItems containsSemiMixedTypes="0" containsString="0" containsNumber="1" minValue="0.5" maxValue="9.99"/>
    </cacheField>
    <cacheField name="supply_chain_stage" numFmtId="0">
      <sharedItems count="3">
        <s v="Farm"/>
        <s v="Transit"/>
        <s v="Warehouse"/>
      </sharedItems>
    </cacheField>
    <cacheField name="resource_utilization_%" numFmtId="0">
      <sharedItems containsSemiMixedTypes="0" containsString="0" containsNumber="1" minValue="50.06" maxValue="99.98"/>
    </cacheField>
    <cacheField name="climate_risk_level" numFmtId="0">
      <sharedItems count="3">
        <s v="Medium"/>
        <s v="High"/>
        <s v="Low"/>
      </sharedItems>
    </cacheField>
    <cacheField name="input_cost_per_kg" numFmtId="0">
      <sharedItems containsSemiMixedTypes="0" containsString="0" containsNumber="1" minValue="3" maxValue="10"/>
    </cacheField>
    <cacheField name="final_market_price_per_kg" numFmtId="0">
      <sharedItems containsSemiMixedTypes="0" containsString="0" containsNumber="1" minValue="5" maxValue="15"/>
    </cacheField>
    <cacheField name="total_input_cost" numFmtId="164">
      <sharedItems containsSemiMixedTypes="0" containsString="0" containsNumber="1" minValue="871.03239999999994" maxValue="6836.9925000000003"/>
    </cacheField>
    <cacheField name="total_revenue" numFmtId="164">
      <sharedItems containsSemiMixedTypes="0" containsString="0" containsNumber="1" minValue="1259.1968000000002" maxValue="10921.44"/>
    </cacheField>
    <cacheField name="estimated_profit" numFmtId="164">
      <sharedItems containsSemiMixedTypes="0" containsString="0" containsNumber="1" minValue="-2524.5133999999998" maxValue="7791.3588"/>
    </cacheField>
    <cacheField name="profit_margin_%" numFmtId="10">
      <sharedItems containsSemiMixedTypes="0" containsString="0" containsNumber="1" minValue="-0.9375" maxValue="0.78755074424898519"/>
    </cacheField>
    <cacheField name="spoilage_quantity_kg" numFmtId="2">
      <sharedItems containsSemiMixedTypes="0" containsString="0" containsNumber="1" minValue="1.4684429999999999" maxValue="73.953776000000005"/>
    </cacheField>
  </cacheFields>
  <extLst>
    <ext xmlns:x14="http://schemas.microsoft.com/office/spreadsheetml/2009/9/main" uri="{725AE2AE-9491-48be-B2B4-4EB974FC3084}">
      <x14:pivotCacheDefinition pivotCacheId="613576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BATCH00000"/>
    <x v="0"/>
    <x v="0"/>
    <x v="0"/>
    <n v="605.99"/>
    <n v="13.04"/>
    <n v="28.3"/>
    <n v="0.2"/>
    <n v="2.1"/>
    <n v="2"/>
    <s v="C"/>
    <n v="3.17"/>
    <x v="0"/>
    <n v="85.74"/>
    <x v="0"/>
    <n v="4.4000000000000004"/>
    <n v="6.01"/>
    <n v="2666.3560000000002"/>
    <n v="3641.9998999999998"/>
    <n v="975.64389999999958"/>
    <n v="0.26788685524126443"/>
    <n v="19.209883000000001"/>
  </r>
  <r>
    <s v="BATCH00001"/>
    <x v="1"/>
    <x v="1"/>
    <x v="1"/>
    <n v="561.70000000000005"/>
    <n v="11.23"/>
    <n v="26.54"/>
    <n v="1.9"/>
    <n v="0.2"/>
    <n v="27"/>
    <s v="B"/>
    <n v="2.44"/>
    <x v="0"/>
    <n v="64.03"/>
    <x v="0"/>
    <n v="9.1300000000000008"/>
    <n v="11.36"/>
    <n v="5128.3210000000008"/>
    <n v="6380.9120000000003"/>
    <n v="1252.5909999999994"/>
    <n v="0.19630281690140836"/>
    <n v="13.70548"/>
  </r>
  <r>
    <s v="BATCH00002"/>
    <x v="2"/>
    <x v="2"/>
    <x v="1"/>
    <n v="568.36"/>
    <n v="10.58"/>
    <n v="32.130000000000003"/>
    <n v="0.7"/>
    <n v="0.4"/>
    <n v="28"/>
    <s v="A"/>
    <n v="9.49"/>
    <x v="0"/>
    <n v="66.16"/>
    <x v="1"/>
    <n v="7.93"/>
    <n v="12.03"/>
    <n v="4507.0947999999999"/>
    <n v="6837.3707999999997"/>
    <n v="2330.2759999999998"/>
    <n v="0.34081463009143809"/>
    <n v="53.937364000000009"/>
  </r>
  <r>
    <s v="BATCH00003"/>
    <x v="0"/>
    <x v="1"/>
    <x v="1"/>
    <n v="363.4"/>
    <n v="12.64"/>
    <n v="38.61"/>
    <n v="0.3"/>
    <n v="0.4"/>
    <n v="22"/>
    <s v="C"/>
    <n v="1.3"/>
    <x v="0"/>
    <n v="64.38"/>
    <x v="2"/>
    <n v="3.18"/>
    <n v="13.99"/>
    <n v="1155.6120000000001"/>
    <n v="5083.9659999999994"/>
    <n v="3928.3539999999994"/>
    <n v="0.77269478198713359"/>
    <n v="4.7241999999999997"/>
  </r>
  <r>
    <s v="BATCH00004"/>
    <x v="0"/>
    <x v="1"/>
    <x v="0"/>
    <n v="621.19000000000005"/>
    <n v="9.33"/>
    <n v="36.74"/>
    <n v="1.6"/>
    <n v="0"/>
    <n v="7"/>
    <s v="C"/>
    <n v="2.5099999999999998"/>
    <x v="1"/>
    <n v="56.44"/>
    <x v="1"/>
    <n v="3.07"/>
    <n v="7.24"/>
    <n v="1907.0533"/>
    <n v="4497.4156000000003"/>
    <n v="2590.3623000000002"/>
    <n v="0.57596685082872934"/>
    <n v="15.591868999999999"/>
  </r>
  <r>
    <s v="BATCH00005"/>
    <x v="1"/>
    <x v="0"/>
    <x v="0"/>
    <n v="526.13"/>
    <n v="17.28"/>
    <n v="39.909999999999997"/>
    <n v="1.5"/>
    <n v="0.9"/>
    <n v="12"/>
    <s v="B"/>
    <n v="1.27"/>
    <x v="0"/>
    <n v="87.64"/>
    <x v="1"/>
    <n v="5.04"/>
    <n v="11.04"/>
    <n v="2651.6952000000001"/>
    <n v="5808.4751999999999"/>
    <n v="3156.7799999999997"/>
    <n v="0.54347826086956519"/>
    <n v="6.681851"/>
  </r>
  <r>
    <s v="BATCH00006"/>
    <x v="2"/>
    <x v="1"/>
    <x v="0"/>
    <n v="463.07"/>
    <n v="16.68"/>
    <n v="20.45"/>
    <n v="0.2"/>
    <n v="1.9"/>
    <n v="6"/>
    <s v="A"/>
    <n v="9.81"/>
    <x v="2"/>
    <n v="52.31"/>
    <x v="2"/>
    <n v="4"/>
    <n v="9.33"/>
    <n v="1852.28"/>
    <n v="4320.4431000000004"/>
    <n v="2468.1631000000007"/>
    <n v="0.57127545551982861"/>
    <n v="45.427166999999997"/>
  </r>
  <r>
    <s v="BATCH00007"/>
    <x v="2"/>
    <x v="0"/>
    <x v="0"/>
    <n v="514.34"/>
    <n v="15.08"/>
    <n v="22.26"/>
    <n v="2.4"/>
    <n v="0.5"/>
    <n v="18"/>
    <s v="B"/>
    <n v="9.2200000000000006"/>
    <x v="1"/>
    <n v="57.53"/>
    <x v="2"/>
    <n v="7.41"/>
    <n v="8.83"/>
    <n v="3811.2594000000004"/>
    <n v="4541.6222000000007"/>
    <n v="730.36280000000033"/>
    <n v="0.16081540203850514"/>
    <n v="47.422148000000007"/>
  </r>
  <r>
    <s v="BATCH00008"/>
    <x v="0"/>
    <x v="3"/>
    <x v="0"/>
    <n v="322.38"/>
    <n v="9.06"/>
    <n v="32.19"/>
    <n v="2"/>
    <n v="1.3"/>
    <n v="4"/>
    <s v="A"/>
    <n v="7.31"/>
    <x v="1"/>
    <n v="55.27"/>
    <x v="1"/>
    <n v="7.65"/>
    <n v="6.07"/>
    <n v="2466.2069999999999"/>
    <n v="1956.8466000000001"/>
    <n v="-509.3603999999998"/>
    <n v="-0.2602965403624381"/>
    <n v="23.565978000000001"/>
  </r>
  <r>
    <s v="BATCH00009"/>
    <x v="3"/>
    <x v="3"/>
    <x v="0"/>
    <n v="540.87"/>
    <n v="15.76"/>
    <n v="36.409999999999997"/>
    <n v="0.4"/>
    <n v="1"/>
    <n v="19"/>
    <s v="A"/>
    <n v="4.55"/>
    <x v="2"/>
    <n v="91.27"/>
    <x v="1"/>
    <n v="9.59"/>
    <n v="6.34"/>
    <n v="5186.9432999999999"/>
    <n v="3429.1158"/>
    <n v="-1757.8274999999999"/>
    <n v="-0.51261829652996838"/>
    <n v="24.609584999999996"/>
  </r>
  <r>
    <s v="BATCH00010"/>
    <x v="0"/>
    <x v="0"/>
    <x v="0"/>
    <n v="397.06"/>
    <n v="16.079999999999998"/>
    <n v="25.7"/>
    <n v="1.3"/>
    <n v="0.5"/>
    <n v="27"/>
    <s v="C"/>
    <n v="2.31"/>
    <x v="0"/>
    <n v="52.2"/>
    <x v="1"/>
    <n v="9.66"/>
    <n v="13.37"/>
    <n v="3835.5996"/>
    <n v="5308.6921999999995"/>
    <n v="1473.0925999999995"/>
    <n v="0.2774869109947643"/>
    <n v="9.1720860000000002"/>
  </r>
  <r>
    <s v="BATCH00011"/>
    <x v="0"/>
    <x v="3"/>
    <x v="1"/>
    <n v="364.73"/>
    <n v="15.68"/>
    <n v="24.78"/>
    <n v="2.5"/>
    <n v="0.2"/>
    <n v="13"/>
    <s v="A"/>
    <n v="2.6"/>
    <x v="1"/>
    <n v="83.23"/>
    <x v="2"/>
    <n v="7.61"/>
    <n v="12.5"/>
    <n v="2775.5953000000004"/>
    <n v="4559.125"/>
    <n v="1783.5296999999996"/>
    <n v="0.39119999999999994"/>
    <n v="9.4829800000000013"/>
  </r>
  <r>
    <s v="BATCH00012"/>
    <x v="0"/>
    <x v="2"/>
    <x v="0"/>
    <n v="347.76"/>
    <n v="9.14"/>
    <n v="35.74"/>
    <n v="1.5"/>
    <n v="1.2"/>
    <n v="20"/>
    <s v="C"/>
    <n v="4.71"/>
    <x v="1"/>
    <n v="52.22"/>
    <x v="2"/>
    <n v="3.04"/>
    <n v="8.82"/>
    <n v="1057.1904"/>
    <n v="3067.2431999999999"/>
    <n v="2010.0527999999999"/>
    <n v="0.65532879818594103"/>
    <n v="16.379496"/>
  </r>
  <r>
    <s v="BATCH00013"/>
    <x v="0"/>
    <x v="1"/>
    <x v="1"/>
    <n v="611.27"/>
    <n v="14.44"/>
    <n v="21.13"/>
    <n v="1"/>
    <n v="1.9"/>
    <n v="21"/>
    <s v="A"/>
    <n v="7.8"/>
    <x v="0"/>
    <n v="89.32"/>
    <x v="1"/>
    <n v="5.51"/>
    <n v="13.28"/>
    <n v="3368.0976999999998"/>
    <n v="8117.6655999999994"/>
    <n v="4749.5679"/>
    <n v="0.58509036144578319"/>
    <n v="47.67906"/>
  </r>
  <r>
    <s v="BATCH00014"/>
    <x v="1"/>
    <x v="2"/>
    <x v="1"/>
    <n v="437.07"/>
    <n v="16.34"/>
    <n v="27.39"/>
    <n v="0.8"/>
    <n v="1.2"/>
    <n v="23"/>
    <s v="C"/>
    <n v="3.01"/>
    <x v="0"/>
    <n v="95.64"/>
    <x v="2"/>
    <n v="6.59"/>
    <n v="5.81"/>
    <n v="2880.2912999999999"/>
    <n v="2539.3766999999998"/>
    <n v="-340.91460000000006"/>
    <n v="-0.13425129087779694"/>
    <n v="13.155806999999999"/>
  </r>
  <r>
    <s v="BATCH00015"/>
    <x v="2"/>
    <x v="1"/>
    <x v="0"/>
    <n v="653.37"/>
    <n v="13.77"/>
    <n v="30.12"/>
    <n v="1.9"/>
    <n v="0"/>
    <n v="25"/>
    <s v="A"/>
    <n v="3.45"/>
    <x v="2"/>
    <n v="74.34"/>
    <x v="2"/>
    <n v="6.49"/>
    <n v="11.25"/>
    <n v="4240.3712999999998"/>
    <n v="7350.4125000000004"/>
    <n v="3110.0412000000006"/>
    <n v="0.42311111111111116"/>
    <n v="22.541265000000003"/>
  </r>
  <r>
    <s v="BATCH00016"/>
    <x v="1"/>
    <x v="3"/>
    <x v="0"/>
    <n v="446.42"/>
    <n v="14.46"/>
    <n v="31.21"/>
    <n v="5.6"/>
    <n v="0.2"/>
    <n v="27"/>
    <s v="B"/>
    <n v="6.2"/>
    <x v="1"/>
    <n v="90.23"/>
    <x v="2"/>
    <n v="7.22"/>
    <n v="13.68"/>
    <n v="3223.1523999999999"/>
    <n v="6107.0255999999999"/>
    <n v="2883.8732"/>
    <n v="0.47222222222222221"/>
    <n v="27.678039999999999"/>
  </r>
  <r>
    <s v="BATCH00017"/>
    <x v="1"/>
    <x v="2"/>
    <x v="1"/>
    <n v="329.26"/>
    <n v="12.58"/>
    <n v="34.57"/>
    <n v="2.2000000000000002"/>
    <n v="0.1"/>
    <n v="2"/>
    <s v="A"/>
    <n v="2.76"/>
    <x v="0"/>
    <n v="85.32"/>
    <x v="0"/>
    <n v="9.7200000000000006"/>
    <n v="13.39"/>
    <n v="3200.4072000000001"/>
    <n v="4408.7914000000001"/>
    <n v="1208.3842"/>
    <n v="0.27408513816280805"/>
    <n v="9.0875759999999985"/>
  </r>
  <r>
    <s v="BATCH00018"/>
    <x v="1"/>
    <x v="3"/>
    <x v="1"/>
    <n v="388.35"/>
    <n v="13.29"/>
    <n v="27.1"/>
    <n v="0.2"/>
    <n v="0.8"/>
    <n v="8"/>
    <s v="B"/>
    <n v="6.05"/>
    <x v="0"/>
    <n v="89.78"/>
    <x v="0"/>
    <n v="9.1999999999999993"/>
    <n v="8.73"/>
    <n v="3572.8199999999997"/>
    <n v="3390.2955000000002"/>
    <n v="-182.52449999999953"/>
    <n v="-5.3837342497136169E-2"/>
    <n v="23.495175"/>
  </r>
  <r>
    <s v="BATCH00019"/>
    <x v="0"/>
    <x v="1"/>
    <x v="0"/>
    <n v="623.58000000000004"/>
    <n v="8.34"/>
    <n v="32.25"/>
    <n v="1.2"/>
    <n v="1.4"/>
    <n v="19"/>
    <s v="A"/>
    <n v="4.18"/>
    <x v="2"/>
    <n v="88.34"/>
    <x v="1"/>
    <n v="3.76"/>
    <n v="12.45"/>
    <n v="2344.6608000000001"/>
    <n v="7763.5709999999999"/>
    <n v="5418.9102000000003"/>
    <n v="0.69799196787148599"/>
    <n v="26.065644000000002"/>
  </r>
  <r>
    <s v="BATCH00020"/>
    <x v="3"/>
    <x v="0"/>
    <x v="0"/>
    <n v="484.41"/>
    <n v="14.39"/>
    <n v="31.71"/>
    <n v="4.4000000000000004"/>
    <n v="0.1"/>
    <n v="9"/>
    <s v="A"/>
    <n v="0.83"/>
    <x v="1"/>
    <n v="60.27"/>
    <x v="0"/>
    <n v="4.8600000000000003"/>
    <n v="9.27"/>
    <n v="2354.2326000000003"/>
    <n v="4490.4807000000001"/>
    <n v="2136.2480999999998"/>
    <n v="0.47572815533980578"/>
    <n v="4.0206029999999995"/>
  </r>
  <r>
    <s v="BATCH00021"/>
    <x v="2"/>
    <x v="0"/>
    <x v="1"/>
    <n v="445.17"/>
    <n v="8.81"/>
    <n v="30.95"/>
    <n v="0.2"/>
    <n v="1.8"/>
    <n v="26"/>
    <s v="C"/>
    <n v="4.33"/>
    <x v="0"/>
    <n v="74.98"/>
    <x v="1"/>
    <n v="8.83"/>
    <n v="13.4"/>
    <n v="3930.8511000000003"/>
    <n v="5965.2780000000002"/>
    <n v="2034.4268999999999"/>
    <n v="0.34104477611940298"/>
    <n v="19.275860999999999"/>
  </r>
  <r>
    <s v="BATCH00022"/>
    <x v="3"/>
    <x v="2"/>
    <x v="0"/>
    <n v="516"/>
    <n v="12.35"/>
    <n v="32.81"/>
    <n v="9"/>
    <n v="0.8"/>
    <n v="28"/>
    <s v="A"/>
    <n v="9.24"/>
    <x v="2"/>
    <n v="98.02"/>
    <x v="1"/>
    <n v="8.77"/>
    <n v="10.31"/>
    <n v="4525.32"/>
    <n v="5319.96"/>
    <n v="794.64000000000033"/>
    <n v="0.14936954413191084"/>
    <n v="47.678400000000003"/>
  </r>
  <r>
    <s v="BATCH00023"/>
    <x v="1"/>
    <x v="3"/>
    <x v="0"/>
    <n v="550.17999999999995"/>
    <n v="10.93"/>
    <n v="25.19"/>
    <n v="6"/>
    <n v="1.2"/>
    <n v="4"/>
    <s v="A"/>
    <n v="3.28"/>
    <x v="1"/>
    <n v="67.180000000000007"/>
    <x v="2"/>
    <n v="4.93"/>
    <n v="12.65"/>
    <n v="2712.3873999999996"/>
    <n v="6959.7769999999991"/>
    <n v="4247.3895999999995"/>
    <n v="0.61027667984189726"/>
    <n v="18.045903999999997"/>
  </r>
  <r>
    <s v="BATCH00024"/>
    <x v="1"/>
    <x v="3"/>
    <x v="0"/>
    <n v="611.74"/>
    <n v="13.45"/>
    <n v="21.69"/>
    <n v="0.2"/>
    <n v="3.6"/>
    <n v="16"/>
    <s v="A"/>
    <n v="3.57"/>
    <x v="1"/>
    <n v="98.52"/>
    <x v="1"/>
    <n v="8.11"/>
    <n v="5.79"/>
    <n v="4961.2114000000001"/>
    <n v="3541.9746"/>
    <n v="-1419.2368000000001"/>
    <n v="-0.40069084628670126"/>
    <n v="21.839117999999999"/>
  </r>
  <r>
    <s v="BATCH00025"/>
    <x v="3"/>
    <x v="2"/>
    <x v="1"/>
    <n v="644.85"/>
    <n v="9.33"/>
    <n v="22.39"/>
    <n v="5.4"/>
    <n v="0.1"/>
    <n v="19"/>
    <s v="B"/>
    <n v="1.1299999999999999"/>
    <x v="1"/>
    <n v="79.16"/>
    <x v="1"/>
    <n v="7.7"/>
    <n v="10.9"/>
    <n v="4965.3450000000003"/>
    <n v="7028.8650000000007"/>
    <n v="2063.5200000000004"/>
    <n v="0.29357798165137616"/>
    <n v="7.2868049999999993"/>
  </r>
  <r>
    <s v="BATCH00026"/>
    <x v="3"/>
    <x v="0"/>
    <x v="1"/>
    <n v="464.02"/>
    <n v="14.92"/>
    <n v="24.49"/>
    <n v="0.9"/>
    <n v="2.2999999999999998"/>
    <n v="10"/>
    <s v="C"/>
    <n v="6.34"/>
    <x v="1"/>
    <n v="73.08"/>
    <x v="1"/>
    <n v="6.31"/>
    <n v="10.5"/>
    <n v="2927.9661999999998"/>
    <n v="4872.21"/>
    <n v="1944.2438000000002"/>
    <n v="0.3990476190476191"/>
    <n v="29.418867999999996"/>
  </r>
  <r>
    <s v="BATCH00027"/>
    <x v="3"/>
    <x v="1"/>
    <x v="1"/>
    <n v="367.4"/>
    <n v="15.95"/>
    <n v="30"/>
    <n v="3.7"/>
    <n v="0.1"/>
    <n v="6"/>
    <s v="C"/>
    <n v="8.57"/>
    <x v="2"/>
    <n v="82.89"/>
    <x v="1"/>
    <n v="4.41"/>
    <n v="11.1"/>
    <n v="1620.2339999999999"/>
    <n v="4078.1399999999994"/>
    <n v="2457.9059999999995"/>
    <n v="0.60270270270270265"/>
    <n v="31.486180000000001"/>
  </r>
  <r>
    <s v="BATCH00028"/>
    <x v="1"/>
    <x v="2"/>
    <x v="0"/>
    <n v="458.65"/>
    <n v="9.6300000000000008"/>
    <n v="36.81"/>
    <n v="1.1000000000000001"/>
    <n v="0.5"/>
    <n v="16"/>
    <s v="A"/>
    <n v="3.85"/>
    <x v="0"/>
    <n v="90.79"/>
    <x v="2"/>
    <n v="9.2200000000000006"/>
    <n v="11.96"/>
    <n v="4228.7529999999997"/>
    <n v="5485.4539999999997"/>
    <n v="1256.701"/>
    <n v="0.2290969899665552"/>
    <n v="17.658024999999999"/>
  </r>
  <r>
    <s v="BATCH00029"/>
    <x v="1"/>
    <x v="1"/>
    <x v="0"/>
    <n v="526.03"/>
    <n v="9.0399999999999991"/>
    <n v="34.03"/>
    <n v="1.2"/>
    <n v="1.9"/>
    <n v="10"/>
    <s v="A"/>
    <n v="2.78"/>
    <x v="1"/>
    <n v="69.709999999999994"/>
    <x v="2"/>
    <n v="7.74"/>
    <n v="14.18"/>
    <n v="4071.4721999999997"/>
    <n v="7459.1053999999995"/>
    <n v="3387.6331999999998"/>
    <n v="0.45416078984485192"/>
    <n v="14.623633999999997"/>
  </r>
  <r>
    <s v="BATCH00030"/>
    <x v="2"/>
    <x v="0"/>
    <x v="1"/>
    <n v="403.62"/>
    <n v="9.4600000000000009"/>
    <n v="35.78"/>
    <n v="2"/>
    <n v="2.4"/>
    <n v="13"/>
    <s v="B"/>
    <n v="9.59"/>
    <x v="1"/>
    <n v="51.65"/>
    <x v="1"/>
    <n v="4.18"/>
    <n v="12.86"/>
    <n v="1687.1315999999999"/>
    <n v="5190.5531999999994"/>
    <n v="3503.4215999999997"/>
    <n v="0.67496111975116646"/>
    <n v="38.707158"/>
  </r>
  <r>
    <s v="BATCH00031"/>
    <x v="2"/>
    <x v="3"/>
    <x v="1"/>
    <n v="404.28"/>
    <n v="16.77"/>
    <n v="27.02"/>
    <n v="3"/>
    <n v="0.7"/>
    <n v="9"/>
    <s v="A"/>
    <n v="7.58"/>
    <x v="0"/>
    <n v="85.44"/>
    <x v="0"/>
    <n v="7.93"/>
    <n v="7.2"/>
    <n v="3205.9403999999995"/>
    <n v="2910.8159999999998"/>
    <n v="-295.1243999999997"/>
    <n v="-0.10138888888888879"/>
    <n v="30.644424000000001"/>
  </r>
  <r>
    <s v="BATCH00032"/>
    <x v="1"/>
    <x v="0"/>
    <x v="1"/>
    <n v="534.38"/>
    <n v="13.28"/>
    <n v="28.09"/>
    <n v="0.1"/>
    <n v="0.9"/>
    <n v="7"/>
    <s v="C"/>
    <n v="5.89"/>
    <x v="1"/>
    <n v="97.81"/>
    <x v="0"/>
    <n v="8.19"/>
    <n v="13.26"/>
    <n v="4376.5721999999996"/>
    <n v="7085.8787999999995"/>
    <n v="2709.3065999999999"/>
    <n v="0.38235294117647062"/>
    <n v="31.474982000000001"/>
  </r>
  <r>
    <s v="BATCH00033"/>
    <x v="3"/>
    <x v="2"/>
    <x v="0"/>
    <n v="495.13"/>
    <n v="12.67"/>
    <n v="27.87"/>
    <n v="1.8"/>
    <n v="1.2"/>
    <n v="4"/>
    <s v="C"/>
    <n v="3.4"/>
    <x v="1"/>
    <n v="81.25"/>
    <x v="1"/>
    <n v="9.2100000000000009"/>
    <n v="6.22"/>
    <n v="4560.1473000000005"/>
    <n v="3079.7085999999999"/>
    <n v="-1480.4387000000006"/>
    <n v="-0.48070739549839248"/>
    <n v="16.834420000000001"/>
  </r>
  <r>
    <s v="BATCH00034"/>
    <x v="3"/>
    <x v="3"/>
    <x v="1"/>
    <n v="503.28"/>
    <n v="9.07"/>
    <n v="23.84"/>
    <n v="0.4"/>
    <n v="1.8"/>
    <n v="19"/>
    <s v="B"/>
    <n v="2.6"/>
    <x v="0"/>
    <n v="59.42"/>
    <x v="2"/>
    <n v="4.5599999999999996"/>
    <n v="11.22"/>
    <n v="2294.9567999999995"/>
    <n v="5646.8015999999998"/>
    <n v="3351.8448000000003"/>
    <n v="0.5935828877005348"/>
    <n v="13.085280000000001"/>
  </r>
  <r>
    <s v="BATCH00035"/>
    <x v="2"/>
    <x v="2"/>
    <x v="1"/>
    <n v="424.15"/>
    <n v="14.5"/>
    <n v="21.22"/>
    <n v="0.8"/>
    <n v="0.1"/>
    <n v="26"/>
    <s v="B"/>
    <n v="7.3"/>
    <x v="0"/>
    <n v="62.41"/>
    <x v="1"/>
    <n v="9.92"/>
    <n v="13.83"/>
    <n v="4207.5679999999993"/>
    <n v="5865.9944999999998"/>
    <n v="1658.4265000000005"/>
    <n v="0.28271872740419385"/>
    <n v="30.962949999999996"/>
  </r>
  <r>
    <s v="BATCH00036"/>
    <x v="1"/>
    <x v="2"/>
    <x v="0"/>
    <n v="476.96"/>
    <n v="16.68"/>
    <n v="31.82"/>
    <n v="0.9"/>
    <n v="1.7"/>
    <n v="4"/>
    <s v="C"/>
    <n v="5.46"/>
    <x v="1"/>
    <n v="95.49"/>
    <x v="1"/>
    <n v="4.07"/>
    <n v="6.01"/>
    <n v="1941.2272"/>
    <n v="2866.5295999999998"/>
    <n v="925.30239999999981"/>
    <n v="0.32279534109816965"/>
    <n v="26.042016"/>
  </r>
  <r>
    <s v="BATCH00037"/>
    <x v="2"/>
    <x v="0"/>
    <x v="0"/>
    <n v="407.58"/>
    <n v="16.28"/>
    <n v="39.78"/>
    <n v="1.3"/>
    <n v="0.7"/>
    <n v="19"/>
    <s v="B"/>
    <n v="5.45"/>
    <x v="0"/>
    <n v="50.68"/>
    <x v="2"/>
    <n v="7.2"/>
    <n v="13.5"/>
    <n v="2934.576"/>
    <n v="5502.33"/>
    <n v="2567.7539999999999"/>
    <n v="0.46666666666666667"/>
    <n v="22.21311"/>
  </r>
  <r>
    <s v="BATCH00038"/>
    <x v="2"/>
    <x v="2"/>
    <x v="0"/>
    <n v="589.02"/>
    <n v="14.26"/>
    <n v="23.34"/>
    <n v="0.8"/>
    <n v="0.6"/>
    <n v="28"/>
    <s v="A"/>
    <n v="1.2"/>
    <x v="2"/>
    <n v="77.44"/>
    <x v="0"/>
    <n v="7.6"/>
    <n v="12.99"/>
    <n v="4476.5519999999997"/>
    <n v="7651.3697999999995"/>
    <n v="3174.8177999999998"/>
    <n v="0.41493456505003851"/>
    <n v="7.0682399999999994"/>
  </r>
  <r>
    <s v="BATCH00039"/>
    <x v="0"/>
    <x v="0"/>
    <x v="1"/>
    <n v="603.52"/>
    <n v="8.75"/>
    <n v="20.93"/>
    <n v="0.2"/>
    <n v="0.6"/>
    <n v="19"/>
    <s v="A"/>
    <n v="5.37"/>
    <x v="2"/>
    <n v="57.93"/>
    <x v="1"/>
    <n v="5.93"/>
    <n v="10.039999999999999"/>
    <n v="3578.8735999999999"/>
    <n v="6059.340799999999"/>
    <n v="2480.4671999999991"/>
    <n v="0.40936254980079673"/>
    <n v="32.409024000000002"/>
  </r>
  <r>
    <s v="BATCH00040"/>
    <x v="0"/>
    <x v="3"/>
    <x v="0"/>
    <n v="315.38"/>
    <n v="9.1199999999999992"/>
    <n v="35.590000000000003"/>
    <n v="0.3"/>
    <n v="0.7"/>
    <n v="12"/>
    <s v="B"/>
    <n v="8.32"/>
    <x v="1"/>
    <n v="64.14"/>
    <x v="2"/>
    <n v="6.33"/>
    <n v="8.09"/>
    <n v="1996.3553999999999"/>
    <n v="2551.4241999999999"/>
    <n v="555.06880000000001"/>
    <n v="0.21755253399258345"/>
    <n v="26.239616000000002"/>
  </r>
  <r>
    <s v="BATCH00041"/>
    <x v="0"/>
    <x v="0"/>
    <x v="0"/>
    <n v="407.05"/>
    <n v="8.49"/>
    <n v="25.05"/>
    <n v="0.1"/>
    <n v="2.9"/>
    <n v="13"/>
    <s v="C"/>
    <n v="9.49"/>
    <x v="1"/>
    <n v="65.349999999999994"/>
    <x v="2"/>
    <n v="9.24"/>
    <n v="9.0500000000000007"/>
    <n v="3761.1420000000003"/>
    <n v="3683.8025000000002"/>
    <n v="-77.339500000000044"/>
    <n v="-2.0994475138121558E-2"/>
    <n v="38.629044999999998"/>
  </r>
  <r>
    <s v="BATCH00042"/>
    <x v="3"/>
    <x v="3"/>
    <x v="1"/>
    <n v="350.35"/>
    <n v="10.57"/>
    <n v="36.590000000000003"/>
    <n v="1.3"/>
    <n v="0.8"/>
    <n v="25"/>
    <s v="B"/>
    <n v="1.51"/>
    <x v="0"/>
    <n v="60.96"/>
    <x v="1"/>
    <n v="7.52"/>
    <n v="14.69"/>
    <n v="2634.6320000000001"/>
    <n v="5146.6414999999997"/>
    <n v="2512.0094999999997"/>
    <n v="0.48808713410483318"/>
    <n v="5.2902849999999999"/>
  </r>
  <r>
    <s v="BATCH00043"/>
    <x v="1"/>
    <x v="0"/>
    <x v="0"/>
    <n v="435"/>
    <n v="9.36"/>
    <n v="34.08"/>
    <n v="6.2"/>
    <n v="3.1"/>
    <n v="4"/>
    <s v="C"/>
    <n v="6.5"/>
    <x v="0"/>
    <n v="89.62"/>
    <x v="2"/>
    <n v="6.48"/>
    <n v="7.02"/>
    <n v="2818.8"/>
    <n v="3053.7"/>
    <n v="234.89999999999964"/>
    <n v="7.6923076923076802E-2"/>
    <n v="28.274999999999999"/>
  </r>
  <r>
    <s v="BATCH00044"/>
    <x v="1"/>
    <x v="1"/>
    <x v="1"/>
    <n v="491.66"/>
    <n v="10.6"/>
    <n v="38.909999999999997"/>
    <n v="0.2"/>
    <n v="0.2"/>
    <n v="25"/>
    <s v="B"/>
    <n v="5.9"/>
    <x v="1"/>
    <n v="66.61"/>
    <x v="1"/>
    <n v="3.9"/>
    <n v="10.8"/>
    <n v="1917.4740000000002"/>
    <n v="5309.9280000000008"/>
    <n v="3392.4540000000006"/>
    <n v="0.63888888888888895"/>
    <n v="29.007940000000005"/>
  </r>
  <r>
    <s v="BATCH00045"/>
    <x v="1"/>
    <x v="1"/>
    <x v="1"/>
    <n v="355.04"/>
    <n v="11.85"/>
    <n v="28.18"/>
    <n v="5.8"/>
    <n v="1.3"/>
    <n v="28"/>
    <s v="B"/>
    <n v="8.9600000000000009"/>
    <x v="1"/>
    <n v="67.27"/>
    <x v="0"/>
    <n v="3.05"/>
    <n v="5.83"/>
    <n v="1082.8720000000001"/>
    <n v="2069.8832000000002"/>
    <n v="987.01120000000014"/>
    <n v="0.476843910806175"/>
    <n v="31.811584000000007"/>
  </r>
  <r>
    <s v="BATCH00046"/>
    <x v="1"/>
    <x v="2"/>
    <x v="0"/>
    <n v="407.81"/>
    <n v="17.43"/>
    <n v="33.24"/>
    <n v="2.6"/>
    <n v="1.7"/>
    <n v="10"/>
    <s v="B"/>
    <n v="7.64"/>
    <x v="2"/>
    <n v="72.650000000000006"/>
    <x v="1"/>
    <n v="3.87"/>
    <n v="7.18"/>
    <n v="1578.2247"/>
    <n v="2928.0758000000001"/>
    <n v="1349.8511000000001"/>
    <n v="0.46100278551532037"/>
    <n v="31.156683999999998"/>
  </r>
  <r>
    <s v="BATCH00047"/>
    <x v="0"/>
    <x v="0"/>
    <x v="0"/>
    <n v="399.6"/>
    <n v="14.1"/>
    <n v="29.3"/>
    <n v="2"/>
    <n v="1.1000000000000001"/>
    <n v="21"/>
    <s v="A"/>
    <n v="9.67"/>
    <x v="0"/>
    <n v="95.11"/>
    <x v="0"/>
    <n v="9.69"/>
    <n v="12.63"/>
    <n v="3872.1239999999998"/>
    <n v="5046.9480000000003"/>
    <n v="1174.8240000000005"/>
    <n v="0.23277909738717348"/>
    <n v="38.64132"/>
  </r>
  <r>
    <s v="BATCH00048"/>
    <x v="3"/>
    <x v="0"/>
    <x v="0"/>
    <n v="520.73"/>
    <n v="16.350000000000001"/>
    <n v="32.61"/>
    <n v="2.1"/>
    <n v="0.9"/>
    <n v="7"/>
    <s v="A"/>
    <n v="9.6199999999999992"/>
    <x v="1"/>
    <n v="84.41"/>
    <x v="2"/>
    <n v="8.35"/>
    <n v="8.0299999999999994"/>
    <n v="4348.0955000000004"/>
    <n v="4181.4619000000002"/>
    <n v="-166.63360000000011"/>
    <n v="-3.9850560398505631E-2"/>
    <n v="50.094225999999999"/>
  </r>
  <r>
    <s v="BATCH00049"/>
    <x v="3"/>
    <x v="3"/>
    <x v="0"/>
    <n v="506.93"/>
    <n v="15.1"/>
    <n v="28.99"/>
    <n v="3.5"/>
    <n v="0.8"/>
    <n v="5"/>
    <s v="C"/>
    <n v="2.64"/>
    <x v="1"/>
    <n v="53.09"/>
    <x v="1"/>
    <n v="9.77"/>
    <n v="14.86"/>
    <n v="4952.7060999999994"/>
    <n v="7532.9798000000001"/>
    <n v="2580.2737000000006"/>
    <n v="0.34253028263795432"/>
    <n v="13.382952"/>
  </r>
  <r>
    <s v="BATCH00050"/>
    <x v="0"/>
    <x v="2"/>
    <x v="0"/>
    <n v="427.83"/>
    <n v="9.1300000000000008"/>
    <n v="23.77"/>
    <n v="0.2"/>
    <n v="2"/>
    <n v="17"/>
    <s v="B"/>
    <n v="7.39"/>
    <x v="0"/>
    <n v="51.96"/>
    <x v="2"/>
    <n v="3.25"/>
    <n v="10.01"/>
    <n v="1390.4475"/>
    <n v="4282.5783000000001"/>
    <n v="2892.1307999999999"/>
    <n v="0.67532467532467533"/>
    <n v="31.616636999999997"/>
  </r>
  <r>
    <s v="BATCH00051"/>
    <x v="3"/>
    <x v="0"/>
    <x v="0"/>
    <n v="517.67999999999995"/>
    <n v="15.36"/>
    <n v="30.16"/>
    <n v="1.4"/>
    <n v="1.7"/>
    <n v="18"/>
    <s v="A"/>
    <n v="5.54"/>
    <x v="0"/>
    <n v="78.319999999999993"/>
    <x v="1"/>
    <n v="7.76"/>
    <n v="10.17"/>
    <n v="4017.1967999999997"/>
    <n v="5264.8055999999997"/>
    <n v="1247.6088"/>
    <n v="0.23697148475909538"/>
    <n v="28.679471999999997"/>
  </r>
  <r>
    <s v="BATCH00052"/>
    <x v="0"/>
    <x v="2"/>
    <x v="1"/>
    <n v="445.33"/>
    <n v="10.75"/>
    <n v="30.57"/>
    <n v="2.4"/>
    <n v="0.1"/>
    <n v="11"/>
    <s v="B"/>
    <n v="2.54"/>
    <x v="1"/>
    <n v="94.35"/>
    <x v="2"/>
    <n v="3.31"/>
    <n v="5.36"/>
    <n v="1474.0423000000001"/>
    <n v="2386.9688000000001"/>
    <n v="912.92650000000003"/>
    <n v="0.3824626865671642"/>
    <n v="11.311381999999998"/>
  </r>
  <r>
    <s v="BATCH00053"/>
    <x v="1"/>
    <x v="1"/>
    <x v="1"/>
    <n v="472.83"/>
    <n v="14.39"/>
    <n v="36.21"/>
    <n v="1.8"/>
    <n v="1.9"/>
    <n v="15"/>
    <s v="C"/>
    <n v="2.35"/>
    <x v="1"/>
    <n v="66.16"/>
    <x v="0"/>
    <n v="8.4700000000000006"/>
    <n v="14.57"/>
    <n v="4004.8701000000001"/>
    <n v="6889.1331"/>
    <n v="2884.2629999999999"/>
    <n v="0.41866849691146191"/>
    <n v="11.111504999999999"/>
  </r>
  <r>
    <s v="BATCH00054"/>
    <x v="0"/>
    <x v="0"/>
    <x v="0"/>
    <n v="667.35"/>
    <n v="11.41"/>
    <n v="34.71"/>
    <n v="3.6"/>
    <n v="0.5"/>
    <n v="21"/>
    <s v="A"/>
    <n v="1.27"/>
    <x v="1"/>
    <n v="62.39"/>
    <x v="1"/>
    <n v="5.67"/>
    <n v="6.74"/>
    <n v="3783.8744999999999"/>
    <n v="4497.9390000000003"/>
    <n v="714.06450000000041"/>
    <n v="0.15875370919881313"/>
    <n v="8.4753450000000008"/>
  </r>
  <r>
    <s v="BATCH00055"/>
    <x v="1"/>
    <x v="0"/>
    <x v="1"/>
    <n v="634.04999999999995"/>
    <n v="17.98"/>
    <n v="33.28"/>
    <n v="0.2"/>
    <n v="0.3"/>
    <n v="22"/>
    <s v="C"/>
    <n v="8.06"/>
    <x v="0"/>
    <n v="87.41"/>
    <x v="2"/>
    <n v="3.67"/>
    <n v="10.38"/>
    <n v="2326.9634999999998"/>
    <n v="6581.4390000000003"/>
    <n v="4254.4755000000005"/>
    <n v="0.6464354527938343"/>
    <n v="51.104430000000001"/>
  </r>
  <r>
    <s v="BATCH00056"/>
    <x v="1"/>
    <x v="2"/>
    <x v="0"/>
    <n v="370.04"/>
    <n v="10.64"/>
    <n v="22.27"/>
    <n v="2.2999999999999998"/>
    <n v="2"/>
    <n v="7"/>
    <s v="A"/>
    <n v="3.58"/>
    <x v="1"/>
    <n v="80.099999999999994"/>
    <x v="1"/>
    <n v="6.98"/>
    <n v="8.9600000000000009"/>
    <n v="2582.8792000000003"/>
    <n v="3315.5584000000003"/>
    <n v="732.67920000000004"/>
    <n v="0.22098214285714285"/>
    <n v="13.247432000000002"/>
  </r>
  <r>
    <s v="BATCH00057"/>
    <x v="2"/>
    <x v="0"/>
    <x v="1"/>
    <n v="582.97"/>
    <n v="10.79"/>
    <n v="34.409999999999997"/>
    <n v="1.5"/>
    <n v="0.6"/>
    <n v="18"/>
    <s v="B"/>
    <n v="8.64"/>
    <x v="1"/>
    <n v="78.25"/>
    <x v="1"/>
    <n v="4.96"/>
    <n v="9.16"/>
    <n v="2891.5311999999999"/>
    <n v="5340.0052000000005"/>
    <n v="2448.4740000000006"/>
    <n v="0.45851528384279483"/>
    <n v="50.368608000000002"/>
  </r>
  <r>
    <s v="BATCH00058"/>
    <x v="0"/>
    <x v="2"/>
    <x v="1"/>
    <n v="581.14"/>
    <n v="17.309999999999999"/>
    <n v="30.01"/>
    <n v="1"/>
    <n v="1.7"/>
    <n v="26"/>
    <s v="C"/>
    <n v="6.28"/>
    <x v="1"/>
    <n v="57.47"/>
    <x v="0"/>
    <n v="7.62"/>
    <n v="11.43"/>
    <n v="4428.2867999999999"/>
    <n v="6642.4301999999998"/>
    <n v="2214.1433999999999"/>
    <n v="0.33333333333333331"/>
    <n v="36.495592000000002"/>
  </r>
  <r>
    <s v="BATCH00059"/>
    <x v="2"/>
    <x v="0"/>
    <x v="1"/>
    <n v="385.17"/>
    <n v="8.25"/>
    <n v="37.880000000000003"/>
    <n v="0.8"/>
    <n v="0.3"/>
    <n v="25"/>
    <s v="A"/>
    <n v="6.9"/>
    <x v="2"/>
    <n v="58.8"/>
    <x v="2"/>
    <n v="7.61"/>
    <n v="11.62"/>
    <n v="2931.1437000000001"/>
    <n v="4475.6754000000001"/>
    <n v="1544.5317"/>
    <n v="0.34509466437177277"/>
    <n v="26.576730000000001"/>
  </r>
  <r>
    <s v="BATCH00060"/>
    <x v="0"/>
    <x v="3"/>
    <x v="0"/>
    <n v="581.88"/>
    <n v="14.97"/>
    <n v="38.4"/>
    <n v="1.9"/>
    <n v="0"/>
    <n v="6"/>
    <s v="A"/>
    <n v="3.27"/>
    <x v="2"/>
    <n v="64.09"/>
    <x v="1"/>
    <n v="7.94"/>
    <n v="6.54"/>
    <n v="4620.1271999999999"/>
    <n v="3805.4951999999998"/>
    <n v="-814.63200000000006"/>
    <n v="-0.2140672782874618"/>
    <n v="19.027476"/>
  </r>
  <r>
    <s v="BATCH00061"/>
    <x v="0"/>
    <x v="2"/>
    <x v="1"/>
    <n v="653.79"/>
    <n v="15.25"/>
    <n v="21.1"/>
    <n v="4.4000000000000004"/>
    <n v="0.7"/>
    <n v="18"/>
    <s v="B"/>
    <n v="4.84"/>
    <x v="0"/>
    <n v="60.34"/>
    <x v="1"/>
    <n v="9.9499999999999993"/>
    <n v="10"/>
    <n v="6505.2104999999992"/>
    <n v="6537.9"/>
    <n v="32.689500000000407"/>
    <n v="5.0000000000000626E-3"/>
    <n v="31.643435999999998"/>
  </r>
  <r>
    <s v="BATCH00062"/>
    <x v="2"/>
    <x v="0"/>
    <x v="0"/>
    <n v="387.75"/>
    <n v="16.36"/>
    <n v="36.409999999999997"/>
    <n v="1.4"/>
    <n v="0.1"/>
    <n v="16"/>
    <s v="C"/>
    <n v="4.42"/>
    <x v="1"/>
    <n v="98.57"/>
    <x v="1"/>
    <n v="5.71"/>
    <n v="12.9"/>
    <n v="2214.0524999999998"/>
    <n v="5001.9750000000004"/>
    <n v="2787.9225000000006"/>
    <n v="0.55736434108527144"/>
    <n v="17.138549999999999"/>
  </r>
  <r>
    <s v="BATCH00063"/>
    <x v="2"/>
    <x v="1"/>
    <x v="1"/>
    <n v="408.25"/>
    <n v="17.739999999999998"/>
    <n v="20.75"/>
    <n v="3.5"/>
    <n v="1.4"/>
    <n v="2"/>
    <s v="C"/>
    <n v="2.74"/>
    <x v="1"/>
    <n v="50.93"/>
    <x v="1"/>
    <n v="6.26"/>
    <n v="9.43"/>
    <n v="2555.645"/>
    <n v="3849.7974999999997"/>
    <n v="1294.1524999999997"/>
    <n v="0.33616118769883346"/>
    <n v="11.18605"/>
  </r>
  <r>
    <s v="BATCH00064"/>
    <x v="0"/>
    <x v="0"/>
    <x v="1"/>
    <n v="601.77"/>
    <n v="17.760000000000002"/>
    <n v="27.34"/>
    <n v="1"/>
    <n v="0.3"/>
    <n v="19"/>
    <s v="C"/>
    <n v="8.41"/>
    <x v="0"/>
    <n v="81.3"/>
    <x v="1"/>
    <n v="8.6300000000000008"/>
    <n v="6.66"/>
    <n v="5193.2751000000007"/>
    <n v="4007.7882"/>
    <n v="-1185.4869000000008"/>
    <n v="-0.29579579579579601"/>
    <n v="50.608857"/>
  </r>
  <r>
    <s v="BATCH00065"/>
    <x v="3"/>
    <x v="1"/>
    <x v="1"/>
    <n v="527.15"/>
    <n v="8.65"/>
    <n v="30.85"/>
    <n v="0.2"/>
    <n v="0.6"/>
    <n v="1"/>
    <s v="B"/>
    <n v="6.41"/>
    <x v="0"/>
    <n v="75.88"/>
    <x v="2"/>
    <n v="7.05"/>
    <n v="8.1300000000000008"/>
    <n v="3716.4074999999998"/>
    <n v="4285.7295000000004"/>
    <n v="569.32200000000057"/>
    <n v="0.13284132841328425"/>
    <n v="33.790315"/>
  </r>
  <r>
    <s v="BATCH00066"/>
    <x v="1"/>
    <x v="1"/>
    <x v="1"/>
    <n v="555.15"/>
    <n v="16.22"/>
    <n v="22.96"/>
    <n v="0.1"/>
    <n v="0.1"/>
    <n v="25"/>
    <s v="A"/>
    <n v="0.86"/>
    <x v="0"/>
    <n v="66.16"/>
    <x v="1"/>
    <n v="3.26"/>
    <n v="7.12"/>
    <n v="1809.7889999999998"/>
    <n v="3952.6680000000001"/>
    <n v="2142.8790000000004"/>
    <n v="0.5421348314606742"/>
    <n v="4.7742899999999997"/>
  </r>
  <r>
    <s v="BATCH00067"/>
    <x v="2"/>
    <x v="3"/>
    <x v="1"/>
    <n v="534.05999999999995"/>
    <n v="14.46"/>
    <n v="34.93"/>
    <n v="0.1"/>
    <n v="0.3"/>
    <n v="26"/>
    <s v="A"/>
    <n v="8.2899999999999991"/>
    <x v="1"/>
    <n v="94.38"/>
    <x v="1"/>
    <n v="8.9"/>
    <n v="6.26"/>
    <n v="4753.134"/>
    <n v="3343.2155999999995"/>
    <n v="-1409.9184000000005"/>
    <n v="-0.42172523961661362"/>
    <n v="44.273573999999989"/>
  </r>
  <r>
    <s v="BATCH00068"/>
    <x v="1"/>
    <x v="2"/>
    <x v="0"/>
    <n v="539.07000000000005"/>
    <n v="14.47"/>
    <n v="20.170000000000002"/>
    <n v="1"/>
    <n v="1.5"/>
    <n v="11"/>
    <s v="C"/>
    <n v="1.51"/>
    <x v="2"/>
    <n v="83.51"/>
    <x v="1"/>
    <n v="3.36"/>
    <n v="8.7799999999999994"/>
    <n v="1811.2752"/>
    <n v="4733.0346"/>
    <n v="2921.7593999999999"/>
    <n v="0.61731207289293843"/>
    <n v="8.1399570000000008"/>
  </r>
  <r>
    <s v="BATCH00069"/>
    <x v="3"/>
    <x v="0"/>
    <x v="0"/>
    <n v="367.35"/>
    <n v="9.2799999999999994"/>
    <n v="23.37"/>
    <n v="0.8"/>
    <n v="0.2"/>
    <n v="20"/>
    <s v="A"/>
    <n v="4.34"/>
    <x v="0"/>
    <n v="99.92"/>
    <x v="2"/>
    <n v="4.2"/>
    <n v="10.41"/>
    <n v="1542.8700000000001"/>
    <n v="3824.1135000000004"/>
    <n v="2281.2435000000005"/>
    <n v="0.59654178674351588"/>
    <n v="15.94299"/>
  </r>
  <r>
    <s v="BATCH00070"/>
    <x v="3"/>
    <x v="3"/>
    <x v="1"/>
    <n v="604.73"/>
    <n v="14.5"/>
    <n v="31.62"/>
    <n v="2.5"/>
    <n v="1"/>
    <n v="5"/>
    <s v="C"/>
    <n v="5.93"/>
    <x v="1"/>
    <n v="58.43"/>
    <x v="1"/>
    <n v="3.71"/>
    <n v="5.73"/>
    <n v="2243.5482999999999"/>
    <n v="3465.1029000000003"/>
    <n v="1221.5546000000004"/>
    <n v="0.35253054101221648"/>
    <n v="35.860489000000001"/>
  </r>
  <r>
    <s v="BATCH00071"/>
    <x v="3"/>
    <x v="0"/>
    <x v="1"/>
    <n v="616.96"/>
    <n v="17.82"/>
    <n v="34.29"/>
    <n v="2.7"/>
    <n v="2.5"/>
    <n v="16"/>
    <s v="B"/>
    <n v="0.56999999999999995"/>
    <x v="0"/>
    <n v="54.39"/>
    <x v="1"/>
    <n v="3.55"/>
    <n v="11.04"/>
    <n v="2190.2080000000001"/>
    <n v="6811.2384000000002"/>
    <n v="4621.0303999999996"/>
    <n v="0.67844202898550721"/>
    <n v="3.5166719999999998"/>
  </r>
  <r>
    <s v="BATCH00072"/>
    <x v="2"/>
    <x v="1"/>
    <x v="1"/>
    <n v="477.06"/>
    <n v="17.12"/>
    <n v="38.33"/>
    <n v="0.1"/>
    <n v="1.1000000000000001"/>
    <n v="23"/>
    <s v="B"/>
    <n v="6.7"/>
    <x v="1"/>
    <n v="56.97"/>
    <x v="0"/>
    <n v="3.18"/>
    <n v="14.93"/>
    <n v="1517.0508"/>
    <n v="7122.5057999999999"/>
    <n v="5605.4549999999999"/>
    <n v="0.78700602813127929"/>
    <n v="31.96302"/>
  </r>
  <r>
    <s v="BATCH00073"/>
    <x v="3"/>
    <x v="2"/>
    <x v="1"/>
    <n v="495.65"/>
    <n v="12.39"/>
    <n v="34.11"/>
    <n v="0.5"/>
    <n v="1.7"/>
    <n v="1"/>
    <s v="B"/>
    <n v="6.77"/>
    <x v="0"/>
    <n v="63.46"/>
    <x v="0"/>
    <n v="3.39"/>
    <n v="14.64"/>
    <n v="1680.2535"/>
    <n v="7256.3159999999998"/>
    <n v="5576.0625"/>
    <n v="0.76844262295081966"/>
    <n v="33.555504999999997"/>
  </r>
  <r>
    <s v="BATCH00074"/>
    <x v="2"/>
    <x v="0"/>
    <x v="0"/>
    <n v="346.89"/>
    <n v="8.4"/>
    <n v="33.44"/>
    <n v="0.6"/>
    <n v="0.1"/>
    <n v="19"/>
    <s v="C"/>
    <n v="6.7"/>
    <x v="1"/>
    <n v="70.84"/>
    <x v="1"/>
    <n v="6.1"/>
    <n v="13.29"/>
    <n v="2116.029"/>
    <n v="4610.1680999999999"/>
    <n v="2494.1390999999999"/>
    <n v="0.5410082768999247"/>
    <n v="23.241630000000001"/>
  </r>
  <r>
    <s v="BATCH00075"/>
    <x v="3"/>
    <x v="0"/>
    <x v="1"/>
    <n v="551.42999999999995"/>
    <n v="11.62"/>
    <n v="27.89"/>
    <n v="1.6"/>
    <n v="0.3"/>
    <n v="14"/>
    <s v="A"/>
    <n v="2.0499999999999998"/>
    <x v="0"/>
    <n v="93.13"/>
    <x v="1"/>
    <n v="4.7699999999999996"/>
    <n v="7.66"/>
    <n v="2630.3210999999997"/>
    <n v="4223.9537999999993"/>
    <n v="1593.6326999999997"/>
    <n v="0.37728459530026109"/>
    <n v="11.304314999999997"/>
  </r>
  <r>
    <s v="BATCH00076"/>
    <x v="1"/>
    <x v="1"/>
    <x v="0"/>
    <n v="557.21"/>
    <n v="16.260000000000002"/>
    <n v="20.03"/>
    <n v="0.3"/>
    <n v="2.2000000000000002"/>
    <n v="3"/>
    <s v="B"/>
    <n v="2.93"/>
    <x v="2"/>
    <n v="64.180000000000007"/>
    <x v="0"/>
    <n v="3.89"/>
    <n v="5.22"/>
    <n v="2167.5469000000003"/>
    <n v="2908.6361999999999"/>
    <n v="741.08929999999964"/>
    <n v="0.25478927203065121"/>
    <n v="16.326253000000001"/>
  </r>
  <r>
    <s v="BATCH00077"/>
    <x v="1"/>
    <x v="0"/>
    <x v="1"/>
    <n v="493.78"/>
    <n v="15.01"/>
    <n v="22.4"/>
    <n v="0.3"/>
    <n v="1.3"/>
    <n v="2"/>
    <s v="C"/>
    <n v="2.85"/>
    <x v="0"/>
    <n v="95.76"/>
    <x v="2"/>
    <n v="7.61"/>
    <n v="13.34"/>
    <n v="3757.6657999999998"/>
    <n v="6587.0251999999991"/>
    <n v="2829.3593999999994"/>
    <n v="0.42953523238380803"/>
    <n v="14.07273"/>
  </r>
  <r>
    <s v="BATCH00078"/>
    <x v="0"/>
    <x v="0"/>
    <x v="0"/>
    <n v="612.44000000000005"/>
    <n v="12.59"/>
    <n v="30.69"/>
    <n v="5.8"/>
    <n v="1"/>
    <n v="24"/>
    <s v="C"/>
    <n v="9.6199999999999992"/>
    <x v="0"/>
    <n v="73.150000000000006"/>
    <x v="2"/>
    <n v="4.58"/>
    <n v="5.56"/>
    <n v="2804.9752000000003"/>
    <n v="3405.1664000000001"/>
    <n v="600.19119999999975"/>
    <n v="0.17625899280575533"/>
    <n v="58.916728000000006"/>
  </r>
  <r>
    <s v="BATCH00079"/>
    <x v="1"/>
    <x v="1"/>
    <x v="1"/>
    <n v="466.59"/>
    <n v="8.5500000000000007"/>
    <n v="33.5"/>
    <n v="3.3"/>
    <n v="1.1000000000000001"/>
    <n v="5"/>
    <s v="B"/>
    <n v="1.1399999999999999"/>
    <x v="2"/>
    <n v="82.35"/>
    <x v="0"/>
    <n v="3.13"/>
    <n v="7.06"/>
    <n v="1460.4267"/>
    <n v="3294.1253999999994"/>
    <n v="1833.6986999999995"/>
    <n v="0.55665722379603388"/>
    <n v="5.3191259999999989"/>
  </r>
  <r>
    <s v="BATCH00080"/>
    <x v="0"/>
    <x v="3"/>
    <x v="1"/>
    <n v="556.46"/>
    <n v="12.27"/>
    <n v="28.35"/>
    <n v="0.4"/>
    <n v="0.5"/>
    <n v="17"/>
    <s v="B"/>
    <n v="4.57"/>
    <x v="0"/>
    <n v="63.22"/>
    <x v="1"/>
    <n v="5.93"/>
    <n v="10.44"/>
    <n v="3299.8078"/>
    <n v="5809.4423999999999"/>
    <n v="2509.6345999999999"/>
    <n v="0.43199233716475094"/>
    <n v="25.430222000000004"/>
  </r>
  <r>
    <s v="BATCH00081"/>
    <x v="1"/>
    <x v="1"/>
    <x v="0"/>
    <n v="398.03"/>
    <n v="12.69"/>
    <n v="34.61"/>
    <n v="1"/>
    <n v="0"/>
    <n v="28"/>
    <s v="B"/>
    <n v="8.7799999999999994"/>
    <x v="2"/>
    <n v="57.8"/>
    <x v="0"/>
    <n v="5.17"/>
    <n v="6.78"/>
    <n v="2057.8150999999998"/>
    <n v="2698.6433999999999"/>
    <n v="640.82830000000013"/>
    <n v="0.23746312684365786"/>
    <n v="34.947033999999995"/>
  </r>
  <r>
    <s v="BATCH00082"/>
    <x v="2"/>
    <x v="3"/>
    <x v="1"/>
    <n v="497.64"/>
    <n v="17.29"/>
    <n v="30.44"/>
    <n v="0.9"/>
    <n v="1.5"/>
    <n v="18"/>
    <s v="A"/>
    <n v="7.81"/>
    <x v="1"/>
    <n v="93.47"/>
    <x v="2"/>
    <n v="5.23"/>
    <n v="13.34"/>
    <n v="2602.6572000000001"/>
    <n v="6638.5176000000001"/>
    <n v="4035.8604"/>
    <n v="0.60794602698650679"/>
    <n v="38.865683999999995"/>
  </r>
  <r>
    <s v="BATCH00083"/>
    <x v="1"/>
    <x v="2"/>
    <x v="1"/>
    <n v="482.56"/>
    <n v="14.41"/>
    <n v="21.48"/>
    <n v="3.1"/>
    <n v="1.1000000000000001"/>
    <n v="1"/>
    <s v="A"/>
    <n v="8.31"/>
    <x v="2"/>
    <n v="55.48"/>
    <x v="0"/>
    <n v="6.12"/>
    <n v="12.77"/>
    <n v="2953.2672000000002"/>
    <n v="6162.2911999999997"/>
    <n v="3209.0239999999994"/>
    <n v="0.52075176194205164"/>
    <n v="40.100736000000005"/>
  </r>
  <r>
    <s v="BATCH00084"/>
    <x v="0"/>
    <x v="3"/>
    <x v="1"/>
    <n v="522.53"/>
    <n v="11.12"/>
    <n v="23.84"/>
    <n v="1.4"/>
    <n v="0.6"/>
    <n v="15"/>
    <s v="C"/>
    <n v="9.74"/>
    <x v="2"/>
    <n v="88.7"/>
    <x v="2"/>
    <n v="7.68"/>
    <n v="12.56"/>
    <n v="4013.0303999999996"/>
    <n v="6562.9768000000004"/>
    <n v="2549.9464000000007"/>
    <n v="0.38853503184713384"/>
    <n v="50.894421999999992"/>
  </r>
  <r>
    <s v="BATCH00085"/>
    <x v="0"/>
    <x v="3"/>
    <x v="0"/>
    <n v="463.05"/>
    <n v="13.25"/>
    <n v="36.799999999999997"/>
    <n v="0.3"/>
    <n v="2.2999999999999998"/>
    <n v="22"/>
    <s v="B"/>
    <n v="4.18"/>
    <x v="1"/>
    <n v="79.05"/>
    <x v="1"/>
    <n v="7.32"/>
    <n v="13.16"/>
    <n v="3389.5260000000003"/>
    <n v="6093.7380000000003"/>
    <n v="2704.212"/>
    <n v="0.44376899696048627"/>
    <n v="19.35549"/>
  </r>
  <r>
    <s v="BATCH00086"/>
    <x v="3"/>
    <x v="2"/>
    <x v="1"/>
    <n v="486.85"/>
    <n v="8.66"/>
    <n v="34.5"/>
    <n v="2.7"/>
    <n v="0.4"/>
    <n v="9"/>
    <s v="B"/>
    <n v="3.44"/>
    <x v="2"/>
    <n v="93.06"/>
    <x v="1"/>
    <n v="9.56"/>
    <n v="7.2"/>
    <n v="4654.2860000000001"/>
    <n v="3505.32"/>
    <n v="-1148.9659999999999"/>
    <n v="-0.32777777777777772"/>
    <n v="16.747640000000001"/>
  </r>
  <r>
    <s v="BATCH00087"/>
    <x v="2"/>
    <x v="3"/>
    <x v="1"/>
    <n v="582.6"/>
    <n v="17.73"/>
    <n v="37.9"/>
    <n v="1"/>
    <n v="0.3"/>
    <n v="27"/>
    <s v="A"/>
    <n v="0.79"/>
    <x v="2"/>
    <n v="85.89"/>
    <x v="1"/>
    <n v="6.62"/>
    <n v="12.29"/>
    <n v="3856.8120000000004"/>
    <n v="7160.1539999999995"/>
    <n v="3303.3419999999992"/>
    <n v="0.4613506916192025"/>
    <n v="4.6025400000000003"/>
  </r>
  <r>
    <s v="BATCH00088"/>
    <x v="1"/>
    <x v="1"/>
    <x v="0"/>
    <n v="456.32"/>
    <n v="11.6"/>
    <n v="22.35"/>
    <n v="0.6"/>
    <n v="2.1"/>
    <n v="23"/>
    <s v="B"/>
    <n v="1.93"/>
    <x v="1"/>
    <n v="64.08"/>
    <x v="2"/>
    <n v="6.31"/>
    <n v="8.5500000000000007"/>
    <n v="2879.3791999999999"/>
    <n v="3901.5360000000001"/>
    <n v="1022.1568000000002"/>
    <n v="0.26198830409356733"/>
    <n v="8.8069759999999988"/>
  </r>
  <r>
    <s v="BATCH00089"/>
    <x v="3"/>
    <x v="3"/>
    <x v="0"/>
    <n v="339.34"/>
    <n v="12.78"/>
    <n v="39.799999999999997"/>
    <n v="0.9"/>
    <n v="1.6"/>
    <n v="5"/>
    <s v="C"/>
    <n v="5.84"/>
    <x v="0"/>
    <n v="78.72"/>
    <x v="0"/>
    <n v="4.49"/>
    <n v="11.67"/>
    <n v="1523.6366"/>
    <n v="3960.0977999999996"/>
    <n v="2436.4611999999997"/>
    <n v="0.6152527849185947"/>
    <n v="19.817455999999996"/>
  </r>
  <r>
    <s v="BATCH00090"/>
    <x v="1"/>
    <x v="2"/>
    <x v="0"/>
    <n v="674.96"/>
    <n v="11.55"/>
    <n v="24.19"/>
    <n v="1.4"/>
    <n v="0.7"/>
    <n v="28"/>
    <s v="B"/>
    <n v="2"/>
    <x v="0"/>
    <n v="50.65"/>
    <x v="1"/>
    <n v="8.2899999999999991"/>
    <n v="6.22"/>
    <n v="5595.4183999999996"/>
    <n v="4198.2511999999997"/>
    <n v="-1397.1671999999999"/>
    <n v="-0.33279742765273312"/>
    <n v="13.4992"/>
  </r>
  <r>
    <s v="BATCH00091"/>
    <x v="1"/>
    <x v="1"/>
    <x v="1"/>
    <n v="638.15"/>
    <n v="14.83"/>
    <n v="20.239999999999998"/>
    <n v="0.8"/>
    <n v="0.1"/>
    <n v="13"/>
    <s v="A"/>
    <n v="7.49"/>
    <x v="2"/>
    <n v="73.760000000000005"/>
    <x v="2"/>
    <n v="3.99"/>
    <n v="12.06"/>
    <n v="2546.2184999999999"/>
    <n v="7696.0889999999999"/>
    <n v="5149.8705"/>
    <n v="0.6691542288557214"/>
    <n v="47.797434999999993"/>
  </r>
  <r>
    <s v="BATCH00092"/>
    <x v="3"/>
    <x v="2"/>
    <x v="1"/>
    <n v="370.77"/>
    <n v="14.62"/>
    <n v="39.950000000000003"/>
    <n v="0.6"/>
    <n v="0.2"/>
    <n v="19"/>
    <s v="C"/>
    <n v="0.85"/>
    <x v="0"/>
    <n v="54.3"/>
    <x v="1"/>
    <n v="6.44"/>
    <n v="14.72"/>
    <n v="2387.7588000000001"/>
    <n v="5457.7344000000003"/>
    <n v="3069.9756000000002"/>
    <n v="0.5625"/>
    <n v="3.151545"/>
  </r>
  <r>
    <s v="BATCH00093"/>
    <x v="3"/>
    <x v="2"/>
    <x v="1"/>
    <n v="568.97"/>
    <n v="15.15"/>
    <n v="25.62"/>
    <n v="1"/>
    <n v="1.1000000000000001"/>
    <n v="28"/>
    <s v="C"/>
    <n v="2.97"/>
    <x v="0"/>
    <n v="71.45"/>
    <x v="0"/>
    <n v="5.95"/>
    <n v="5.44"/>
    <n v="3385.3715000000002"/>
    <n v="3095.1968000000002"/>
    <n v="-290.17470000000003"/>
    <n v="-9.375E-2"/>
    <n v="16.898409000000001"/>
  </r>
  <r>
    <s v="BATCH00094"/>
    <x v="3"/>
    <x v="0"/>
    <x v="0"/>
    <n v="449.7"/>
    <n v="10.68"/>
    <n v="33.36"/>
    <n v="0"/>
    <n v="0.5"/>
    <n v="28"/>
    <s v="B"/>
    <n v="7.11"/>
    <x v="2"/>
    <n v="55.48"/>
    <x v="1"/>
    <n v="7.61"/>
    <n v="5.94"/>
    <n v="3422.2170000000001"/>
    <n v="2671.2180000000003"/>
    <n v="-750.9989999999998"/>
    <n v="-0.28114478114478103"/>
    <n v="31.973670000000002"/>
  </r>
  <r>
    <s v="BATCH00095"/>
    <x v="3"/>
    <x v="0"/>
    <x v="1"/>
    <n v="526.35"/>
    <n v="11.16"/>
    <n v="23.53"/>
    <n v="3"/>
    <n v="1.8"/>
    <n v="24"/>
    <s v="C"/>
    <n v="2.93"/>
    <x v="1"/>
    <n v="97.77"/>
    <x v="2"/>
    <n v="9.42"/>
    <n v="6.24"/>
    <n v="4958.2170000000006"/>
    <n v="3284.4240000000004"/>
    <n v="-1673.7930000000001"/>
    <n v="-0.50961538461538458"/>
    <n v="15.422055000000002"/>
  </r>
  <r>
    <s v="BATCH00096"/>
    <x v="3"/>
    <x v="2"/>
    <x v="1"/>
    <n v="529.41999999999996"/>
    <n v="9.25"/>
    <n v="31.6"/>
    <n v="0.4"/>
    <n v="3"/>
    <n v="10"/>
    <s v="B"/>
    <n v="7.42"/>
    <x v="0"/>
    <n v="76.150000000000006"/>
    <x v="2"/>
    <n v="9.6300000000000008"/>
    <n v="9.31"/>
    <n v="5098.3145999999997"/>
    <n v="4928.9002"/>
    <n v="-169.41439999999966"/>
    <n v="-3.4371643394199715E-2"/>
    <n v="39.282964"/>
  </r>
  <r>
    <s v="BATCH00097"/>
    <x v="1"/>
    <x v="2"/>
    <x v="0"/>
    <n v="476.56"/>
    <n v="14.56"/>
    <n v="38.08"/>
    <n v="0.1"/>
    <n v="1.6"/>
    <n v="20"/>
    <s v="B"/>
    <n v="9.9600000000000009"/>
    <x v="2"/>
    <n v="95.66"/>
    <x v="1"/>
    <n v="4.17"/>
    <n v="7.91"/>
    <n v="1987.2552000000001"/>
    <n v="3769.5896000000002"/>
    <n v="1782.3344000000002"/>
    <n v="0.47281921618204809"/>
    <n v="47.465376000000006"/>
  </r>
  <r>
    <s v="BATCH00098"/>
    <x v="3"/>
    <x v="2"/>
    <x v="0"/>
    <n v="421.62"/>
    <n v="8.4"/>
    <n v="26.4"/>
    <n v="2.1"/>
    <n v="0.5"/>
    <n v="25"/>
    <s v="A"/>
    <n v="8.07"/>
    <x v="1"/>
    <n v="51.12"/>
    <x v="1"/>
    <n v="4.83"/>
    <n v="13.07"/>
    <n v="2036.4246000000001"/>
    <n v="5510.5734000000002"/>
    <n v="3474.1487999999999"/>
    <n v="0.63045141545524097"/>
    <n v="34.024734000000002"/>
  </r>
  <r>
    <s v="BATCH00099"/>
    <x v="2"/>
    <x v="0"/>
    <x v="0"/>
    <n v="430.95"/>
    <n v="13.98"/>
    <n v="33.409999999999997"/>
    <n v="3"/>
    <n v="1.6"/>
    <n v="21"/>
    <s v="C"/>
    <n v="3.75"/>
    <x v="0"/>
    <n v="81.88"/>
    <x v="2"/>
    <n v="8.68"/>
    <n v="9.74"/>
    <n v="3740.6459999999997"/>
    <n v="4197.4530000000004"/>
    <n v="456.8070000000007"/>
    <n v="0.10882956878850118"/>
    <n v="16.160625"/>
  </r>
  <r>
    <s v="BATCH00100"/>
    <x v="0"/>
    <x v="0"/>
    <x v="0"/>
    <n v="408.38"/>
    <n v="16.7"/>
    <n v="23.76"/>
    <n v="3.4"/>
    <n v="0.4"/>
    <n v="14"/>
    <s v="B"/>
    <n v="9.06"/>
    <x v="1"/>
    <n v="65.349999999999994"/>
    <x v="1"/>
    <n v="6.63"/>
    <n v="9.85"/>
    <n v="2707.5594000000001"/>
    <n v="4022.5429999999997"/>
    <n v="1314.9835999999996"/>
    <n v="0.32690355329949233"/>
    <n v="36.999228000000002"/>
  </r>
  <r>
    <s v="BATCH00101"/>
    <x v="3"/>
    <x v="3"/>
    <x v="0"/>
    <n v="416.82"/>
    <n v="16.91"/>
    <n v="32.5"/>
    <n v="1.4"/>
    <n v="0.2"/>
    <n v="22"/>
    <s v="B"/>
    <n v="0.99"/>
    <x v="2"/>
    <n v="71.59"/>
    <x v="1"/>
    <n v="6.17"/>
    <n v="12.17"/>
    <n v="2571.7793999999999"/>
    <n v="5072.6993999999995"/>
    <n v="2500.9199999999996"/>
    <n v="0.49301561216105172"/>
    <n v="4.1265179999999999"/>
  </r>
  <r>
    <s v="BATCH00102"/>
    <x v="3"/>
    <x v="3"/>
    <x v="1"/>
    <n v="493.28"/>
    <n v="12.49"/>
    <n v="26.73"/>
    <n v="0.5"/>
    <n v="0"/>
    <n v="21"/>
    <s v="B"/>
    <n v="7.39"/>
    <x v="1"/>
    <n v="93.65"/>
    <x v="1"/>
    <n v="7.97"/>
    <n v="8.6199999999999992"/>
    <n v="3931.4415999999997"/>
    <n v="4252.0735999999997"/>
    <n v="320.63200000000006"/>
    <n v="7.5406032482598626E-2"/>
    <n v="36.453391999999994"/>
  </r>
  <r>
    <s v="BATCH00103"/>
    <x v="1"/>
    <x v="2"/>
    <x v="0"/>
    <n v="428.42"/>
    <n v="12.59"/>
    <n v="24.22"/>
    <n v="2.7"/>
    <n v="0.5"/>
    <n v="26"/>
    <s v="C"/>
    <n v="0.72"/>
    <x v="1"/>
    <n v="99"/>
    <x v="0"/>
    <n v="7.21"/>
    <n v="8.5299999999999994"/>
    <n v="3088.9082000000003"/>
    <n v="3654.4225999999999"/>
    <n v="565.51439999999957"/>
    <n v="0.15474794841735043"/>
    <n v="3.0846239999999998"/>
  </r>
  <r>
    <s v="BATCH00104"/>
    <x v="3"/>
    <x v="1"/>
    <x v="1"/>
    <n v="568.21"/>
    <n v="8.77"/>
    <n v="26.26"/>
    <n v="2.4"/>
    <n v="2.2999999999999998"/>
    <n v="12"/>
    <s v="C"/>
    <n v="2.16"/>
    <x v="2"/>
    <n v="62.32"/>
    <x v="0"/>
    <n v="9.7899999999999991"/>
    <n v="12.57"/>
    <n v="5562.7758999999996"/>
    <n v="7142.3997000000008"/>
    <n v="1579.6238000000012"/>
    <n v="0.22116149562450294"/>
    <n v="12.273336000000002"/>
  </r>
  <r>
    <s v="BATCH00105"/>
    <x v="3"/>
    <x v="1"/>
    <x v="1"/>
    <n v="648.72"/>
    <n v="14.71"/>
    <n v="23.58"/>
    <n v="0.6"/>
    <n v="0.3"/>
    <n v="11"/>
    <s v="C"/>
    <n v="9.8800000000000008"/>
    <x v="0"/>
    <n v="97.41"/>
    <x v="0"/>
    <n v="7.09"/>
    <n v="12.8"/>
    <n v="4599.4247999999998"/>
    <n v="8303.616"/>
    <n v="3704.1912000000002"/>
    <n v="0.44609375000000001"/>
    <n v="64.093536"/>
  </r>
  <r>
    <s v="BATCH00106"/>
    <x v="3"/>
    <x v="0"/>
    <x v="0"/>
    <n v="441.99"/>
    <n v="16.21"/>
    <n v="38.04"/>
    <n v="4.7"/>
    <n v="0.2"/>
    <n v="23"/>
    <s v="B"/>
    <n v="3.93"/>
    <x v="0"/>
    <n v="84.44"/>
    <x v="1"/>
    <n v="6.26"/>
    <n v="5.14"/>
    <n v="2766.8573999999999"/>
    <n v="2271.8285999999998"/>
    <n v="-495.02880000000005"/>
    <n v="-0.21789883268482493"/>
    <n v="17.370207000000001"/>
  </r>
  <r>
    <s v="BATCH00107"/>
    <x v="1"/>
    <x v="0"/>
    <x v="0"/>
    <n v="523.94000000000005"/>
    <n v="10.45"/>
    <n v="27.94"/>
    <n v="0.2"/>
    <n v="3.5"/>
    <n v="7"/>
    <s v="C"/>
    <n v="8.2899999999999991"/>
    <x v="1"/>
    <n v="97.57"/>
    <x v="2"/>
    <n v="6.8"/>
    <n v="6.44"/>
    <n v="3562.7920000000004"/>
    <n v="3374.1736000000005"/>
    <n v="-188.61839999999984"/>
    <n v="-5.5900621118012368E-2"/>
    <n v="43.434626000000002"/>
  </r>
  <r>
    <s v="BATCH00108"/>
    <x v="3"/>
    <x v="0"/>
    <x v="0"/>
    <n v="549.97"/>
    <n v="12.21"/>
    <n v="24.91"/>
    <n v="8.1"/>
    <n v="0"/>
    <n v="17"/>
    <s v="B"/>
    <n v="4.07"/>
    <x v="1"/>
    <n v="78.12"/>
    <x v="1"/>
    <n v="8.66"/>
    <n v="7.13"/>
    <n v="4762.7402000000002"/>
    <n v="3921.2861000000003"/>
    <n v="-841.45409999999993"/>
    <n v="-0.21458625525946701"/>
    <n v="22.383779000000004"/>
  </r>
  <r>
    <s v="BATCH00109"/>
    <x v="0"/>
    <x v="2"/>
    <x v="1"/>
    <n v="547.20000000000005"/>
    <n v="16.39"/>
    <n v="28.97"/>
    <n v="3.9"/>
    <n v="1.5"/>
    <n v="18"/>
    <s v="C"/>
    <n v="8.48"/>
    <x v="1"/>
    <n v="98.04"/>
    <x v="1"/>
    <n v="7.29"/>
    <n v="8.52"/>
    <n v="3989.0880000000002"/>
    <n v="4662.1440000000002"/>
    <n v="673.05600000000004"/>
    <n v="0.14436619718309859"/>
    <n v="46.402560000000001"/>
  </r>
  <r>
    <s v="BATCH00110"/>
    <x v="1"/>
    <x v="1"/>
    <x v="0"/>
    <n v="507.6"/>
    <n v="16.77"/>
    <n v="26.41"/>
    <n v="2.2999999999999998"/>
    <n v="0.4"/>
    <n v="7"/>
    <s v="C"/>
    <n v="9.67"/>
    <x v="1"/>
    <n v="94.62"/>
    <x v="0"/>
    <n v="7.53"/>
    <n v="7.91"/>
    <n v="3822.2280000000005"/>
    <n v="4015.1160000000004"/>
    <n v="192.88799999999992"/>
    <n v="4.8040455120101112E-2"/>
    <n v="49.084920000000004"/>
  </r>
  <r>
    <s v="BATCH00111"/>
    <x v="0"/>
    <x v="3"/>
    <x v="0"/>
    <n v="574.27"/>
    <n v="10.43"/>
    <n v="34.89"/>
    <n v="5.6"/>
    <n v="0"/>
    <n v="24"/>
    <s v="B"/>
    <n v="4.6399999999999997"/>
    <x v="0"/>
    <n v="56.43"/>
    <x v="2"/>
    <n v="9.8000000000000007"/>
    <n v="11.69"/>
    <n v="5627.8460000000005"/>
    <n v="6713.2162999999991"/>
    <n v="1085.3702999999987"/>
    <n v="0.16167664670658666"/>
    <n v="26.646127999999997"/>
  </r>
  <r>
    <s v="BATCH00112"/>
    <x v="1"/>
    <x v="2"/>
    <x v="0"/>
    <n v="548.22"/>
    <n v="13.51"/>
    <n v="39.42"/>
    <n v="2.6"/>
    <n v="2.5"/>
    <n v="20"/>
    <s v="C"/>
    <n v="5.81"/>
    <x v="2"/>
    <n v="65.540000000000006"/>
    <x v="0"/>
    <n v="7.33"/>
    <n v="13.28"/>
    <n v="4018.4526000000001"/>
    <n v="7280.3616000000002"/>
    <n v="3261.9090000000001"/>
    <n v="0.44804216867469882"/>
    <n v="31.851581999999997"/>
  </r>
  <r>
    <s v="BATCH00113"/>
    <x v="3"/>
    <x v="3"/>
    <x v="0"/>
    <n v="376.23"/>
    <n v="9.92"/>
    <n v="28.76"/>
    <n v="0.4"/>
    <n v="0.2"/>
    <n v="6"/>
    <s v="B"/>
    <n v="6.47"/>
    <x v="2"/>
    <n v="62.15"/>
    <x v="2"/>
    <n v="5.66"/>
    <n v="6.92"/>
    <n v="2129.4618"/>
    <n v="2603.5116000000003"/>
    <n v="474.04980000000023"/>
    <n v="0.18208092485549141"/>
    <n v="24.342080999999997"/>
  </r>
  <r>
    <s v="BATCH00114"/>
    <x v="0"/>
    <x v="3"/>
    <x v="0"/>
    <n v="586.91999999999996"/>
    <n v="9.02"/>
    <n v="37.22"/>
    <n v="1.2"/>
    <n v="0.8"/>
    <n v="11"/>
    <s v="C"/>
    <n v="9.3800000000000008"/>
    <x v="2"/>
    <n v="78.599999999999994"/>
    <x v="1"/>
    <n v="7.84"/>
    <n v="10.63"/>
    <n v="4601.4528"/>
    <n v="6238.9596000000001"/>
    <n v="1637.5068000000001"/>
    <n v="0.26246472248353719"/>
    <n v="55.053096000000004"/>
  </r>
  <r>
    <s v="BATCH00115"/>
    <x v="1"/>
    <x v="2"/>
    <x v="1"/>
    <n v="588.73"/>
    <n v="17.11"/>
    <n v="31.32"/>
    <n v="0.1"/>
    <n v="0.3"/>
    <n v="12"/>
    <s v="C"/>
    <n v="2.94"/>
    <x v="1"/>
    <n v="90.14"/>
    <x v="1"/>
    <n v="7.62"/>
    <n v="8.68"/>
    <n v="4486.1226000000006"/>
    <n v="5110.1764000000003"/>
    <n v="624.05379999999968"/>
    <n v="0.12211981566820269"/>
    <n v="17.308661999999998"/>
  </r>
  <r>
    <s v="BATCH00116"/>
    <x v="2"/>
    <x v="3"/>
    <x v="1"/>
    <n v="423.67"/>
    <n v="16.21"/>
    <n v="23.14"/>
    <n v="1"/>
    <n v="0.1"/>
    <n v="26"/>
    <s v="C"/>
    <n v="6.31"/>
    <x v="1"/>
    <n v="87.97"/>
    <x v="1"/>
    <n v="3.1"/>
    <n v="10.06"/>
    <n v="1313.3770000000002"/>
    <n v="4262.1202000000003"/>
    <n v="2948.7431999999999"/>
    <n v="0.69184890656063613"/>
    <n v="26.733577"/>
  </r>
  <r>
    <s v="BATCH00117"/>
    <x v="3"/>
    <x v="1"/>
    <x v="1"/>
    <n v="503.79"/>
    <n v="15.6"/>
    <n v="33.81"/>
    <n v="2.7"/>
    <n v="0.1"/>
    <n v="16"/>
    <s v="C"/>
    <n v="3.58"/>
    <x v="2"/>
    <n v="86.34"/>
    <x v="2"/>
    <n v="6.27"/>
    <n v="11.21"/>
    <n v="3158.7633000000001"/>
    <n v="5647.4859000000006"/>
    <n v="2488.7226000000005"/>
    <n v="0.44067796610169496"/>
    <n v="18.035682000000001"/>
  </r>
  <r>
    <s v="BATCH00118"/>
    <x v="1"/>
    <x v="3"/>
    <x v="0"/>
    <n v="568.33000000000004"/>
    <n v="8.49"/>
    <n v="30.27"/>
    <n v="1"/>
    <n v="0.1"/>
    <n v="19"/>
    <s v="A"/>
    <n v="2.56"/>
    <x v="0"/>
    <n v="68.760000000000005"/>
    <x v="0"/>
    <n v="8.1999999999999993"/>
    <n v="13.94"/>
    <n v="4660.3059999999996"/>
    <n v="7922.5201999999999"/>
    <n v="3262.2142000000003"/>
    <n v="0.41176470588235298"/>
    <n v="14.549248000000002"/>
  </r>
  <r>
    <s v="BATCH00119"/>
    <x v="2"/>
    <x v="1"/>
    <x v="0"/>
    <n v="479.07"/>
    <n v="16.440000000000001"/>
    <n v="33.01"/>
    <n v="0.8"/>
    <n v="0.1"/>
    <n v="23"/>
    <s v="B"/>
    <n v="1.31"/>
    <x v="2"/>
    <n v="56.98"/>
    <x v="0"/>
    <n v="6.49"/>
    <n v="6.92"/>
    <n v="3109.1642999999999"/>
    <n v="3315.1644000000001"/>
    <n v="206.0001000000002"/>
    <n v="6.2138728323699481E-2"/>
    <n v="6.2758170000000009"/>
  </r>
  <r>
    <s v="BATCH00120"/>
    <x v="1"/>
    <x v="1"/>
    <x v="0"/>
    <n v="607.29999999999995"/>
    <n v="12.38"/>
    <n v="37.79"/>
    <n v="1.8"/>
    <n v="1.4"/>
    <n v="27"/>
    <s v="A"/>
    <n v="6.4"/>
    <x v="0"/>
    <n v="60.53"/>
    <x v="0"/>
    <n v="8.4600000000000009"/>
    <n v="5.87"/>
    <n v="5137.7579999999998"/>
    <n v="3564.8509999999997"/>
    <n v="-1572.9070000000002"/>
    <n v="-0.44122657580919938"/>
    <n v="38.867199999999997"/>
  </r>
  <r>
    <s v="BATCH00121"/>
    <x v="2"/>
    <x v="1"/>
    <x v="1"/>
    <n v="736.39"/>
    <n v="11.42"/>
    <n v="28.81"/>
    <n v="4.0999999999999996"/>
    <n v="0.7"/>
    <n v="19"/>
    <s v="C"/>
    <n v="8.8800000000000008"/>
    <x v="1"/>
    <n v="87.08"/>
    <x v="2"/>
    <n v="6.16"/>
    <n v="11.27"/>
    <n v="4536.1624000000002"/>
    <n v="8299.1152999999995"/>
    <n v="3762.9528999999993"/>
    <n v="0.45341614906832295"/>
    <n v="65.391432000000009"/>
  </r>
  <r>
    <s v="BATCH00122"/>
    <x v="3"/>
    <x v="0"/>
    <x v="0"/>
    <n v="421.4"/>
    <n v="13.46"/>
    <n v="38.020000000000003"/>
    <n v="0.1"/>
    <n v="0.4"/>
    <n v="11"/>
    <s v="C"/>
    <n v="3.84"/>
    <x v="2"/>
    <n v="57.38"/>
    <x v="2"/>
    <n v="9.8800000000000008"/>
    <n v="8.94"/>
    <n v="4163.4319999999998"/>
    <n v="3767.3159999999998"/>
    <n v="-396.11599999999999"/>
    <n v="-0.10514541387024609"/>
    <n v="16.181760000000001"/>
  </r>
  <r>
    <s v="BATCH00123"/>
    <x v="0"/>
    <x v="3"/>
    <x v="0"/>
    <n v="361.9"/>
    <n v="8.91"/>
    <n v="35.01"/>
    <n v="1"/>
    <n v="0.5"/>
    <n v="16"/>
    <s v="B"/>
    <n v="5.75"/>
    <x v="2"/>
    <n v="61.15"/>
    <x v="1"/>
    <n v="5.05"/>
    <n v="6.63"/>
    <n v="1827.5949999999998"/>
    <n v="2399.3969999999999"/>
    <n v="571.80200000000013"/>
    <n v="0.23831070889894426"/>
    <n v="20.809249999999999"/>
  </r>
  <r>
    <s v="BATCH00124"/>
    <x v="2"/>
    <x v="2"/>
    <x v="0"/>
    <n v="530.38"/>
    <n v="15.57"/>
    <n v="29.77"/>
    <n v="0.3"/>
    <n v="2.6"/>
    <n v="23"/>
    <s v="B"/>
    <n v="6.6"/>
    <x v="1"/>
    <n v="71.23"/>
    <x v="0"/>
    <n v="3.64"/>
    <n v="6.17"/>
    <n v="1930.5832"/>
    <n v="3272.4445999999998"/>
    <n v="1341.8613999999998"/>
    <n v="0.41004862236628847"/>
    <n v="35.00508"/>
  </r>
  <r>
    <s v="BATCH00125"/>
    <x v="1"/>
    <x v="2"/>
    <x v="1"/>
    <n v="572.16"/>
    <n v="13.82"/>
    <n v="32.06"/>
    <n v="2.4"/>
    <n v="2.4"/>
    <n v="28"/>
    <s v="B"/>
    <n v="4.4400000000000004"/>
    <x v="0"/>
    <n v="53.61"/>
    <x v="2"/>
    <n v="6.01"/>
    <n v="10.59"/>
    <n v="3438.6815999999999"/>
    <n v="6059.1743999999999"/>
    <n v="2620.4928"/>
    <n v="0.43248347497639283"/>
    <n v="25.403904000000001"/>
  </r>
  <r>
    <s v="BATCH00126"/>
    <x v="3"/>
    <x v="3"/>
    <x v="0"/>
    <n v="476.91"/>
    <n v="9.8699999999999992"/>
    <n v="26.51"/>
    <n v="0.2"/>
    <n v="1.3"/>
    <n v="27"/>
    <s v="B"/>
    <n v="9.08"/>
    <x v="2"/>
    <n v="60.63"/>
    <x v="0"/>
    <n v="6.79"/>
    <n v="8"/>
    <n v="3238.2189000000003"/>
    <n v="3815.28"/>
    <n v="577.0610999999999"/>
    <n v="0.15124999999999997"/>
    <n v="43.303428000000004"/>
  </r>
  <r>
    <s v="BATCH00127"/>
    <x v="2"/>
    <x v="0"/>
    <x v="1"/>
    <n v="645.33000000000004"/>
    <n v="9.8800000000000008"/>
    <n v="39.67"/>
    <n v="2.2000000000000002"/>
    <n v="2.2000000000000002"/>
    <n v="12"/>
    <s v="C"/>
    <n v="3.95"/>
    <x v="2"/>
    <n v="57.49"/>
    <x v="0"/>
    <n v="5.44"/>
    <n v="14.97"/>
    <n v="3510.5952000000007"/>
    <n v="9660.5901000000013"/>
    <n v="6149.9949000000006"/>
    <n v="0.63660654642618564"/>
    <n v="25.490535000000005"/>
  </r>
  <r>
    <s v="BATCH00128"/>
    <x v="1"/>
    <x v="0"/>
    <x v="0"/>
    <n v="366.14"/>
    <n v="9.84"/>
    <n v="33.35"/>
    <n v="0.7"/>
    <n v="0.4"/>
    <n v="27"/>
    <s v="B"/>
    <n v="1.69"/>
    <x v="0"/>
    <n v="97.57"/>
    <x v="2"/>
    <n v="4.7"/>
    <n v="9.06"/>
    <n v="1720.8579999999999"/>
    <n v="3317.2284"/>
    <n v="1596.3704"/>
    <n v="0.48123620309050774"/>
    <n v="6.187765999999999"/>
  </r>
  <r>
    <s v="BATCH00129"/>
    <x v="1"/>
    <x v="1"/>
    <x v="1"/>
    <n v="569.29"/>
    <n v="8.57"/>
    <n v="20.88"/>
    <n v="0.4"/>
    <n v="0.5"/>
    <n v="8"/>
    <s v="A"/>
    <n v="1.87"/>
    <x v="2"/>
    <n v="59.58"/>
    <x v="2"/>
    <n v="7.7"/>
    <n v="7.12"/>
    <n v="4383.5329999999994"/>
    <n v="4053.3447999999999"/>
    <n v="-330.1881999999996"/>
    <n v="-8.1460674157303278E-2"/>
    <n v="10.645723"/>
  </r>
  <r>
    <s v="BATCH00130"/>
    <x v="1"/>
    <x v="3"/>
    <x v="1"/>
    <n v="439.41"/>
    <n v="13.88"/>
    <n v="26.53"/>
    <n v="5.5"/>
    <n v="1"/>
    <n v="3"/>
    <s v="B"/>
    <n v="8.9600000000000009"/>
    <x v="2"/>
    <n v="93.09"/>
    <x v="1"/>
    <n v="5.64"/>
    <n v="11.29"/>
    <n v="2478.2723999999998"/>
    <n v="4960.9389000000001"/>
    <n v="2482.6665000000003"/>
    <n v="0.50044286979627994"/>
    <n v="39.371136000000007"/>
  </r>
  <r>
    <s v="BATCH00131"/>
    <x v="2"/>
    <x v="3"/>
    <x v="1"/>
    <n v="671.94"/>
    <n v="16.399999999999999"/>
    <n v="32.47"/>
    <n v="0"/>
    <n v="1"/>
    <n v="2"/>
    <s v="B"/>
    <n v="9.89"/>
    <x v="1"/>
    <n v="55.74"/>
    <x v="1"/>
    <n v="7.42"/>
    <n v="7.44"/>
    <n v="4985.7948000000006"/>
    <n v="4999.2336000000005"/>
    <n v="13.438799999999901"/>
    <n v="2.6881720430107325E-3"/>
    <n v="66.45486600000001"/>
  </r>
  <r>
    <s v="BATCH00132"/>
    <x v="2"/>
    <x v="2"/>
    <x v="0"/>
    <n v="699.25"/>
    <n v="8.17"/>
    <n v="21.13"/>
    <n v="1.2"/>
    <n v="0.7"/>
    <n v="28"/>
    <s v="A"/>
    <n v="3.24"/>
    <x v="0"/>
    <n v="93.48"/>
    <x v="1"/>
    <n v="8.4499999999999993"/>
    <n v="9.94"/>
    <n v="5908.6624999999995"/>
    <n v="6950.5450000000001"/>
    <n v="1041.8825000000006"/>
    <n v="0.14989939637826971"/>
    <n v="22.655700000000003"/>
  </r>
  <r>
    <s v="BATCH00133"/>
    <x v="2"/>
    <x v="3"/>
    <x v="0"/>
    <n v="423.33"/>
    <n v="8.49"/>
    <n v="20.48"/>
    <n v="0"/>
    <n v="0.5"/>
    <n v="6"/>
    <s v="A"/>
    <n v="1.86"/>
    <x v="2"/>
    <n v="79.97"/>
    <x v="0"/>
    <n v="8.33"/>
    <n v="9.83"/>
    <n v="3526.3388999999997"/>
    <n v="4161.3338999999996"/>
    <n v="634.99499999999989"/>
    <n v="0.15259409969481177"/>
    <n v="7.8739380000000008"/>
  </r>
  <r>
    <s v="BATCH00134"/>
    <x v="0"/>
    <x v="0"/>
    <x v="1"/>
    <n v="445.04"/>
    <n v="13.73"/>
    <n v="29"/>
    <n v="1.3"/>
    <n v="4.3"/>
    <n v="16"/>
    <s v="A"/>
    <n v="5.08"/>
    <x v="2"/>
    <n v="92.49"/>
    <x v="0"/>
    <n v="5.63"/>
    <n v="9.5399999999999991"/>
    <n v="2505.5752000000002"/>
    <n v="4245.6815999999999"/>
    <n v="1740.1063999999997"/>
    <n v="0.40985324947589091"/>
    <n v="22.608032000000001"/>
  </r>
  <r>
    <s v="BATCH00135"/>
    <x v="2"/>
    <x v="3"/>
    <x v="1"/>
    <n v="585.96"/>
    <n v="16.190000000000001"/>
    <n v="26.65"/>
    <n v="1.4"/>
    <n v="1.7"/>
    <n v="20"/>
    <s v="A"/>
    <n v="7.24"/>
    <x v="1"/>
    <n v="93.37"/>
    <x v="1"/>
    <n v="6.98"/>
    <n v="12.96"/>
    <n v="4090.0008000000007"/>
    <n v="7594.0416000000014"/>
    <n v="3504.0408000000007"/>
    <n v="0.46141975308641975"/>
    <n v="42.423504000000001"/>
  </r>
  <r>
    <s v="BATCH00136"/>
    <x v="2"/>
    <x v="2"/>
    <x v="0"/>
    <n v="461.29"/>
    <n v="11.27"/>
    <n v="28.77"/>
    <n v="0.8"/>
    <n v="0.6"/>
    <n v="24"/>
    <s v="B"/>
    <n v="6.32"/>
    <x v="2"/>
    <n v="79.819999999999993"/>
    <x v="0"/>
    <n v="6.15"/>
    <n v="7.17"/>
    <n v="2836.9335000000001"/>
    <n v="3307.4493000000002"/>
    <n v="470.51580000000013"/>
    <n v="0.14225941422594146"/>
    <n v="29.153528000000001"/>
  </r>
  <r>
    <s v="BATCH00137"/>
    <x v="2"/>
    <x v="1"/>
    <x v="0"/>
    <n v="495.46"/>
    <n v="11.5"/>
    <n v="25.25"/>
    <n v="0.3"/>
    <n v="1.3"/>
    <n v="29"/>
    <s v="A"/>
    <n v="9.5399999999999991"/>
    <x v="1"/>
    <n v="95.88"/>
    <x v="0"/>
    <n v="9.1"/>
    <n v="14.04"/>
    <n v="4508.6859999999997"/>
    <n v="6956.2583999999997"/>
    <n v="2447.5724"/>
    <n v="0.35185185185185186"/>
    <n v="47.26688399999999"/>
  </r>
  <r>
    <s v="BATCH00138"/>
    <x v="0"/>
    <x v="2"/>
    <x v="1"/>
    <n v="502.54"/>
    <n v="13.96"/>
    <n v="23.29"/>
    <n v="0.9"/>
    <n v="0.3"/>
    <n v="15"/>
    <s v="C"/>
    <n v="8.27"/>
    <x v="2"/>
    <n v="79.27"/>
    <x v="0"/>
    <n v="9.15"/>
    <n v="12.91"/>
    <n v="4598.241"/>
    <n v="6487.7914000000001"/>
    <n v="1889.5504000000001"/>
    <n v="0.29124709527498066"/>
    <n v="41.560057999999998"/>
  </r>
  <r>
    <s v="BATCH00139"/>
    <x v="2"/>
    <x v="2"/>
    <x v="0"/>
    <n v="308.02999999999997"/>
    <n v="10.74"/>
    <n v="33.78"/>
    <n v="2.2000000000000002"/>
    <n v="0.1"/>
    <n v="14"/>
    <s v="B"/>
    <n v="8.76"/>
    <x v="1"/>
    <n v="85.63"/>
    <x v="0"/>
    <n v="5.41"/>
    <n v="8.33"/>
    <n v="1666.4422999999999"/>
    <n v="2565.8898999999997"/>
    <n v="899.44759999999974"/>
    <n v="0.35054021608643454"/>
    <n v="26.983428"/>
  </r>
  <r>
    <s v="BATCH00140"/>
    <x v="1"/>
    <x v="1"/>
    <x v="0"/>
    <n v="498.62"/>
    <n v="8.27"/>
    <n v="30.29"/>
    <n v="3.1"/>
    <n v="0.4"/>
    <n v="2"/>
    <s v="C"/>
    <n v="5.65"/>
    <x v="0"/>
    <n v="70.8"/>
    <x v="2"/>
    <n v="3.64"/>
    <n v="6.81"/>
    <n v="1814.9768000000001"/>
    <n v="3395.6021999999998"/>
    <n v="1580.6253999999997"/>
    <n v="0.46549192364170333"/>
    <n v="28.172030000000003"/>
  </r>
  <r>
    <s v="BATCH00141"/>
    <x v="2"/>
    <x v="2"/>
    <x v="0"/>
    <n v="431.03"/>
    <n v="15.35"/>
    <n v="24"/>
    <n v="1.5"/>
    <n v="0.5"/>
    <n v="20"/>
    <s v="B"/>
    <n v="3.61"/>
    <x v="0"/>
    <n v="95.7"/>
    <x v="2"/>
    <n v="4.17"/>
    <n v="7.8"/>
    <n v="1797.3951"/>
    <n v="3362.0339999999997"/>
    <n v="1564.6388999999997"/>
    <n v="0.46538461538461534"/>
    <n v="15.560183"/>
  </r>
  <r>
    <s v="BATCH00142"/>
    <x v="1"/>
    <x v="2"/>
    <x v="0"/>
    <n v="450.69"/>
    <n v="14.26"/>
    <n v="26.39"/>
    <n v="1.8"/>
    <n v="0"/>
    <n v="18"/>
    <s v="B"/>
    <n v="7.17"/>
    <x v="2"/>
    <n v="91.21"/>
    <x v="1"/>
    <n v="5.57"/>
    <n v="8.33"/>
    <n v="2510.3433"/>
    <n v="3754.2476999999999"/>
    <n v="1243.9043999999999"/>
    <n v="0.33133253301320525"/>
    <n v="32.314473"/>
  </r>
  <r>
    <s v="BATCH00143"/>
    <x v="1"/>
    <x v="3"/>
    <x v="1"/>
    <n v="644.36"/>
    <n v="13.81"/>
    <n v="31.84"/>
    <n v="0.4"/>
    <n v="1.7"/>
    <n v="14"/>
    <s v="C"/>
    <n v="4.67"/>
    <x v="2"/>
    <n v="58.34"/>
    <x v="1"/>
    <n v="6.95"/>
    <n v="10.57"/>
    <n v="4478.3020000000006"/>
    <n v="6810.8852000000006"/>
    <n v="2332.5832"/>
    <n v="0.34247871333964047"/>
    <n v="30.091612000000001"/>
  </r>
  <r>
    <s v="BATCH00144"/>
    <x v="1"/>
    <x v="3"/>
    <x v="0"/>
    <n v="374.35"/>
    <n v="15.42"/>
    <n v="21.44"/>
    <n v="0.7"/>
    <n v="0.4"/>
    <n v="18"/>
    <s v="A"/>
    <n v="3.23"/>
    <x v="1"/>
    <n v="78.819999999999993"/>
    <x v="0"/>
    <n v="7.6"/>
    <n v="5.46"/>
    <n v="2845.06"/>
    <n v="2043.951"/>
    <n v="-801.10899999999992"/>
    <n v="-0.39194139194139188"/>
    <n v="12.091505"/>
  </r>
  <r>
    <s v="BATCH00145"/>
    <x v="0"/>
    <x v="1"/>
    <x v="0"/>
    <n v="581.32000000000005"/>
    <n v="14.75"/>
    <n v="22.95"/>
    <n v="0.4"/>
    <n v="0.9"/>
    <n v="2"/>
    <s v="A"/>
    <n v="1.95"/>
    <x v="1"/>
    <n v="94.84"/>
    <x v="0"/>
    <n v="5.32"/>
    <n v="14.14"/>
    <n v="3092.6224000000007"/>
    <n v="8219.8648000000012"/>
    <n v="5127.242400000001"/>
    <n v="0.62376237623762376"/>
    <n v="11.335740000000001"/>
  </r>
  <r>
    <s v="BATCH00146"/>
    <x v="0"/>
    <x v="3"/>
    <x v="1"/>
    <n v="472.1"/>
    <n v="10.06"/>
    <n v="21.46"/>
    <n v="0.6"/>
    <n v="0.1"/>
    <n v="1"/>
    <s v="C"/>
    <n v="5.51"/>
    <x v="0"/>
    <n v="89.65"/>
    <x v="2"/>
    <n v="7.67"/>
    <n v="5.99"/>
    <n v="3621.0070000000001"/>
    <n v="2827.8790000000004"/>
    <n v="-793.1279999999997"/>
    <n v="-0.28046744574290472"/>
    <n v="26.012710000000002"/>
  </r>
  <r>
    <s v="BATCH00147"/>
    <x v="0"/>
    <x v="3"/>
    <x v="1"/>
    <n v="472.02"/>
    <n v="11.52"/>
    <n v="36.25"/>
    <n v="0.5"/>
    <n v="0.2"/>
    <n v="20"/>
    <s v="A"/>
    <n v="6.15"/>
    <x v="2"/>
    <n v="98.13"/>
    <x v="0"/>
    <n v="9.56"/>
    <n v="7.79"/>
    <n v="4512.5111999999999"/>
    <n v="3677.0357999999997"/>
    <n v="-835.47540000000026"/>
    <n v="-0.22721437740693207"/>
    <n v="29.029230000000002"/>
  </r>
  <r>
    <s v="BATCH00148"/>
    <x v="2"/>
    <x v="2"/>
    <x v="0"/>
    <n v="579.04"/>
    <n v="9.26"/>
    <n v="35.049999999999997"/>
    <n v="1.5"/>
    <n v="2.2000000000000002"/>
    <n v="2"/>
    <s v="B"/>
    <n v="5.9"/>
    <x v="1"/>
    <n v="61.57"/>
    <x v="0"/>
    <n v="7.56"/>
    <n v="6.09"/>
    <n v="4377.5423999999994"/>
    <n v="3526.3535999999999"/>
    <n v="-851.18879999999945"/>
    <n v="-0.24137931034482743"/>
    <n v="34.163359999999997"/>
  </r>
  <r>
    <s v="BATCH00149"/>
    <x v="1"/>
    <x v="0"/>
    <x v="0"/>
    <n v="534.01"/>
    <n v="9.3000000000000007"/>
    <n v="35.07"/>
    <n v="1.7"/>
    <n v="0.9"/>
    <n v="9"/>
    <s v="B"/>
    <n v="1.61"/>
    <x v="0"/>
    <n v="68.37"/>
    <x v="1"/>
    <n v="4.1100000000000003"/>
    <n v="7.57"/>
    <n v="2194.7811000000002"/>
    <n v="4042.4557"/>
    <n v="1847.6745999999998"/>
    <n v="0.45706737120211355"/>
    <n v="8.5975610000000007"/>
  </r>
  <r>
    <s v="BATCH00150"/>
    <x v="0"/>
    <x v="3"/>
    <x v="0"/>
    <n v="557.05999999999995"/>
    <n v="14.76"/>
    <n v="34.33"/>
    <n v="5.8"/>
    <n v="3"/>
    <n v="9"/>
    <s v="B"/>
    <n v="5.91"/>
    <x v="0"/>
    <n v="75.36"/>
    <x v="0"/>
    <n v="7.06"/>
    <n v="13.38"/>
    <n v="3932.8435999999992"/>
    <n v="7453.4627999999993"/>
    <n v="3520.6192000000001"/>
    <n v="0.47234678624813159"/>
    <n v="32.922245999999994"/>
  </r>
  <r>
    <s v="BATCH00151"/>
    <x v="0"/>
    <x v="0"/>
    <x v="0"/>
    <n v="596.82000000000005"/>
    <n v="16.59"/>
    <n v="33.39"/>
    <n v="0.4"/>
    <n v="6.7"/>
    <n v="16"/>
    <s v="A"/>
    <n v="2.1"/>
    <x v="1"/>
    <n v="61.63"/>
    <x v="2"/>
    <n v="6.79"/>
    <n v="11.15"/>
    <n v="4052.4078000000004"/>
    <n v="6654.5430000000006"/>
    <n v="2602.1352000000002"/>
    <n v="0.39103139013452914"/>
    <n v="12.533220000000002"/>
  </r>
  <r>
    <s v="BATCH00152"/>
    <x v="2"/>
    <x v="3"/>
    <x v="1"/>
    <n v="466.87"/>
    <n v="17.63"/>
    <n v="29.54"/>
    <n v="2.1"/>
    <n v="0.5"/>
    <n v="11"/>
    <s v="A"/>
    <n v="6.81"/>
    <x v="2"/>
    <n v="69.7"/>
    <x v="0"/>
    <n v="9.09"/>
    <n v="7.27"/>
    <n v="4243.8482999999997"/>
    <n v="3394.1448999999998"/>
    <n v="-849.70339999999987"/>
    <n v="-0.25034387895460797"/>
    <n v="31.793847"/>
  </r>
  <r>
    <s v="BATCH00153"/>
    <x v="0"/>
    <x v="3"/>
    <x v="1"/>
    <n v="438.78"/>
    <n v="14.28"/>
    <n v="32.85"/>
    <n v="3.4"/>
    <n v="0.4"/>
    <n v="27"/>
    <s v="C"/>
    <n v="4.58"/>
    <x v="0"/>
    <n v="76.88"/>
    <x v="0"/>
    <n v="5.45"/>
    <n v="13.72"/>
    <n v="2391.3510000000001"/>
    <n v="6020.0616"/>
    <n v="3628.7105999999999"/>
    <n v="0.60276967930029157"/>
    <n v="20.096124"/>
  </r>
  <r>
    <s v="BATCH00154"/>
    <x v="2"/>
    <x v="1"/>
    <x v="1"/>
    <n v="391.48"/>
    <n v="9.84"/>
    <n v="20.77"/>
    <n v="1.6"/>
    <n v="2"/>
    <n v="23"/>
    <s v="B"/>
    <n v="8.56"/>
    <x v="1"/>
    <n v="59.57"/>
    <x v="0"/>
    <n v="5.96"/>
    <n v="13.01"/>
    <n v="2333.2208000000001"/>
    <n v="5093.1548000000003"/>
    <n v="2759.9340000000002"/>
    <n v="0.54189085318985397"/>
    <n v="33.510688000000002"/>
  </r>
  <r>
    <s v="BATCH00155"/>
    <x v="3"/>
    <x v="1"/>
    <x v="0"/>
    <n v="417.46"/>
    <n v="9.06"/>
    <n v="32.43"/>
    <n v="0.6"/>
    <n v="6.6"/>
    <n v="6"/>
    <s v="C"/>
    <n v="7.89"/>
    <x v="0"/>
    <n v="62.83"/>
    <x v="0"/>
    <n v="7.19"/>
    <n v="12.54"/>
    <n v="3001.5374000000002"/>
    <n v="5234.9483999999993"/>
    <n v="2233.4109999999991"/>
    <n v="0.42663476874003181"/>
    <n v="32.937593999999997"/>
  </r>
  <r>
    <s v="BATCH00156"/>
    <x v="0"/>
    <x v="1"/>
    <x v="0"/>
    <n v="794.91"/>
    <n v="16.13"/>
    <n v="35.56"/>
    <n v="0.6"/>
    <n v="1"/>
    <n v="12"/>
    <s v="A"/>
    <n v="7.38"/>
    <x v="2"/>
    <n v="56.24"/>
    <x v="0"/>
    <n v="6.67"/>
    <n v="13.48"/>
    <n v="5302.0496999999996"/>
    <n v="10715.3868"/>
    <n v="5413.3371000000006"/>
    <n v="0.50519287833827897"/>
    <n v="58.664357999999993"/>
  </r>
  <r>
    <s v="BATCH00157"/>
    <x v="3"/>
    <x v="0"/>
    <x v="0"/>
    <n v="624.47"/>
    <n v="13.79"/>
    <n v="30.01"/>
    <n v="0.1"/>
    <n v="1.6"/>
    <n v="3"/>
    <s v="C"/>
    <n v="7.16"/>
    <x v="1"/>
    <n v="85.67"/>
    <x v="2"/>
    <n v="8.0299999999999994"/>
    <n v="11.2"/>
    <n v="5014.4940999999999"/>
    <n v="6994.0640000000003"/>
    <n v="1979.5699000000004"/>
    <n v="0.28303571428571433"/>
    <n v="44.712052"/>
  </r>
  <r>
    <s v="BATCH00158"/>
    <x v="2"/>
    <x v="2"/>
    <x v="0"/>
    <n v="364.89"/>
    <n v="14.18"/>
    <n v="27.15"/>
    <n v="0.7"/>
    <n v="1.5"/>
    <n v="12"/>
    <s v="A"/>
    <n v="5.82"/>
    <x v="2"/>
    <n v="68.08"/>
    <x v="1"/>
    <n v="3.28"/>
    <n v="10.01"/>
    <n v="1196.8391999999999"/>
    <n v="3652.5488999999998"/>
    <n v="2455.7096999999999"/>
    <n v="0.67232767232767232"/>
    <n v="21.236598000000001"/>
  </r>
  <r>
    <s v="BATCH00159"/>
    <x v="1"/>
    <x v="3"/>
    <x v="1"/>
    <n v="367.75"/>
    <n v="15.81"/>
    <n v="25.55"/>
    <n v="2.7"/>
    <n v="0.4"/>
    <n v="23"/>
    <s v="B"/>
    <n v="1.08"/>
    <x v="2"/>
    <n v="61.01"/>
    <x v="0"/>
    <n v="6.94"/>
    <n v="8.74"/>
    <n v="2552.1849999999999"/>
    <n v="3214.1350000000002"/>
    <n v="661.95000000000027"/>
    <n v="0.20594965675057214"/>
    <n v="3.9717000000000002"/>
  </r>
  <r>
    <s v="BATCH00160"/>
    <x v="0"/>
    <x v="3"/>
    <x v="1"/>
    <n v="548.19000000000005"/>
    <n v="15.03"/>
    <n v="32.86"/>
    <n v="0.1"/>
    <n v="0.9"/>
    <n v="1"/>
    <s v="B"/>
    <n v="6.73"/>
    <x v="0"/>
    <n v="75.37"/>
    <x v="1"/>
    <n v="3.85"/>
    <n v="7.24"/>
    <n v="2110.5315000000001"/>
    <n v="3968.8956000000003"/>
    <n v="1858.3641000000002"/>
    <n v="0.46823204419889503"/>
    <n v="36.893187000000005"/>
  </r>
  <r>
    <s v="BATCH00161"/>
    <x v="2"/>
    <x v="3"/>
    <x v="0"/>
    <n v="554.73"/>
    <n v="16.34"/>
    <n v="33.86"/>
    <n v="0.5"/>
    <n v="1.8"/>
    <n v="9"/>
    <s v="A"/>
    <n v="4.9400000000000004"/>
    <x v="2"/>
    <n v="53.41"/>
    <x v="1"/>
    <n v="5.21"/>
    <n v="10.57"/>
    <n v="2890.1433000000002"/>
    <n v="5863.4961000000003"/>
    <n v="2973.3528000000001"/>
    <n v="0.50709555345316937"/>
    <n v="27.403662000000004"/>
  </r>
  <r>
    <s v="BATCH00162"/>
    <x v="1"/>
    <x v="0"/>
    <x v="1"/>
    <n v="554.89"/>
    <n v="8.56"/>
    <n v="37.42"/>
    <n v="2.4"/>
    <n v="1.2"/>
    <n v="20"/>
    <s v="A"/>
    <n v="4.96"/>
    <x v="0"/>
    <n v="96.17"/>
    <x v="2"/>
    <n v="7.63"/>
    <n v="13.89"/>
    <n v="4233.8107"/>
    <n v="7707.4220999999998"/>
    <n v="3473.6113999999998"/>
    <n v="0.45068394528437722"/>
    <n v="27.522543999999996"/>
  </r>
  <r>
    <s v="BATCH00163"/>
    <x v="1"/>
    <x v="1"/>
    <x v="0"/>
    <n v="474.5"/>
    <n v="15.48"/>
    <n v="26.85"/>
    <n v="3.1"/>
    <n v="0"/>
    <n v="22"/>
    <s v="A"/>
    <n v="4.0999999999999996"/>
    <x v="1"/>
    <n v="64.72"/>
    <x v="1"/>
    <n v="4.0999999999999996"/>
    <n v="10.94"/>
    <n v="1945.4499999999998"/>
    <n v="5191.03"/>
    <n v="3245.58"/>
    <n v="0.6252285191956124"/>
    <n v="19.454499999999999"/>
  </r>
  <r>
    <s v="BATCH00164"/>
    <x v="3"/>
    <x v="2"/>
    <x v="0"/>
    <n v="487.45"/>
    <n v="16.510000000000002"/>
    <n v="35.4"/>
    <n v="1.2"/>
    <n v="0.4"/>
    <n v="6"/>
    <s v="B"/>
    <n v="9.33"/>
    <x v="1"/>
    <n v="94.32"/>
    <x v="0"/>
    <n v="5.16"/>
    <n v="14.2"/>
    <n v="2515.2420000000002"/>
    <n v="6921.7899999999991"/>
    <n v="4406.5479999999989"/>
    <n v="0.63661971830985908"/>
    <n v="45.479084999999998"/>
  </r>
  <r>
    <s v="BATCH00165"/>
    <x v="2"/>
    <x v="0"/>
    <x v="1"/>
    <n v="532.79"/>
    <n v="10.86"/>
    <n v="31.23"/>
    <n v="2.4"/>
    <n v="0.2"/>
    <n v="11"/>
    <s v="A"/>
    <n v="2.87"/>
    <x v="0"/>
    <n v="74.88"/>
    <x v="0"/>
    <n v="7.92"/>
    <n v="8.57"/>
    <n v="4219.6967999999997"/>
    <n v="4566.0102999999999"/>
    <n v="346.3135000000002"/>
    <n v="7.5845974329054891E-2"/>
    <n v="15.291072999999999"/>
  </r>
  <r>
    <s v="BATCH00166"/>
    <x v="1"/>
    <x v="1"/>
    <x v="0"/>
    <n v="508.59"/>
    <n v="14.4"/>
    <n v="37.659999999999997"/>
    <n v="1"/>
    <n v="0.3"/>
    <n v="3"/>
    <s v="B"/>
    <n v="3.51"/>
    <x v="0"/>
    <n v="92.51"/>
    <x v="0"/>
    <n v="7.56"/>
    <n v="11.95"/>
    <n v="3844.9403999999995"/>
    <n v="6077.6504999999997"/>
    <n v="2232.7101000000002"/>
    <n v="0.36736401673640173"/>
    <n v="17.851509"/>
  </r>
  <r>
    <s v="BATCH00167"/>
    <x v="0"/>
    <x v="0"/>
    <x v="0"/>
    <n v="278.07"/>
    <n v="11.14"/>
    <n v="30.56"/>
    <n v="0.3"/>
    <n v="2.4"/>
    <n v="4"/>
    <s v="C"/>
    <n v="9.65"/>
    <x v="0"/>
    <n v="62.35"/>
    <x v="0"/>
    <n v="3.64"/>
    <n v="11.49"/>
    <n v="1012.1748"/>
    <n v="3195.0243"/>
    <n v="2182.8495000000003"/>
    <n v="0.68320278503046139"/>
    <n v="26.833755"/>
  </r>
  <r>
    <s v="BATCH00168"/>
    <x v="0"/>
    <x v="2"/>
    <x v="1"/>
    <n v="477.02"/>
    <n v="17.579999999999998"/>
    <n v="30.35"/>
    <n v="1"/>
    <n v="0"/>
    <n v="29"/>
    <s v="B"/>
    <n v="8.1999999999999993"/>
    <x v="2"/>
    <n v="58.76"/>
    <x v="2"/>
    <n v="7.04"/>
    <n v="11.7"/>
    <n v="3358.2208000000001"/>
    <n v="5581.1339999999991"/>
    <n v="2222.9131999999991"/>
    <n v="0.39829059829059821"/>
    <n v="39.115639999999992"/>
  </r>
  <r>
    <s v="BATCH00169"/>
    <x v="3"/>
    <x v="1"/>
    <x v="0"/>
    <n v="414.86"/>
    <n v="8.33"/>
    <n v="31.56"/>
    <n v="1.7"/>
    <n v="0.2"/>
    <n v="27"/>
    <s v="C"/>
    <n v="0.63"/>
    <x v="1"/>
    <n v="92.47"/>
    <x v="1"/>
    <n v="4.03"/>
    <n v="11.45"/>
    <n v="1671.8858000000002"/>
    <n v="4750.1469999999999"/>
    <n v="3078.2611999999999"/>
    <n v="0.64803493449781657"/>
    <n v="2.6136180000000002"/>
  </r>
  <r>
    <s v="BATCH00170"/>
    <x v="1"/>
    <x v="0"/>
    <x v="0"/>
    <n v="517.52"/>
    <n v="13.8"/>
    <n v="34.99"/>
    <n v="5.9"/>
    <n v="0.4"/>
    <n v="10"/>
    <s v="B"/>
    <n v="9.11"/>
    <x v="1"/>
    <n v="60.65"/>
    <x v="2"/>
    <n v="4.7699999999999996"/>
    <n v="7.22"/>
    <n v="2468.5703999999996"/>
    <n v="3736.4943999999996"/>
    <n v="1267.924"/>
    <n v="0.3393351800554017"/>
    <n v="47.146071999999997"/>
  </r>
  <r>
    <s v="BATCH00171"/>
    <x v="2"/>
    <x v="2"/>
    <x v="1"/>
    <n v="798.53"/>
    <n v="9.67"/>
    <n v="39.29"/>
    <n v="0.1"/>
    <n v="1"/>
    <n v="19"/>
    <s v="B"/>
    <n v="2.65"/>
    <x v="2"/>
    <n v="87.31"/>
    <x v="1"/>
    <n v="6.21"/>
    <n v="6.44"/>
    <n v="4958.8712999999998"/>
    <n v="5142.5331999999999"/>
    <n v="183.66190000000006"/>
    <n v="3.5714285714285726E-2"/>
    <n v="21.161044999999998"/>
  </r>
  <r>
    <s v="BATCH00172"/>
    <x v="0"/>
    <x v="3"/>
    <x v="0"/>
    <n v="536.75"/>
    <n v="15.12"/>
    <n v="21.47"/>
    <n v="1.4"/>
    <n v="0.8"/>
    <n v="29"/>
    <s v="A"/>
    <n v="7.21"/>
    <x v="0"/>
    <n v="67.23"/>
    <x v="2"/>
    <n v="3.77"/>
    <n v="14.79"/>
    <n v="2023.5474999999999"/>
    <n v="7938.5324999999993"/>
    <n v="5914.9849999999997"/>
    <n v="0.74509803921568629"/>
    <n v="38.699674999999999"/>
  </r>
  <r>
    <s v="BATCH00173"/>
    <x v="1"/>
    <x v="2"/>
    <x v="1"/>
    <n v="468.65"/>
    <n v="9.76"/>
    <n v="21.07"/>
    <n v="0.8"/>
    <n v="0.2"/>
    <n v="6"/>
    <s v="B"/>
    <n v="5.75"/>
    <x v="1"/>
    <n v="87.41"/>
    <x v="2"/>
    <n v="9.9600000000000009"/>
    <n v="5.45"/>
    <n v="4667.7539999999999"/>
    <n v="2554.1424999999999"/>
    <n v="-2113.6115"/>
    <n v="-0.8275229357798165"/>
    <n v="26.947374999999997"/>
  </r>
  <r>
    <s v="BATCH00174"/>
    <x v="1"/>
    <x v="3"/>
    <x v="0"/>
    <n v="592.17999999999995"/>
    <n v="10.35"/>
    <n v="38.75"/>
    <n v="1.4"/>
    <n v="0.2"/>
    <n v="1"/>
    <s v="A"/>
    <n v="5.6"/>
    <x v="2"/>
    <n v="95.38"/>
    <x v="2"/>
    <n v="4.16"/>
    <n v="9.68"/>
    <n v="2463.4688000000001"/>
    <n v="5732.3023999999996"/>
    <n v="3268.8335999999995"/>
    <n v="0.57024793388429751"/>
    <n v="33.162079999999996"/>
  </r>
  <r>
    <s v="BATCH00175"/>
    <x v="3"/>
    <x v="0"/>
    <x v="1"/>
    <n v="548.27"/>
    <n v="12.94"/>
    <n v="30.6"/>
    <n v="0"/>
    <n v="0.3"/>
    <n v="8"/>
    <s v="A"/>
    <n v="7.32"/>
    <x v="0"/>
    <n v="99.08"/>
    <x v="0"/>
    <n v="8.4700000000000006"/>
    <n v="9.25"/>
    <n v="4643.8469000000005"/>
    <n v="5071.4974999999995"/>
    <n v="427.65059999999903"/>
    <n v="8.4324324324324143E-2"/>
    <n v="40.133364"/>
  </r>
  <r>
    <s v="BATCH00176"/>
    <x v="0"/>
    <x v="1"/>
    <x v="1"/>
    <n v="542.01"/>
    <n v="17.149999999999999"/>
    <n v="32.299999999999997"/>
    <n v="0.8"/>
    <n v="0.7"/>
    <n v="8"/>
    <s v="A"/>
    <n v="2.4700000000000002"/>
    <x v="1"/>
    <n v="67.989999999999995"/>
    <x v="0"/>
    <n v="8.81"/>
    <n v="8.6"/>
    <n v="4775.1081000000004"/>
    <n v="4661.2860000000001"/>
    <n v="-113.82210000000032"/>
    <n v="-2.441860465116286E-2"/>
    <n v="13.387647000000001"/>
  </r>
  <r>
    <s v="BATCH00177"/>
    <x v="0"/>
    <x v="1"/>
    <x v="1"/>
    <n v="560.69000000000005"/>
    <n v="10.119999999999999"/>
    <n v="29.65"/>
    <n v="3.4"/>
    <n v="0.3"/>
    <n v="25"/>
    <s v="B"/>
    <n v="2.0099999999999998"/>
    <x v="0"/>
    <n v="68.38"/>
    <x v="2"/>
    <n v="9.9600000000000009"/>
    <n v="12.82"/>
    <n v="5584.4724000000015"/>
    <n v="7188.0458000000008"/>
    <n v="1603.5733999999993"/>
    <n v="0.22308892355694215"/>
    <n v="11.269868999999998"/>
  </r>
  <r>
    <s v="BATCH00178"/>
    <x v="2"/>
    <x v="0"/>
    <x v="0"/>
    <n v="705.65"/>
    <n v="9.44"/>
    <n v="21.87"/>
    <n v="1.6"/>
    <n v="2.9"/>
    <n v="6"/>
    <s v="A"/>
    <n v="6.69"/>
    <x v="2"/>
    <n v="99.07"/>
    <x v="1"/>
    <n v="6"/>
    <n v="12.45"/>
    <n v="4233.8999999999996"/>
    <n v="8785.3424999999988"/>
    <n v="4551.4424999999992"/>
    <n v="0.51807228915662651"/>
    <n v="47.207985000000001"/>
  </r>
  <r>
    <s v="BATCH00179"/>
    <x v="0"/>
    <x v="1"/>
    <x v="1"/>
    <n v="386.91"/>
    <n v="15.59"/>
    <n v="35.36"/>
    <n v="1.2"/>
    <n v="0.6"/>
    <n v="17"/>
    <s v="C"/>
    <n v="3.26"/>
    <x v="1"/>
    <n v="93.08"/>
    <x v="1"/>
    <n v="9.1199999999999992"/>
    <n v="14.05"/>
    <n v="3528.6192000000001"/>
    <n v="5436.085500000001"/>
    <n v="1907.466300000001"/>
    <n v="0.3508896797153026"/>
    <n v="12.613266000000001"/>
  </r>
  <r>
    <s v="BATCH00180"/>
    <x v="2"/>
    <x v="1"/>
    <x v="1"/>
    <n v="547.36"/>
    <n v="13.01"/>
    <n v="34.94"/>
    <n v="0.7"/>
    <n v="0.1"/>
    <n v="19"/>
    <s v="C"/>
    <n v="9.75"/>
    <x v="0"/>
    <n v="52.25"/>
    <x v="0"/>
    <n v="9.6999999999999993"/>
    <n v="8.9499999999999993"/>
    <n v="5309.3919999999998"/>
    <n v="4898.8719999999994"/>
    <n v="-410.52000000000044"/>
    <n v="-8.3798882681564352E-2"/>
    <n v="53.367600000000003"/>
  </r>
  <r>
    <s v="BATCH00181"/>
    <x v="0"/>
    <x v="3"/>
    <x v="1"/>
    <n v="407.36"/>
    <n v="17.12"/>
    <n v="26.23"/>
    <n v="0.7"/>
    <n v="1.3"/>
    <n v="1"/>
    <s v="B"/>
    <n v="4.79"/>
    <x v="0"/>
    <n v="78.67"/>
    <x v="2"/>
    <n v="4.21"/>
    <n v="10.64"/>
    <n v="1714.9856"/>
    <n v="4334.3104000000003"/>
    <n v="2619.3248000000003"/>
    <n v="0.60432330827067671"/>
    <n v="19.512544000000002"/>
  </r>
  <r>
    <s v="BATCH00182"/>
    <x v="3"/>
    <x v="0"/>
    <x v="1"/>
    <n v="555.54999999999995"/>
    <n v="9.4700000000000006"/>
    <n v="26.12"/>
    <n v="1"/>
    <n v="0.4"/>
    <n v="15"/>
    <s v="A"/>
    <n v="1.56"/>
    <x v="0"/>
    <n v="59.06"/>
    <x v="0"/>
    <n v="6.36"/>
    <n v="13.92"/>
    <n v="3533.2979999999998"/>
    <n v="7733.2559999999994"/>
    <n v="4199.9579999999996"/>
    <n v="0.5431034482758621"/>
    <n v="8.6665799999999997"/>
  </r>
  <r>
    <s v="BATCH00183"/>
    <x v="0"/>
    <x v="2"/>
    <x v="1"/>
    <n v="408.13"/>
    <n v="14.46"/>
    <n v="36.76"/>
    <n v="3.6"/>
    <n v="1.1000000000000001"/>
    <n v="13"/>
    <s v="C"/>
    <n v="7.02"/>
    <x v="2"/>
    <n v="99.7"/>
    <x v="0"/>
    <n v="3.42"/>
    <n v="14.94"/>
    <n v="1395.8045999999999"/>
    <n v="6097.4621999999999"/>
    <n v="4701.6576000000005"/>
    <n v="0.77108433734939763"/>
    <n v="28.650725999999999"/>
  </r>
  <r>
    <s v="BATCH00184"/>
    <x v="2"/>
    <x v="3"/>
    <x v="0"/>
    <n v="458.26"/>
    <n v="10.33"/>
    <n v="21.45"/>
    <n v="6.8"/>
    <n v="0.3"/>
    <n v="21"/>
    <s v="B"/>
    <n v="3.41"/>
    <x v="0"/>
    <n v="56.95"/>
    <x v="0"/>
    <n v="7.35"/>
    <n v="14.69"/>
    <n v="3368.2109999999998"/>
    <n v="6731.8393999999998"/>
    <n v="3363.6284000000001"/>
    <n v="0.49965963240299527"/>
    <n v="15.626666"/>
  </r>
  <r>
    <s v="BATCH00185"/>
    <x v="2"/>
    <x v="0"/>
    <x v="0"/>
    <n v="470.49"/>
    <n v="9.57"/>
    <n v="37.619999999999997"/>
    <n v="1.2"/>
    <n v="0.8"/>
    <n v="3"/>
    <s v="B"/>
    <n v="1.91"/>
    <x v="1"/>
    <n v="77.97"/>
    <x v="2"/>
    <n v="7.07"/>
    <n v="12.18"/>
    <n v="3326.3643000000002"/>
    <n v="5730.5681999999997"/>
    <n v="2404.2038999999995"/>
    <n v="0.4195402298850574"/>
    <n v="8.9863590000000002"/>
  </r>
  <r>
    <s v="BATCH00186"/>
    <x v="3"/>
    <x v="3"/>
    <x v="0"/>
    <n v="597.58000000000004"/>
    <n v="14.83"/>
    <n v="25.13"/>
    <n v="1"/>
    <n v="1.5"/>
    <n v="2"/>
    <s v="B"/>
    <n v="4.5199999999999996"/>
    <x v="1"/>
    <n v="83.26"/>
    <x v="2"/>
    <n v="4.43"/>
    <n v="6.43"/>
    <n v="2647.2793999999999"/>
    <n v="3842.4394000000002"/>
    <n v="1195.1600000000003"/>
    <n v="0.31104199066874033"/>
    <n v="27.010615999999999"/>
  </r>
  <r>
    <s v="BATCH00187"/>
    <x v="0"/>
    <x v="2"/>
    <x v="0"/>
    <n v="591.85"/>
    <n v="13.94"/>
    <n v="31.86"/>
    <n v="3.7"/>
    <n v="2.6"/>
    <n v="3"/>
    <s v="B"/>
    <n v="9.66"/>
    <x v="0"/>
    <n v="96.85"/>
    <x v="0"/>
    <n v="8.59"/>
    <n v="5.23"/>
    <n v="5083.9915000000001"/>
    <n v="3095.3755000000006"/>
    <n v="-1988.6159999999995"/>
    <n v="-0.64244741873804945"/>
    <n v="57.172710000000009"/>
  </r>
  <r>
    <s v="BATCH00188"/>
    <x v="0"/>
    <x v="2"/>
    <x v="0"/>
    <n v="375.43"/>
    <n v="15.55"/>
    <n v="38.72"/>
    <n v="1.1000000000000001"/>
    <n v="0.3"/>
    <n v="9"/>
    <s v="B"/>
    <n v="4.41"/>
    <x v="2"/>
    <n v="92.36"/>
    <x v="2"/>
    <n v="3.26"/>
    <n v="13.25"/>
    <n v="1223.9017999999999"/>
    <n v="4974.4475000000002"/>
    <n v="3750.5457000000006"/>
    <n v="0.75396226415094347"/>
    <n v="16.556463000000001"/>
  </r>
  <r>
    <s v="BATCH00189"/>
    <x v="3"/>
    <x v="0"/>
    <x v="0"/>
    <n v="505.49"/>
    <n v="11.09"/>
    <n v="33.56"/>
    <n v="1.6"/>
    <n v="0.4"/>
    <n v="27"/>
    <s v="A"/>
    <n v="3.8"/>
    <x v="1"/>
    <n v="62.29"/>
    <x v="1"/>
    <n v="8.64"/>
    <n v="13.41"/>
    <n v="4367.4336000000003"/>
    <n v="6778.6208999999999"/>
    <n v="2411.1872999999996"/>
    <n v="0.35570469798657711"/>
    <n v="19.20862"/>
  </r>
  <r>
    <s v="BATCH00190"/>
    <x v="0"/>
    <x v="2"/>
    <x v="0"/>
    <n v="429.04"/>
    <n v="12.48"/>
    <n v="28.29"/>
    <n v="0.5"/>
    <n v="0.6"/>
    <n v="16"/>
    <s v="A"/>
    <n v="4.72"/>
    <x v="1"/>
    <n v="78.63"/>
    <x v="1"/>
    <n v="3.19"/>
    <n v="12.46"/>
    <n v="1368.6376"/>
    <n v="5345.8384000000005"/>
    <n v="3977.2008000000005"/>
    <n v="0.74398073836276091"/>
    <n v="20.250688"/>
  </r>
  <r>
    <s v="BATCH00191"/>
    <x v="0"/>
    <x v="3"/>
    <x v="1"/>
    <n v="374.15"/>
    <n v="12.05"/>
    <n v="33.79"/>
    <n v="2.7"/>
    <n v="2.6"/>
    <n v="24"/>
    <s v="A"/>
    <n v="0.62"/>
    <x v="1"/>
    <n v="97.68"/>
    <x v="0"/>
    <n v="7.6"/>
    <n v="7.8"/>
    <n v="2843.5399999999995"/>
    <n v="2918.37"/>
    <n v="74.830000000000382"/>
    <n v="2.5641025641025772E-2"/>
    <n v="2.3197299999999998"/>
  </r>
  <r>
    <s v="BATCH00192"/>
    <x v="2"/>
    <x v="2"/>
    <x v="0"/>
    <n v="478.3"/>
    <n v="17.84"/>
    <n v="26.88"/>
    <n v="1.5"/>
    <n v="2.2999999999999998"/>
    <n v="13"/>
    <s v="A"/>
    <n v="1.76"/>
    <x v="0"/>
    <n v="86.79"/>
    <x v="1"/>
    <n v="3.55"/>
    <n v="11.4"/>
    <n v="1697.9649999999999"/>
    <n v="5452.62"/>
    <n v="3754.6549999999997"/>
    <n v="0.6885964912280701"/>
    <n v="8.4180799999999998"/>
  </r>
  <r>
    <s v="BATCH00193"/>
    <x v="0"/>
    <x v="3"/>
    <x v="1"/>
    <n v="469.15"/>
    <n v="10.92"/>
    <n v="25.55"/>
    <n v="3.3"/>
    <n v="0.1"/>
    <n v="19"/>
    <s v="B"/>
    <n v="8.57"/>
    <x v="1"/>
    <n v="84.42"/>
    <x v="0"/>
    <n v="4.76"/>
    <n v="8.16"/>
    <n v="2233.154"/>
    <n v="3828.2639999999997"/>
    <n v="1595.1099999999997"/>
    <n v="0.41666666666666663"/>
    <n v="40.206154999999995"/>
  </r>
  <r>
    <s v="BATCH00194"/>
    <x v="0"/>
    <x v="3"/>
    <x v="1"/>
    <n v="742.67"/>
    <n v="10.95"/>
    <n v="39.93"/>
    <n v="3"/>
    <n v="0.1"/>
    <n v="27"/>
    <s v="B"/>
    <n v="9.7899999999999991"/>
    <x v="0"/>
    <n v="87.75"/>
    <x v="0"/>
    <n v="8.0500000000000007"/>
    <n v="9.51"/>
    <n v="5978.4935000000005"/>
    <n v="7062.7916999999998"/>
    <n v="1084.2981999999993"/>
    <n v="0.15352260778128277"/>
    <n v="72.707392999999996"/>
  </r>
  <r>
    <s v="BATCH00195"/>
    <x v="3"/>
    <x v="2"/>
    <x v="0"/>
    <n v="543.29999999999995"/>
    <n v="11.55"/>
    <n v="35.020000000000003"/>
    <n v="0.5"/>
    <n v="0.7"/>
    <n v="18"/>
    <s v="C"/>
    <n v="2"/>
    <x v="0"/>
    <n v="66.13"/>
    <x v="0"/>
    <n v="4.96"/>
    <n v="8.82"/>
    <n v="2694.7679999999996"/>
    <n v="4791.9059999999999"/>
    <n v="2097.1380000000004"/>
    <n v="0.43764172335600915"/>
    <n v="10.866"/>
  </r>
  <r>
    <s v="BATCH00196"/>
    <x v="3"/>
    <x v="0"/>
    <x v="1"/>
    <n v="362.24"/>
    <n v="13.65"/>
    <n v="32.89"/>
    <n v="2.5"/>
    <n v="0.1"/>
    <n v="21"/>
    <s v="C"/>
    <n v="5.59"/>
    <x v="0"/>
    <n v="86.46"/>
    <x v="2"/>
    <n v="6.58"/>
    <n v="14.14"/>
    <n v="2383.5392000000002"/>
    <n v="5122.0736000000006"/>
    <n v="2738.5344000000005"/>
    <n v="0.53465346534653468"/>
    <n v="20.249216000000001"/>
  </r>
  <r>
    <s v="BATCH00197"/>
    <x v="1"/>
    <x v="1"/>
    <x v="1"/>
    <n v="443.52"/>
    <n v="10.52"/>
    <n v="27.11"/>
    <n v="3.2"/>
    <n v="0.4"/>
    <n v="12"/>
    <s v="A"/>
    <n v="9.68"/>
    <x v="0"/>
    <n v="61.64"/>
    <x v="2"/>
    <n v="9.41"/>
    <n v="7.34"/>
    <n v="4173.5231999999996"/>
    <n v="3255.4367999999999"/>
    <n v="-918.08639999999968"/>
    <n v="-0.28201634877384185"/>
    <n v="42.932735999999998"/>
  </r>
  <r>
    <s v="BATCH00198"/>
    <x v="2"/>
    <x v="2"/>
    <x v="1"/>
    <n v="602.14"/>
    <n v="17.149999999999999"/>
    <n v="20.98"/>
    <n v="0.8"/>
    <n v="0.2"/>
    <n v="28"/>
    <s v="B"/>
    <n v="1.99"/>
    <x v="0"/>
    <n v="71.41"/>
    <x v="2"/>
    <n v="3.35"/>
    <n v="10.78"/>
    <n v="2017.1690000000001"/>
    <n v="6491.0691999999999"/>
    <n v="4473.9002"/>
    <n v="0.68923933209647492"/>
    <n v="11.982586"/>
  </r>
  <r>
    <s v="BATCH00199"/>
    <x v="0"/>
    <x v="3"/>
    <x v="1"/>
    <n v="708.84"/>
    <n v="10.66"/>
    <n v="20.62"/>
    <n v="0.4"/>
    <n v="1"/>
    <n v="29"/>
    <s v="C"/>
    <n v="2.27"/>
    <x v="1"/>
    <n v="94.5"/>
    <x v="2"/>
    <n v="8.68"/>
    <n v="8.61"/>
    <n v="6152.7312000000002"/>
    <n v="6103.1124"/>
    <n v="-49.618800000000192"/>
    <n v="-8.1300813008130402E-3"/>
    <n v="16.090668000000001"/>
  </r>
  <r>
    <s v="BATCH00200"/>
    <x v="0"/>
    <x v="3"/>
    <x v="0"/>
    <n v="341.4"/>
    <n v="16.96"/>
    <n v="31.08"/>
    <n v="0"/>
    <n v="3"/>
    <n v="12"/>
    <s v="C"/>
    <n v="9.3000000000000007"/>
    <x v="0"/>
    <n v="50.95"/>
    <x v="0"/>
    <n v="3.46"/>
    <n v="11.63"/>
    <n v="1181.2439999999999"/>
    <n v="3970.482"/>
    <n v="2789.2380000000003"/>
    <n v="0.70249355116079115"/>
    <n v="31.7502"/>
  </r>
  <r>
    <s v="BATCH00201"/>
    <x v="1"/>
    <x v="2"/>
    <x v="0"/>
    <n v="312.01"/>
    <n v="9.0299999999999994"/>
    <n v="35.24"/>
    <n v="1.2"/>
    <n v="5.7"/>
    <n v="1"/>
    <s v="C"/>
    <n v="7.2"/>
    <x v="0"/>
    <n v="70.72"/>
    <x v="2"/>
    <n v="3.89"/>
    <n v="10.65"/>
    <n v="1213.7189000000001"/>
    <n v="3322.9065000000001"/>
    <n v="2109.1876000000002"/>
    <n v="0.63474178403755876"/>
    <n v="22.464720000000003"/>
  </r>
  <r>
    <s v="BATCH00202"/>
    <x v="0"/>
    <x v="0"/>
    <x v="0"/>
    <n v="687.1"/>
    <n v="14.57"/>
    <n v="30.75"/>
    <n v="0.9"/>
    <n v="0.5"/>
    <n v="20"/>
    <s v="C"/>
    <n v="1.94"/>
    <x v="0"/>
    <n v="63.34"/>
    <x v="1"/>
    <n v="3.84"/>
    <n v="14.24"/>
    <n v="2638.4639999999999"/>
    <n v="9784.3040000000001"/>
    <n v="7145.84"/>
    <n v="0.7303370786516854"/>
    <n v="13.329739999999999"/>
  </r>
  <r>
    <s v="BATCH00203"/>
    <x v="2"/>
    <x v="0"/>
    <x v="0"/>
    <n v="538.96"/>
    <n v="17.07"/>
    <n v="36.82"/>
    <n v="1.6"/>
    <n v="0.9"/>
    <n v="8"/>
    <s v="A"/>
    <n v="4.24"/>
    <x v="0"/>
    <n v="59.93"/>
    <x v="1"/>
    <n v="9.9600000000000009"/>
    <n v="6.02"/>
    <n v="5368.0416000000005"/>
    <n v="3244.5392000000002"/>
    <n v="-2123.5024000000003"/>
    <n v="-0.65448504983388711"/>
    <n v="22.851904000000005"/>
  </r>
  <r>
    <s v="BATCH00204"/>
    <x v="1"/>
    <x v="3"/>
    <x v="0"/>
    <n v="413.17"/>
    <n v="9.69"/>
    <n v="20.67"/>
    <n v="0.4"/>
    <n v="1.9"/>
    <n v="17"/>
    <s v="B"/>
    <n v="1.03"/>
    <x v="0"/>
    <n v="91.93"/>
    <x v="2"/>
    <n v="4.26"/>
    <n v="7.21"/>
    <n v="1760.1042"/>
    <n v="2978.9557"/>
    <n v="1218.8515"/>
    <n v="0.40915395284327322"/>
    <n v="4.2556510000000003"/>
  </r>
  <r>
    <s v="BATCH00205"/>
    <x v="2"/>
    <x v="3"/>
    <x v="0"/>
    <n v="553.46"/>
    <n v="17.68"/>
    <n v="27.34"/>
    <n v="3.9"/>
    <n v="0.1"/>
    <n v="21"/>
    <s v="A"/>
    <n v="4.6100000000000003"/>
    <x v="0"/>
    <n v="84.82"/>
    <x v="1"/>
    <n v="9.2799999999999994"/>
    <n v="12.66"/>
    <n v="5136.1088"/>
    <n v="7006.8036000000002"/>
    <n v="1870.6948000000002"/>
    <n v="0.26698262243285942"/>
    <n v="25.514506000000001"/>
  </r>
  <r>
    <s v="BATCH00206"/>
    <x v="1"/>
    <x v="0"/>
    <x v="0"/>
    <n v="236.43"/>
    <n v="12.53"/>
    <n v="24.74"/>
    <n v="0.6"/>
    <n v="1.2"/>
    <n v="28"/>
    <s v="C"/>
    <n v="7.89"/>
    <x v="1"/>
    <n v="55.63"/>
    <x v="1"/>
    <n v="9.94"/>
    <n v="8.69"/>
    <n v="2350.1142"/>
    <n v="2054.5767000000001"/>
    <n v="-295.53749999999991"/>
    <n v="-0.14384349827387796"/>
    <n v="18.654327000000002"/>
  </r>
  <r>
    <s v="BATCH00207"/>
    <x v="1"/>
    <x v="1"/>
    <x v="0"/>
    <n v="500.34"/>
    <n v="17.46"/>
    <n v="28.95"/>
    <n v="0.5"/>
    <n v="0.5"/>
    <n v="20"/>
    <s v="C"/>
    <n v="5.76"/>
    <x v="0"/>
    <n v="74.72"/>
    <x v="2"/>
    <n v="5.69"/>
    <n v="6.66"/>
    <n v="2846.9346"/>
    <n v="3332.2644"/>
    <n v="485.32979999999998"/>
    <n v="0.14564564564564564"/>
    <n v="28.819583999999995"/>
  </r>
  <r>
    <s v="BATCH00208"/>
    <x v="3"/>
    <x v="2"/>
    <x v="0"/>
    <n v="532.78"/>
    <n v="14.77"/>
    <n v="21.45"/>
    <n v="1.3"/>
    <n v="0.2"/>
    <n v="22"/>
    <s v="B"/>
    <n v="6.65"/>
    <x v="0"/>
    <n v="73.349999999999994"/>
    <x v="0"/>
    <n v="7.42"/>
    <n v="10.029999999999999"/>
    <n v="3953.2275999999997"/>
    <n v="5343.7833999999993"/>
    <n v="1390.5557999999996"/>
    <n v="0.26021934197407776"/>
    <n v="35.429870000000001"/>
  </r>
  <r>
    <s v="BATCH00209"/>
    <x v="2"/>
    <x v="3"/>
    <x v="0"/>
    <n v="592.42999999999995"/>
    <n v="11.02"/>
    <n v="39.08"/>
    <n v="1.4"/>
    <n v="0.5"/>
    <n v="7"/>
    <s v="B"/>
    <n v="3.6"/>
    <x v="1"/>
    <n v="57.13"/>
    <x v="0"/>
    <n v="8.4499999999999993"/>
    <n v="11.52"/>
    <n v="5006.0334999999995"/>
    <n v="6824.7935999999991"/>
    <n v="1818.7600999999995"/>
    <n v="0.26649305555555552"/>
    <n v="21.327480000000001"/>
  </r>
  <r>
    <s v="BATCH00210"/>
    <x v="0"/>
    <x v="3"/>
    <x v="1"/>
    <n v="398.61"/>
    <n v="9.8800000000000008"/>
    <n v="24.47"/>
    <n v="0.5"/>
    <n v="0.1"/>
    <n v="9"/>
    <s v="A"/>
    <n v="2.0299999999999998"/>
    <x v="1"/>
    <n v="89.99"/>
    <x v="0"/>
    <n v="5.75"/>
    <n v="5.45"/>
    <n v="2292.0075000000002"/>
    <n v="2172.4245000000001"/>
    <n v="-119.58300000000008"/>
    <n v="-5.5045871559633065E-2"/>
    <n v="8.0917829999999995"/>
  </r>
  <r>
    <s v="BATCH00211"/>
    <x v="0"/>
    <x v="0"/>
    <x v="0"/>
    <n v="508.57"/>
    <n v="11.04"/>
    <n v="38.450000000000003"/>
    <n v="0.6"/>
    <n v="1.2"/>
    <n v="17"/>
    <s v="B"/>
    <n v="0.62"/>
    <x v="2"/>
    <n v="68.33"/>
    <x v="2"/>
    <n v="4.13"/>
    <n v="7.92"/>
    <n v="2100.3941"/>
    <n v="4027.8743999999997"/>
    <n v="1927.4802999999997"/>
    <n v="0.47853535353535348"/>
    <n v="3.1531340000000001"/>
  </r>
  <r>
    <s v="BATCH00212"/>
    <x v="2"/>
    <x v="2"/>
    <x v="1"/>
    <n v="407.46"/>
    <n v="8.93"/>
    <n v="28.52"/>
    <n v="0.4"/>
    <n v="0.3"/>
    <n v="27"/>
    <s v="A"/>
    <n v="8.3000000000000007"/>
    <x v="1"/>
    <n v="88.1"/>
    <x v="0"/>
    <n v="6.04"/>
    <n v="13.09"/>
    <n v="2461.0583999999999"/>
    <n v="5333.6513999999997"/>
    <n v="2872.5929999999998"/>
    <n v="0.53857906799083266"/>
    <n v="33.819180000000003"/>
  </r>
  <r>
    <s v="BATCH00213"/>
    <x v="0"/>
    <x v="0"/>
    <x v="1"/>
    <n v="525.54"/>
    <n v="9.44"/>
    <n v="39.71"/>
    <n v="2.5"/>
    <n v="0.4"/>
    <n v="10"/>
    <s v="A"/>
    <n v="6.55"/>
    <x v="1"/>
    <n v="59.6"/>
    <x v="0"/>
    <n v="8.4"/>
    <n v="10.199999999999999"/>
    <n v="4414.5360000000001"/>
    <n v="5360.5079999999989"/>
    <n v="945.97199999999884"/>
    <n v="0.17647058823529393"/>
    <n v="34.422869999999996"/>
  </r>
  <r>
    <s v="BATCH00214"/>
    <x v="0"/>
    <x v="2"/>
    <x v="1"/>
    <n v="410.47"/>
    <n v="9.0500000000000007"/>
    <n v="31.08"/>
    <n v="2.9"/>
    <n v="0.1"/>
    <n v="4"/>
    <s v="C"/>
    <n v="2.68"/>
    <x v="0"/>
    <n v="65.75"/>
    <x v="1"/>
    <n v="8.4700000000000006"/>
    <n v="5.35"/>
    <n v="3476.6809000000003"/>
    <n v="2196.0145000000002"/>
    <n v="-1280.6664000000001"/>
    <n v="-0.58317757009345794"/>
    <n v="11.000596"/>
  </r>
  <r>
    <s v="BATCH00215"/>
    <x v="2"/>
    <x v="2"/>
    <x v="1"/>
    <n v="459.19"/>
    <n v="12.23"/>
    <n v="38.619999999999997"/>
    <n v="1.2"/>
    <n v="2"/>
    <n v="22"/>
    <s v="A"/>
    <n v="4.4800000000000004"/>
    <x v="2"/>
    <n v="54.76"/>
    <x v="0"/>
    <n v="4.6100000000000003"/>
    <n v="7.82"/>
    <n v="2116.8659000000002"/>
    <n v="3590.8658"/>
    <n v="1473.9998999999998"/>
    <n v="0.41048593350383628"/>
    <n v="20.571712000000002"/>
  </r>
  <r>
    <s v="BATCH00216"/>
    <x v="1"/>
    <x v="2"/>
    <x v="0"/>
    <n v="400.42"/>
    <n v="15.96"/>
    <n v="20.11"/>
    <n v="2.5"/>
    <n v="0.7"/>
    <n v="26"/>
    <s v="C"/>
    <n v="8.11"/>
    <x v="0"/>
    <n v="57.17"/>
    <x v="2"/>
    <n v="4.22"/>
    <n v="11.39"/>
    <n v="1689.7724000000001"/>
    <n v="4560.7838000000002"/>
    <n v="2871.0114000000003"/>
    <n v="0.62949956101843729"/>
    <n v="32.474061999999996"/>
  </r>
  <r>
    <s v="BATCH00217"/>
    <x v="2"/>
    <x v="3"/>
    <x v="1"/>
    <n v="565.11"/>
    <n v="9.41"/>
    <n v="34.96"/>
    <n v="2.7"/>
    <n v="0.8"/>
    <n v="7"/>
    <s v="A"/>
    <n v="5.62"/>
    <x v="2"/>
    <n v="94.16"/>
    <x v="0"/>
    <n v="9.44"/>
    <n v="6.99"/>
    <n v="5334.6383999999998"/>
    <n v="3950.1189000000004"/>
    <n v="-1384.5194999999994"/>
    <n v="-0.35050071530758209"/>
    <n v="31.759181999999999"/>
  </r>
  <r>
    <s v="BATCH00218"/>
    <x v="1"/>
    <x v="1"/>
    <x v="0"/>
    <n v="585.85"/>
    <n v="9.3000000000000007"/>
    <n v="38.06"/>
    <n v="0.3"/>
    <n v="0.8"/>
    <n v="7"/>
    <s v="A"/>
    <n v="3.35"/>
    <x v="0"/>
    <n v="55.46"/>
    <x v="1"/>
    <n v="3.31"/>
    <n v="13.27"/>
    <n v="1939.1635000000001"/>
    <n v="7774.2295000000004"/>
    <n v="5835.0660000000007"/>
    <n v="0.75056518462697819"/>
    <n v="19.625975"/>
  </r>
  <r>
    <s v="BATCH00219"/>
    <x v="0"/>
    <x v="0"/>
    <x v="0"/>
    <n v="476.54"/>
    <n v="14.43"/>
    <n v="22.79"/>
    <n v="6.8"/>
    <n v="0.5"/>
    <n v="8"/>
    <s v="B"/>
    <n v="3.04"/>
    <x v="1"/>
    <n v="54.79"/>
    <x v="1"/>
    <n v="8.14"/>
    <n v="11.77"/>
    <n v="3879.0356000000006"/>
    <n v="5608.8757999999998"/>
    <n v="1729.8401999999992"/>
    <n v="0.3084112149532709"/>
    <n v="14.486816000000001"/>
  </r>
  <r>
    <s v="BATCH00220"/>
    <x v="0"/>
    <x v="1"/>
    <x v="1"/>
    <n v="503.82"/>
    <n v="9.9700000000000006"/>
    <n v="21.92"/>
    <n v="3.4"/>
    <n v="0.2"/>
    <n v="26"/>
    <s v="B"/>
    <n v="2.57"/>
    <x v="1"/>
    <n v="97.02"/>
    <x v="1"/>
    <n v="3.32"/>
    <n v="9.7100000000000009"/>
    <n v="1672.6823999999999"/>
    <n v="4892.0922"/>
    <n v="3219.4098000000004"/>
    <n v="0.65808444902162722"/>
    <n v="12.948174"/>
  </r>
  <r>
    <s v="BATCH00221"/>
    <x v="0"/>
    <x v="0"/>
    <x v="0"/>
    <n v="355.14"/>
    <n v="8.98"/>
    <n v="28.49"/>
    <n v="0.5"/>
    <n v="1.4"/>
    <n v="24"/>
    <s v="C"/>
    <n v="8.33"/>
    <x v="2"/>
    <n v="82.3"/>
    <x v="1"/>
    <n v="8.8699999999999992"/>
    <n v="14.16"/>
    <n v="3150.0917999999997"/>
    <n v="5028.7824000000001"/>
    <n v="1878.6906000000004"/>
    <n v="0.37358757062146897"/>
    <n v="29.583161999999998"/>
  </r>
  <r>
    <s v="BATCH00222"/>
    <x v="3"/>
    <x v="2"/>
    <x v="1"/>
    <n v="470.03"/>
    <n v="9.67"/>
    <n v="38.67"/>
    <n v="0.4"/>
    <n v="0.1"/>
    <n v="24"/>
    <s v="B"/>
    <n v="6.03"/>
    <x v="0"/>
    <n v="55.05"/>
    <x v="0"/>
    <n v="9.34"/>
    <n v="8.92"/>
    <n v="4390.0801999999994"/>
    <n v="4192.6675999999998"/>
    <n v="-197.41259999999966"/>
    <n v="-4.7085201793721894E-2"/>
    <n v="28.342808999999999"/>
  </r>
  <r>
    <s v="BATCH00223"/>
    <x v="1"/>
    <x v="3"/>
    <x v="1"/>
    <n v="494.98"/>
    <n v="17.239999999999998"/>
    <n v="30.85"/>
    <n v="0.3"/>
    <n v="0.1"/>
    <n v="8"/>
    <s v="A"/>
    <n v="7.24"/>
    <x v="0"/>
    <n v="98.59"/>
    <x v="1"/>
    <n v="5.08"/>
    <n v="7.35"/>
    <n v="2514.4983999999999"/>
    <n v="3638.1030000000001"/>
    <n v="1123.6046000000001"/>
    <n v="0.30884353741496601"/>
    <n v="35.836552000000005"/>
  </r>
  <r>
    <s v="BATCH00224"/>
    <x v="3"/>
    <x v="1"/>
    <x v="0"/>
    <n v="762.08"/>
    <n v="16.21"/>
    <n v="30.55"/>
    <n v="0.3"/>
    <n v="1.2"/>
    <n v="16"/>
    <s v="C"/>
    <n v="8.67"/>
    <x v="1"/>
    <n v="57.36"/>
    <x v="1"/>
    <n v="3.52"/>
    <n v="11.61"/>
    <n v="2682.5216"/>
    <n v="8847.7487999999994"/>
    <n v="6165.2271999999994"/>
    <n v="0.69681309216192933"/>
    <n v="66.072336000000007"/>
  </r>
  <r>
    <s v="BATCH00225"/>
    <x v="3"/>
    <x v="3"/>
    <x v="0"/>
    <n v="388.8"/>
    <n v="11.54"/>
    <n v="22.82"/>
    <n v="2.8"/>
    <n v="0.2"/>
    <n v="12"/>
    <s v="C"/>
    <n v="9.8800000000000008"/>
    <x v="1"/>
    <n v="88.32"/>
    <x v="1"/>
    <n v="6.36"/>
    <n v="10.73"/>
    <n v="2472.768"/>
    <n v="4171.8240000000005"/>
    <n v="1699.0560000000005"/>
    <n v="0.40726933830382112"/>
    <n v="38.413440000000008"/>
  </r>
  <r>
    <s v="BATCH00226"/>
    <x v="2"/>
    <x v="0"/>
    <x v="1"/>
    <n v="646.41999999999996"/>
    <n v="14.56"/>
    <n v="20.02"/>
    <n v="1.3"/>
    <n v="0.4"/>
    <n v="15"/>
    <s v="C"/>
    <n v="2.87"/>
    <x v="2"/>
    <n v="51.74"/>
    <x v="0"/>
    <n v="5.09"/>
    <n v="8.35"/>
    <n v="3290.2777999999998"/>
    <n v="5397.6069999999991"/>
    <n v="2107.3291999999992"/>
    <n v="0.39041916167664664"/>
    <n v="18.552254000000001"/>
  </r>
  <r>
    <s v="BATCH00227"/>
    <x v="3"/>
    <x v="3"/>
    <x v="0"/>
    <n v="599.69000000000005"/>
    <n v="13.37"/>
    <n v="36.200000000000003"/>
    <n v="3.1"/>
    <n v="0.6"/>
    <n v="8"/>
    <s v="A"/>
    <n v="2.2200000000000002"/>
    <x v="1"/>
    <n v="81.23"/>
    <x v="2"/>
    <n v="5.92"/>
    <n v="8.44"/>
    <n v="3550.1648000000005"/>
    <n v="5061.3836000000001"/>
    <n v="1511.2187999999996"/>
    <n v="0.29857819905213262"/>
    <n v="13.313118000000001"/>
  </r>
  <r>
    <s v="BATCH00228"/>
    <x v="2"/>
    <x v="3"/>
    <x v="0"/>
    <n v="528.05999999999995"/>
    <n v="14.77"/>
    <n v="21.75"/>
    <n v="2.7"/>
    <n v="0.6"/>
    <n v="22"/>
    <s v="B"/>
    <n v="4.8899999999999997"/>
    <x v="2"/>
    <n v="77.34"/>
    <x v="1"/>
    <n v="7.65"/>
    <n v="8.98"/>
    <n v="4039.6589999999997"/>
    <n v="4741.9787999999999"/>
    <n v="702.31980000000021"/>
    <n v="0.1481069042316259"/>
    <n v="25.822133999999995"/>
  </r>
  <r>
    <s v="BATCH00229"/>
    <x v="2"/>
    <x v="1"/>
    <x v="0"/>
    <n v="675.86"/>
    <n v="14.83"/>
    <n v="32.68"/>
    <n v="1.9"/>
    <n v="1.2"/>
    <n v="9"/>
    <s v="C"/>
    <n v="0.83"/>
    <x v="2"/>
    <n v="60.4"/>
    <x v="1"/>
    <n v="4.47"/>
    <n v="7.91"/>
    <n v="3021.0942"/>
    <n v="5346.0526"/>
    <n v="2324.9584"/>
    <n v="0.43489254108723135"/>
    <n v="5.6096380000000003"/>
  </r>
  <r>
    <s v="BATCH00230"/>
    <x v="3"/>
    <x v="2"/>
    <x v="1"/>
    <n v="537.21"/>
    <n v="14.29"/>
    <n v="38.29"/>
    <n v="2.2999999999999998"/>
    <n v="1"/>
    <n v="3"/>
    <s v="A"/>
    <n v="8.02"/>
    <x v="2"/>
    <n v="82.16"/>
    <x v="1"/>
    <n v="5.5"/>
    <n v="12.1"/>
    <n v="2954.6550000000002"/>
    <n v="6500.241"/>
    <n v="3545.5859999999998"/>
    <n v="0.54545454545454541"/>
    <n v="43.084242000000003"/>
  </r>
  <r>
    <s v="BATCH00231"/>
    <x v="1"/>
    <x v="3"/>
    <x v="1"/>
    <n v="538.91999999999996"/>
    <n v="10.66"/>
    <n v="24.17"/>
    <n v="0"/>
    <n v="1"/>
    <n v="22"/>
    <s v="B"/>
    <n v="8.9"/>
    <x v="2"/>
    <n v="80.849999999999994"/>
    <x v="0"/>
    <n v="8.48"/>
    <n v="11.51"/>
    <n v="4570.0415999999996"/>
    <n v="6202.9691999999995"/>
    <n v="1632.9276"/>
    <n v="0.26324934839270203"/>
    <n v="47.963879999999996"/>
  </r>
  <r>
    <s v="BATCH00232"/>
    <x v="1"/>
    <x v="2"/>
    <x v="0"/>
    <n v="494.69"/>
    <n v="8.39"/>
    <n v="33.31"/>
    <n v="0.7"/>
    <n v="1.3"/>
    <n v="21"/>
    <s v="B"/>
    <n v="7.02"/>
    <x v="1"/>
    <n v="89.92"/>
    <x v="0"/>
    <n v="7.51"/>
    <n v="9.41"/>
    <n v="3715.1219000000001"/>
    <n v="4655.0329000000002"/>
    <n v="939.91100000000006"/>
    <n v="0.20191285866099895"/>
    <n v="34.727238"/>
  </r>
  <r>
    <s v="BATCH00233"/>
    <x v="1"/>
    <x v="0"/>
    <x v="0"/>
    <n v="622.36"/>
    <n v="12.56"/>
    <n v="21.57"/>
    <n v="2"/>
    <n v="0.3"/>
    <n v="16"/>
    <s v="C"/>
    <n v="3.05"/>
    <x v="2"/>
    <n v="93.79"/>
    <x v="1"/>
    <n v="5.28"/>
    <n v="8.98"/>
    <n v="3286.0608000000002"/>
    <n v="5588.7928000000002"/>
    <n v="2302.732"/>
    <n v="0.41202672605790647"/>
    <n v="18.98198"/>
  </r>
  <r>
    <s v="BATCH00234"/>
    <x v="1"/>
    <x v="3"/>
    <x v="0"/>
    <n v="609.65"/>
    <n v="16.91"/>
    <n v="32.08"/>
    <n v="0"/>
    <n v="0.4"/>
    <n v="15"/>
    <s v="A"/>
    <n v="1.67"/>
    <x v="1"/>
    <n v="75.510000000000005"/>
    <x v="2"/>
    <n v="7.65"/>
    <n v="8.65"/>
    <n v="4663.8225000000002"/>
    <n v="5273.4724999999999"/>
    <n v="609.64999999999964"/>
    <n v="0.1156069364161849"/>
    <n v="10.181154999999999"/>
  </r>
  <r>
    <s v="BATCH00235"/>
    <x v="1"/>
    <x v="1"/>
    <x v="0"/>
    <n v="437.43"/>
    <n v="13.69"/>
    <n v="23.28"/>
    <n v="0.1"/>
    <n v="0.6"/>
    <n v="24"/>
    <s v="B"/>
    <n v="4.13"/>
    <x v="2"/>
    <n v="74.510000000000005"/>
    <x v="1"/>
    <n v="8.36"/>
    <n v="7.83"/>
    <n v="3656.9148"/>
    <n v="3425.0769"/>
    <n v="-231.83789999999999"/>
    <n v="-6.7688378033205612E-2"/>
    <n v="18.065859"/>
  </r>
  <r>
    <s v="BATCH00236"/>
    <x v="3"/>
    <x v="0"/>
    <x v="0"/>
    <n v="368.08"/>
    <n v="16.32"/>
    <n v="34.72"/>
    <n v="3.8"/>
    <n v="0.4"/>
    <n v="4"/>
    <s v="A"/>
    <n v="8.42"/>
    <x v="1"/>
    <n v="81.08"/>
    <x v="2"/>
    <n v="7.15"/>
    <n v="5.86"/>
    <n v="2631.7719999999999"/>
    <n v="2156.9488000000001"/>
    <n v="-474.82319999999982"/>
    <n v="-0.22013651877133095"/>
    <n v="30.992336000000002"/>
  </r>
  <r>
    <s v="BATCH00237"/>
    <x v="3"/>
    <x v="0"/>
    <x v="1"/>
    <n v="479.7"/>
    <n v="17.920000000000002"/>
    <n v="26.02"/>
    <n v="2.2999999999999998"/>
    <n v="4.2"/>
    <n v="20"/>
    <s v="B"/>
    <n v="3.8"/>
    <x v="2"/>
    <n v="86.46"/>
    <x v="2"/>
    <n v="4.68"/>
    <n v="7.68"/>
    <n v="2244.9959999999996"/>
    <n v="3684.0959999999995"/>
    <n v="1439.1"/>
    <n v="0.390625"/>
    <n v="18.2286"/>
  </r>
  <r>
    <s v="BATCH00238"/>
    <x v="0"/>
    <x v="1"/>
    <x v="0"/>
    <n v="420"/>
    <n v="9.64"/>
    <n v="29.27"/>
    <n v="0.6"/>
    <n v="1.7"/>
    <n v="29"/>
    <s v="C"/>
    <n v="0.83"/>
    <x v="1"/>
    <n v="67.81"/>
    <x v="0"/>
    <n v="3"/>
    <n v="8.2100000000000009"/>
    <n v="1260"/>
    <n v="3448.2000000000003"/>
    <n v="2188.2000000000003"/>
    <n v="0.63459196102314253"/>
    <n v="3.4859999999999998"/>
  </r>
  <r>
    <s v="BATCH00239"/>
    <x v="1"/>
    <x v="3"/>
    <x v="1"/>
    <n v="493.65"/>
    <n v="14.92"/>
    <n v="31.99"/>
    <n v="2.2999999999999998"/>
    <n v="0.2"/>
    <n v="16"/>
    <s v="C"/>
    <n v="3.11"/>
    <x v="0"/>
    <n v="75.23"/>
    <x v="0"/>
    <n v="8.6199999999999992"/>
    <n v="10.48"/>
    <n v="4255.262999999999"/>
    <n v="5173.4520000000002"/>
    <n v="918.18900000000122"/>
    <n v="0.17748091603053459"/>
    <n v="15.352514999999999"/>
  </r>
  <r>
    <s v="BATCH00240"/>
    <x v="3"/>
    <x v="3"/>
    <x v="0"/>
    <n v="623.74"/>
    <n v="14.74"/>
    <n v="23.43"/>
    <n v="3.1"/>
    <n v="0"/>
    <n v="10"/>
    <s v="B"/>
    <n v="9.9"/>
    <x v="2"/>
    <n v="79.260000000000005"/>
    <x v="0"/>
    <n v="8.76"/>
    <n v="12.74"/>
    <n v="5463.9624000000003"/>
    <n v="7946.4476000000004"/>
    <n v="2482.4852000000001"/>
    <n v="0.31240188383045525"/>
    <n v="61.750260000000004"/>
  </r>
  <r>
    <s v="BATCH00241"/>
    <x v="0"/>
    <x v="0"/>
    <x v="1"/>
    <n v="454.27"/>
    <n v="17.8"/>
    <n v="34.83"/>
    <n v="0.7"/>
    <n v="0"/>
    <n v="11"/>
    <s v="A"/>
    <n v="6.93"/>
    <x v="2"/>
    <n v="99.42"/>
    <x v="2"/>
    <n v="7.88"/>
    <n v="8.9600000000000009"/>
    <n v="3579.6475999999998"/>
    <n v="4070.2592000000004"/>
    <n v="490.61160000000064"/>
    <n v="0.12053571428571443"/>
    <n v="31.480910999999995"/>
  </r>
  <r>
    <s v="BATCH00242"/>
    <x v="1"/>
    <x v="3"/>
    <x v="0"/>
    <n v="495.72"/>
    <n v="17.86"/>
    <n v="26.05"/>
    <n v="0.1"/>
    <n v="0.3"/>
    <n v="26"/>
    <s v="B"/>
    <n v="9.06"/>
    <x v="0"/>
    <n v="79.39"/>
    <x v="2"/>
    <n v="3.54"/>
    <n v="14.45"/>
    <n v="1754.8488000000002"/>
    <n v="7163.1540000000005"/>
    <n v="5408.3052000000007"/>
    <n v="0.75501730103806231"/>
    <n v="44.912232000000003"/>
  </r>
  <r>
    <s v="BATCH00243"/>
    <x v="2"/>
    <x v="2"/>
    <x v="1"/>
    <n v="505.8"/>
    <n v="14.87"/>
    <n v="33.25"/>
    <n v="5.4"/>
    <n v="0.1"/>
    <n v="29"/>
    <s v="A"/>
    <n v="7.86"/>
    <x v="0"/>
    <n v="61.21"/>
    <x v="2"/>
    <n v="7.1"/>
    <n v="13.27"/>
    <n v="3591.18"/>
    <n v="6711.9660000000003"/>
    <n v="3120.7860000000005"/>
    <n v="0.46495855312735501"/>
    <n v="39.755880000000005"/>
  </r>
  <r>
    <s v="BATCH00244"/>
    <x v="0"/>
    <x v="1"/>
    <x v="0"/>
    <n v="584.84"/>
    <n v="10.44"/>
    <n v="23.17"/>
    <n v="0.8"/>
    <n v="0.8"/>
    <n v="5"/>
    <s v="B"/>
    <n v="5.63"/>
    <x v="2"/>
    <n v="79.400000000000006"/>
    <x v="0"/>
    <n v="8.75"/>
    <n v="14.85"/>
    <n v="5117.3500000000004"/>
    <n v="8684.8739999999998"/>
    <n v="3567.5239999999994"/>
    <n v="0.41077441077441074"/>
    <n v="32.926492000000003"/>
  </r>
  <r>
    <s v="BATCH00245"/>
    <x v="3"/>
    <x v="2"/>
    <x v="1"/>
    <n v="275.31"/>
    <n v="15.99"/>
    <n v="33.76"/>
    <n v="0.2"/>
    <n v="2"/>
    <n v="11"/>
    <s v="C"/>
    <n v="1.91"/>
    <x v="1"/>
    <n v="90.97"/>
    <x v="0"/>
    <n v="5.73"/>
    <n v="13.76"/>
    <n v="1577.5263000000002"/>
    <n v="3788.2656000000002"/>
    <n v="2210.7393000000002"/>
    <n v="0.58357558139534882"/>
    <n v="5.2584209999999993"/>
  </r>
  <r>
    <s v="BATCH00246"/>
    <x v="2"/>
    <x v="3"/>
    <x v="1"/>
    <n v="439.33"/>
    <n v="9.07"/>
    <n v="22.56"/>
    <n v="1.4"/>
    <n v="1.3"/>
    <n v="29"/>
    <s v="A"/>
    <n v="3.81"/>
    <x v="2"/>
    <n v="92.87"/>
    <x v="0"/>
    <n v="4.3899999999999997"/>
    <n v="11.17"/>
    <n v="1928.6586999999997"/>
    <n v="4907.3161"/>
    <n v="2978.6574000000001"/>
    <n v="0.60698299015219337"/>
    <n v="16.738472999999999"/>
  </r>
  <r>
    <s v="BATCH00247"/>
    <x v="2"/>
    <x v="0"/>
    <x v="1"/>
    <n v="521.13"/>
    <n v="15.81"/>
    <n v="28.51"/>
    <n v="2.9"/>
    <n v="0.2"/>
    <n v="13"/>
    <s v="C"/>
    <n v="6.05"/>
    <x v="1"/>
    <n v="90.01"/>
    <x v="1"/>
    <n v="7.11"/>
    <n v="10.98"/>
    <n v="3705.2343000000001"/>
    <n v="5722.0074000000004"/>
    <n v="2016.7731000000003"/>
    <n v="0.35245901639344268"/>
    <n v="31.528364999999997"/>
  </r>
  <r>
    <s v="BATCH00248"/>
    <x v="2"/>
    <x v="1"/>
    <x v="1"/>
    <n v="620.01"/>
    <n v="17.100000000000001"/>
    <n v="24.94"/>
    <n v="0.5"/>
    <n v="0.5"/>
    <n v="15"/>
    <s v="A"/>
    <n v="8.77"/>
    <x v="0"/>
    <n v="94.41"/>
    <x v="2"/>
    <n v="8.7799999999999994"/>
    <n v="6.3"/>
    <n v="5443.6877999999997"/>
    <n v="3906.0629999999996"/>
    <n v="-1537.6248000000001"/>
    <n v="-0.3936507936507937"/>
    <n v="54.374876999999998"/>
  </r>
  <r>
    <s v="BATCH00249"/>
    <x v="0"/>
    <x v="3"/>
    <x v="1"/>
    <n v="450.81"/>
    <n v="11.83"/>
    <n v="34.97"/>
    <n v="0.6"/>
    <n v="0.7"/>
    <n v="6"/>
    <s v="B"/>
    <n v="3.05"/>
    <x v="1"/>
    <n v="66.739999999999995"/>
    <x v="2"/>
    <n v="3.34"/>
    <n v="12.22"/>
    <n v="1505.7054000000001"/>
    <n v="5508.8982000000005"/>
    <n v="4003.1928000000007"/>
    <n v="0.72667757774140762"/>
    <n v="13.749704999999999"/>
  </r>
  <r>
    <s v="BATCH00250"/>
    <x v="3"/>
    <x v="3"/>
    <x v="1"/>
    <n v="312.33999999999997"/>
    <n v="14.31"/>
    <n v="25.24"/>
    <n v="0.6"/>
    <n v="1.7"/>
    <n v="16"/>
    <s v="C"/>
    <n v="1.65"/>
    <x v="2"/>
    <n v="75.38"/>
    <x v="1"/>
    <n v="7.18"/>
    <n v="11"/>
    <n v="2242.6011999999996"/>
    <n v="3435.74"/>
    <n v="1193.1388000000002"/>
    <n v="0.34727272727272734"/>
    <n v="5.1536099999999987"/>
  </r>
  <r>
    <s v="BATCH00251"/>
    <x v="2"/>
    <x v="0"/>
    <x v="0"/>
    <n v="561.97"/>
    <n v="12.3"/>
    <n v="37.630000000000003"/>
    <n v="9.6"/>
    <n v="1.8"/>
    <n v="15"/>
    <s v="C"/>
    <n v="5.81"/>
    <x v="0"/>
    <n v="88.98"/>
    <x v="2"/>
    <n v="7.5"/>
    <n v="10.07"/>
    <n v="4214.7750000000005"/>
    <n v="5659.0379000000003"/>
    <n v="1444.2628999999997"/>
    <n v="0.25521350546176758"/>
    <n v="32.650457000000003"/>
  </r>
  <r>
    <s v="BATCH00252"/>
    <x v="1"/>
    <x v="0"/>
    <x v="1"/>
    <n v="436.46"/>
    <n v="12.38"/>
    <n v="37.840000000000003"/>
    <n v="0.4"/>
    <n v="2.4"/>
    <n v="11"/>
    <s v="A"/>
    <n v="2.1800000000000002"/>
    <x v="0"/>
    <n v="63.22"/>
    <x v="2"/>
    <n v="7.22"/>
    <n v="11.93"/>
    <n v="3151.2411999999999"/>
    <n v="5206.9677999999994"/>
    <n v="2055.7265999999995"/>
    <n v="0.39480301760268227"/>
    <n v="9.5148279999999996"/>
  </r>
  <r>
    <s v="BATCH00253"/>
    <x v="2"/>
    <x v="2"/>
    <x v="0"/>
    <n v="381.03"/>
    <n v="11.1"/>
    <n v="23.93"/>
    <n v="1.7"/>
    <n v="0.7"/>
    <n v="20"/>
    <s v="A"/>
    <n v="6.3"/>
    <x v="2"/>
    <n v="68.58"/>
    <x v="1"/>
    <n v="7.55"/>
    <n v="9.44"/>
    <n v="2876.7764999999999"/>
    <n v="3596.9231999999997"/>
    <n v="720.14669999999978"/>
    <n v="0.20021186440677963"/>
    <n v="24.004889999999996"/>
  </r>
  <r>
    <s v="BATCH00254"/>
    <x v="2"/>
    <x v="1"/>
    <x v="0"/>
    <n v="437.57"/>
    <n v="15.62"/>
    <n v="32.28"/>
    <n v="5.2"/>
    <n v="1.2"/>
    <n v="2"/>
    <s v="A"/>
    <n v="3"/>
    <x v="2"/>
    <n v="91.56"/>
    <x v="2"/>
    <n v="7.42"/>
    <n v="10.24"/>
    <n v="3246.7694000000001"/>
    <n v="4480.7168000000001"/>
    <n v="1233.9474"/>
    <n v="0.275390625"/>
    <n v="13.1271"/>
  </r>
  <r>
    <s v="BATCH00255"/>
    <x v="0"/>
    <x v="1"/>
    <x v="0"/>
    <n v="481.55"/>
    <n v="17.36"/>
    <n v="21.75"/>
    <n v="0.3"/>
    <n v="0.1"/>
    <n v="28"/>
    <s v="C"/>
    <n v="2.69"/>
    <x v="0"/>
    <n v="88.5"/>
    <x v="0"/>
    <n v="3.91"/>
    <n v="8.98"/>
    <n v="1882.8605"/>
    <n v="4324.3190000000004"/>
    <n v="2441.4585000000006"/>
    <n v="0.56458797327394217"/>
    <n v="12.953695"/>
  </r>
  <r>
    <s v="BATCH00256"/>
    <x v="0"/>
    <x v="0"/>
    <x v="0"/>
    <n v="439.53"/>
    <n v="17.41"/>
    <n v="27.83"/>
    <n v="7.1"/>
    <n v="0.8"/>
    <n v="28"/>
    <s v="B"/>
    <n v="4.29"/>
    <x v="1"/>
    <n v="98.56"/>
    <x v="1"/>
    <n v="4.6399999999999997"/>
    <n v="12.17"/>
    <n v="2039.4191999999998"/>
    <n v="5349.0800999999992"/>
    <n v="3309.6608999999994"/>
    <n v="0.61873459326211999"/>
    <n v="18.855836999999998"/>
  </r>
  <r>
    <s v="BATCH00257"/>
    <x v="3"/>
    <x v="2"/>
    <x v="0"/>
    <n v="279.44"/>
    <n v="9.75"/>
    <n v="34.270000000000003"/>
    <n v="5.9"/>
    <n v="0.3"/>
    <n v="2"/>
    <s v="A"/>
    <n v="6.14"/>
    <x v="1"/>
    <n v="99.8"/>
    <x v="2"/>
    <n v="7.33"/>
    <n v="13.77"/>
    <n v="2048.2952"/>
    <n v="3847.8887999999997"/>
    <n v="1799.5935999999997"/>
    <n v="0.46768336964415391"/>
    <n v="17.157615999999997"/>
  </r>
  <r>
    <s v="BATCH00258"/>
    <x v="1"/>
    <x v="1"/>
    <x v="1"/>
    <n v="589.71"/>
    <n v="16.75"/>
    <n v="33.19"/>
    <n v="4.3"/>
    <n v="0.6"/>
    <n v="12"/>
    <s v="B"/>
    <n v="5.68"/>
    <x v="1"/>
    <n v="62.04"/>
    <x v="0"/>
    <n v="3.12"/>
    <n v="13.41"/>
    <n v="1839.8952000000002"/>
    <n v="7908.0111000000006"/>
    <n v="6068.1159000000007"/>
    <n v="0.76733780760626402"/>
    <n v="33.495528"/>
  </r>
  <r>
    <s v="BATCH00259"/>
    <x v="0"/>
    <x v="0"/>
    <x v="1"/>
    <n v="627.49"/>
    <n v="15.37"/>
    <n v="32.49"/>
    <n v="0.5"/>
    <n v="1"/>
    <n v="16"/>
    <s v="A"/>
    <n v="2.82"/>
    <x v="2"/>
    <n v="95.02"/>
    <x v="2"/>
    <n v="7.44"/>
    <n v="12.86"/>
    <n v="4668.5255999999999"/>
    <n v="8069.5213999999996"/>
    <n v="3400.9957999999997"/>
    <n v="0.42146189735614303"/>
    <n v="17.695218000000001"/>
  </r>
  <r>
    <s v="BATCH00260"/>
    <x v="2"/>
    <x v="3"/>
    <x v="1"/>
    <n v="565.15"/>
    <n v="10.53"/>
    <n v="25.65"/>
    <n v="2"/>
    <n v="0.3"/>
    <n v="19"/>
    <s v="B"/>
    <n v="8.9700000000000006"/>
    <x v="0"/>
    <n v="54.73"/>
    <x v="1"/>
    <n v="7.66"/>
    <n v="5.14"/>
    <n v="4329.049"/>
    <n v="2904.8709999999996"/>
    <n v="-1424.1780000000003"/>
    <n v="-0.49027237354085623"/>
    <n v="50.693955000000003"/>
  </r>
  <r>
    <s v="BATCH00261"/>
    <x v="3"/>
    <x v="1"/>
    <x v="0"/>
    <n v="386.23"/>
    <n v="8.67"/>
    <n v="27.56"/>
    <n v="2.9"/>
    <n v="0.1"/>
    <n v="2"/>
    <s v="A"/>
    <n v="1.54"/>
    <x v="1"/>
    <n v="85.49"/>
    <x v="0"/>
    <n v="4.67"/>
    <n v="14.12"/>
    <n v="1803.6941000000002"/>
    <n v="5453.5676000000003"/>
    <n v="3649.8735000000001"/>
    <n v="0.66926345609065152"/>
    <n v="5.9479420000000003"/>
  </r>
  <r>
    <s v="BATCH00262"/>
    <x v="2"/>
    <x v="2"/>
    <x v="1"/>
    <n v="479.85"/>
    <n v="10.68"/>
    <n v="22.06"/>
    <n v="8.5"/>
    <n v="0"/>
    <n v="17"/>
    <s v="B"/>
    <n v="0.87"/>
    <x v="0"/>
    <n v="61"/>
    <x v="2"/>
    <n v="7.19"/>
    <n v="7.75"/>
    <n v="3450.1215000000002"/>
    <n v="3718.8375000000001"/>
    <n v="268.71599999999989"/>
    <n v="7.2258064516128998E-2"/>
    <n v="4.1746950000000007"/>
  </r>
  <r>
    <s v="BATCH00263"/>
    <x v="2"/>
    <x v="2"/>
    <x v="1"/>
    <n v="499.35"/>
    <n v="17.12"/>
    <n v="34.380000000000003"/>
    <n v="0.4"/>
    <n v="0"/>
    <n v="14"/>
    <s v="C"/>
    <n v="6.23"/>
    <x v="1"/>
    <n v="65.02"/>
    <x v="1"/>
    <n v="6.74"/>
    <n v="13.88"/>
    <n v="3365.6190000000001"/>
    <n v="6930.978000000001"/>
    <n v="3565.3590000000008"/>
    <n v="0.51440922190201732"/>
    <n v="31.109505000000002"/>
  </r>
  <r>
    <s v="BATCH00264"/>
    <x v="0"/>
    <x v="2"/>
    <x v="1"/>
    <n v="559.88"/>
    <n v="14.33"/>
    <n v="30.08"/>
    <n v="2.9"/>
    <n v="0"/>
    <n v="24"/>
    <s v="A"/>
    <n v="1.67"/>
    <x v="0"/>
    <n v="97.32"/>
    <x v="2"/>
    <n v="4.82"/>
    <n v="6.97"/>
    <n v="2698.6215999999999"/>
    <n v="3902.3635999999997"/>
    <n v="1203.7419999999997"/>
    <n v="0.30846484935437585"/>
    <n v="9.3499959999999991"/>
  </r>
  <r>
    <s v="BATCH00265"/>
    <x v="3"/>
    <x v="3"/>
    <x v="1"/>
    <n v="566.83000000000004"/>
    <n v="15.21"/>
    <n v="34.18"/>
    <n v="0.8"/>
    <n v="0.1"/>
    <n v="28"/>
    <s v="A"/>
    <n v="5.3"/>
    <x v="2"/>
    <n v="63.16"/>
    <x v="2"/>
    <n v="6.24"/>
    <n v="9.4"/>
    <n v="3537.0192000000002"/>
    <n v="5328.2020000000002"/>
    <n v="1791.1828"/>
    <n v="0.33617021276595743"/>
    <n v="30.041990000000002"/>
  </r>
  <r>
    <s v="BATCH00266"/>
    <x v="1"/>
    <x v="1"/>
    <x v="1"/>
    <n v="426.58"/>
    <n v="10.57"/>
    <n v="24.98"/>
    <n v="0.4"/>
    <n v="0.3"/>
    <n v="16"/>
    <s v="C"/>
    <n v="9.5399999999999991"/>
    <x v="2"/>
    <n v="83.66"/>
    <x v="0"/>
    <n v="9.3699999999999992"/>
    <n v="12.49"/>
    <n v="3997.0545999999995"/>
    <n v="5327.9841999999999"/>
    <n v="1330.9296000000004"/>
    <n v="0.24979983987189761"/>
    <n v="40.695731999999992"/>
  </r>
  <r>
    <s v="BATCH00267"/>
    <x v="1"/>
    <x v="1"/>
    <x v="0"/>
    <n v="508.2"/>
    <n v="15.19"/>
    <n v="26.49"/>
    <n v="1.1000000000000001"/>
    <n v="0.3"/>
    <n v="5"/>
    <s v="A"/>
    <n v="7.14"/>
    <x v="2"/>
    <n v="58.91"/>
    <x v="2"/>
    <n v="5.99"/>
    <n v="11.4"/>
    <n v="3044.1179999999999"/>
    <n v="5793.4800000000005"/>
    <n v="2749.3620000000005"/>
    <n v="0.47456140350877196"/>
    <n v="36.28548"/>
  </r>
  <r>
    <s v="BATCH00268"/>
    <x v="0"/>
    <x v="3"/>
    <x v="1"/>
    <n v="545.73"/>
    <n v="8.2799999999999994"/>
    <n v="26.68"/>
    <n v="3.2"/>
    <n v="4.3"/>
    <n v="10"/>
    <s v="A"/>
    <n v="6.37"/>
    <x v="1"/>
    <n v="54.67"/>
    <x v="1"/>
    <n v="7.41"/>
    <n v="9.16"/>
    <n v="4043.8593000000001"/>
    <n v="4998.8868000000002"/>
    <n v="955.02750000000015"/>
    <n v="0.19104803493449785"/>
    <n v="34.763001000000003"/>
  </r>
  <r>
    <s v="BATCH00269"/>
    <x v="0"/>
    <x v="1"/>
    <x v="0"/>
    <n v="645.58000000000004"/>
    <n v="11.75"/>
    <n v="20.51"/>
    <n v="1.3"/>
    <n v="0.4"/>
    <n v="17"/>
    <s v="C"/>
    <n v="5.96"/>
    <x v="2"/>
    <n v="66.97"/>
    <x v="1"/>
    <n v="3.25"/>
    <n v="11.79"/>
    <n v="2098.1350000000002"/>
    <n v="7611.3882000000003"/>
    <n v="5513.2532000000001"/>
    <n v="0.72434266327396102"/>
    <n v="38.476568"/>
  </r>
  <r>
    <s v="BATCH00270"/>
    <x v="3"/>
    <x v="3"/>
    <x v="0"/>
    <n v="570.45000000000005"/>
    <n v="14.27"/>
    <n v="26.82"/>
    <n v="1.5"/>
    <n v="0.1"/>
    <n v="13"/>
    <s v="C"/>
    <n v="2.21"/>
    <x v="2"/>
    <n v="81.209999999999994"/>
    <x v="0"/>
    <n v="3.54"/>
    <n v="10.49"/>
    <n v="2019.3930000000003"/>
    <n v="5984.0205000000005"/>
    <n v="3964.6275000000005"/>
    <n v="0.66253574833174456"/>
    <n v="12.606945000000001"/>
  </r>
  <r>
    <s v="BATCH00271"/>
    <x v="1"/>
    <x v="3"/>
    <x v="0"/>
    <n v="578.91"/>
    <n v="9.4600000000000009"/>
    <n v="36.07"/>
    <n v="10.7"/>
    <n v="0.8"/>
    <n v="16"/>
    <s v="B"/>
    <n v="4.6100000000000003"/>
    <x v="2"/>
    <n v="62.4"/>
    <x v="0"/>
    <n v="3.57"/>
    <n v="7.76"/>
    <n v="2066.7086999999997"/>
    <n v="4492.3415999999997"/>
    <n v="2425.6329000000001"/>
    <n v="0.5399484536082475"/>
    <n v="26.687750999999999"/>
  </r>
  <r>
    <s v="BATCH00272"/>
    <x v="1"/>
    <x v="3"/>
    <x v="0"/>
    <n v="508.38"/>
    <n v="16.23"/>
    <n v="37.950000000000003"/>
    <n v="1"/>
    <n v="2"/>
    <n v="9"/>
    <s v="C"/>
    <n v="3.75"/>
    <x v="0"/>
    <n v="65.010000000000005"/>
    <x v="2"/>
    <n v="8.4499999999999993"/>
    <n v="11.46"/>
    <n v="4295.8109999999997"/>
    <n v="5826.0348000000004"/>
    <n v="1530.2238000000007"/>
    <n v="0.26265270506108213"/>
    <n v="19.064250000000001"/>
  </r>
  <r>
    <s v="BATCH00273"/>
    <x v="1"/>
    <x v="2"/>
    <x v="0"/>
    <n v="641.04999999999995"/>
    <n v="10.35"/>
    <n v="30.36"/>
    <n v="1.9"/>
    <n v="1.1000000000000001"/>
    <n v="24"/>
    <s v="C"/>
    <n v="9.5500000000000007"/>
    <x v="0"/>
    <n v="85.44"/>
    <x v="1"/>
    <n v="5.45"/>
    <n v="7.04"/>
    <n v="3493.7224999999999"/>
    <n v="4512.9919999999993"/>
    <n v="1019.2694999999994"/>
    <n v="0.22585227272727262"/>
    <n v="61.220275000000001"/>
  </r>
  <r>
    <s v="BATCH00274"/>
    <x v="2"/>
    <x v="1"/>
    <x v="1"/>
    <n v="540.98"/>
    <n v="14.52"/>
    <n v="29.11"/>
    <n v="0.9"/>
    <n v="0.4"/>
    <n v="4"/>
    <s v="A"/>
    <n v="2.8"/>
    <x v="0"/>
    <n v="55.14"/>
    <x v="0"/>
    <n v="4.59"/>
    <n v="11.94"/>
    <n v="2483.0981999999999"/>
    <n v="6459.3011999999999"/>
    <n v="3976.203"/>
    <n v="0.61557788944723624"/>
    <n v="15.14744"/>
  </r>
  <r>
    <s v="BATCH00275"/>
    <x v="1"/>
    <x v="3"/>
    <x v="1"/>
    <n v="413.89"/>
    <n v="12.05"/>
    <n v="20.62"/>
    <n v="1"/>
    <n v="0.8"/>
    <n v="24"/>
    <s v="C"/>
    <n v="4.9800000000000004"/>
    <x v="0"/>
    <n v="72.349999999999994"/>
    <x v="2"/>
    <n v="8.23"/>
    <n v="5.03"/>
    <n v="3406.3146999999999"/>
    <n v="2081.8667"/>
    <n v="-1324.4479999999999"/>
    <n v="-0.63618290258449295"/>
    <n v="20.611722"/>
  </r>
  <r>
    <s v="BATCH00276"/>
    <x v="2"/>
    <x v="1"/>
    <x v="1"/>
    <n v="640.34"/>
    <n v="13.96"/>
    <n v="37.58"/>
    <n v="2.4"/>
    <n v="1.3"/>
    <n v="29"/>
    <s v="A"/>
    <n v="9.41"/>
    <x v="0"/>
    <n v="97.09"/>
    <x v="2"/>
    <n v="4.1900000000000004"/>
    <n v="10.49"/>
    <n v="2683.0246000000002"/>
    <n v="6717.1666000000005"/>
    <n v="4034.1420000000003"/>
    <n v="0.60057197330791234"/>
    <n v="60.255994000000001"/>
  </r>
  <r>
    <s v="BATCH00277"/>
    <x v="3"/>
    <x v="2"/>
    <x v="0"/>
    <n v="569.79"/>
    <n v="9.07"/>
    <n v="20.260000000000002"/>
    <n v="5.6"/>
    <n v="1.3"/>
    <n v="28"/>
    <s v="C"/>
    <n v="8"/>
    <x v="0"/>
    <n v="69.849999999999994"/>
    <x v="1"/>
    <n v="4.7300000000000004"/>
    <n v="9.01"/>
    <n v="2695.1067000000003"/>
    <n v="5133.8078999999998"/>
    <n v="2438.7011999999995"/>
    <n v="0.47502774694783567"/>
    <n v="45.583199999999998"/>
  </r>
  <r>
    <s v="BATCH00278"/>
    <x v="2"/>
    <x v="3"/>
    <x v="1"/>
    <n v="455.7"/>
    <n v="8.17"/>
    <n v="38.9"/>
    <n v="1.6"/>
    <n v="1.1000000000000001"/>
    <n v="29"/>
    <s v="C"/>
    <n v="9.66"/>
    <x v="0"/>
    <n v="71.709999999999994"/>
    <x v="1"/>
    <n v="6.02"/>
    <n v="8.0299999999999994"/>
    <n v="2743.3139999999999"/>
    <n v="3659.2709999999997"/>
    <n v="915.95699999999988"/>
    <n v="0.25031133250311333"/>
    <n v="44.020620000000001"/>
  </r>
  <r>
    <s v="BATCH00279"/>
    <x v="3"/>
    <x v="0"/>
    <x v="1"/>
    <n v="452.05"/>
    <n v="17.100000000000001"/>
    <n v="29.78"/>
    <n v="2.9"/>
    <n v="2"/>
    <n v="26"/>
    <s v="B"/>
    <n v="6.28"/>
    <x v="2"/>
    <n v="86.91"/>
    <x v="2"/>
    <n v="5.32"/>
    <n v="10.16"/>
    <n v="2404.9060000000004"/>
    <n v="4592.8280000000004"/>
    <n v="2187.922"/>
    <n v="0.4763779527559055"/>
    <n v="28.388740000000002"/>
  </r>
  <r>
    <s v="BATCH00280"/>
    <x v="1"/>
    <x v="2"/>
    <x v="0"/>
    <n v="529.66"/>
    <n v="10.7"/>
    <n v="26.84"/>
    <n v="0.2"/>
    <n v="2"/>
    <n v="16"/>
    <s v="C"/>
    <n v="3.67"/>
    <x v="2"/>
    <n v="88.95"/>
    <x v="1"/>
    <n v="7.1"/>
    <n v="11.45"/>
    <n v="3760.5859999999998"/>
    <n v="6064.6069999999991"/>
    <n v="2304.0209999999993"/>
    <n v="0.37991266375545846"/>
    <n v="19.438521999999999"/>
  </r>
  <r>
    <s v="BATCH00281"/>
    <x v="1"/>
    <x v="0"/>
    <x v="0"/>
    <n v="546.32000000000005"/>
    <n v="16.2"/>
    <n v="38.479999999999997"/>
    <n v="0.5"/>
    <n v="0.9"/>
    <n v="23"/>
    <s v="C"/>
    <n v="8.35"/>
    <x v="1"/>
    <n v="88.48"/>
    <x v="2"/>
    <n v="5.36"/>
    <n v="14.65"/>
    <n v="2928.2752000000005"/>
    <n v="8003.5880000000006"/>
    <n v="5075.3127999999997"/>
    <n v="0.63412969283276444"/>
    <n v="45.617719999999998"/>
  </r>
  <r>
    <s v="BATCH00282"/>
    <x v="3"/>
    <x v="1"/>
    <x v="0"/>
    <n v="519.73"/>
    <n v="17.989999999999998"/>
    <n v="20.49"/>
    <n v="1.4"/>
    <n v="0.6"/>
    <n v="27"/>
    <s v="A"/>
    <n v="3.27"/>
    <x v="2"/>
    <n v="99.89"/>
    <x v="2"/>
    <n v="5.75"/>
    <n v="13.33"/>
    <n v="2988.4475000000002"/>
    <n v="6928.0009"/>
    <n v="3939.5533999999998"/>
    <n v="0.56864216054013506"/>
    <n v="16.995170999999999"/>
  </r>
  <r>
    <s v="BATCH00283"/>
    <x v="0"/>
    <x v="1"/>
    <x v="0"/>
    <n v="531.13"/>
    <n v="10.11"/>
    <n v="31.63"/>
    <n v="0"/>
    <n v="1"/>
    <n v="11"/>
    <s v="A"/>
    <n v="2.0699999999999998"/>
    <x v="0"/>
    <n v="53.57"/>
    <x v="1"/>
    <n v="9.0399999999999991"/>
    <n v="12.17"/>
    <n v="4801.4151999999995"/>
    <n v="6463.8521000000001"/>
    <n v="1662.4369000000006"/>
    <n v="0.25718981101068211"/>
    <n v="10.994390999999998"/>
  </r>
  <r>
    <s v="BATCH00284"/>
    <x v="3"/>
    <x v="2"/>
    <x v="1"/>
    <n v="670"/>
    <n v="10.65"/>
    <n v="30.98"/>
    <n v="0.6"/>
    <n v="1.7"/>
    <n v="7"/>
    <s v="B"/>
    <n v="7.21"/>
    <x v="0"/>
    <n v="99.11"/>
    <x v="0"/>
    <n v="9.19"/>
    <n v="9.7899999999999991"/>
    <n v="6157.2999999999993"/>
    <n v="6559.2999999999993"/>
    <n v="402"/>
    <n v="6.128702757916242E-2"/>
    <n v="48.306999999999995"/>
  </r>
  <r>
    <s v="BATCH00285"/>
    <x v="0"/>
    <x v="1"/>
    <x v="0"/>
    <n v="607.15"/>
    <n v="14.63"/>
    <n v="24.39"/>
    <n v="1.5"/>
    <n v="0"/>
    <n v="17"/>
    <s v="C"/>
    <n v="6.57"/>
    <x v="1"/>
    <n v="97.51"/>
    <x v="2"/>
    <n v="8.7899999999999991"/>
    <n v="8.92"/>
    <n v="5336.8484999999991"/>
    <n v="5415.7779999999993"/>
    <n v="78.929500000000189"/>
    <n v="1.4573991031390171E-2"/>
    <n v="39.889755000000001"/>
  </r>
  <r>
    <s v="BATCH00286"/>
    <x v="2"/>
    <x v="0"/>
    <x v="0"/>
    <n v="519.05999999999995"/>
    <n v="17.649999999999999"/>
    <n v="28.58"/>
    <n v="0"/>
    <n v="4.8"/>
    <n v="22"/>
    <s v="A"/>
    <n v="8.85"/>
    <x v="2"/>
    <n v="92.61"/>
    <x v="1"/>
    <n v="9.0500000000000007"/>
    <n v="5.33"/>
    <n v="4697.4929999999995"/>
    <n v="2766.5897999999997"/>
    <n v="-1930.9031999999997"/>
    <n v="-0.697936210131332"/>
    <n v="45.936809999999994"/>
  </r>
  <r>
    <s v="BATCH00287"/>
    <x v="2"/>
    <x v="3"/>
    <x v="1"/>
    <n v="594.13"/>
    <n v="17.16"/>
    <n v="33.049999999999997"/>
    <n v="0.6"/>
    <n v="0.2"/>
    <n v="13"/>
    <s v="C"/>
    <n v="9.64"/>
    <x v="2"/>
    <n v="72.709999999999994"/>
    <x v="2"/>
    <n v="6.99"/>
    <n v="8.59"/>
    <n v="4152.9687000000004"/>
    <n v="5103.5766999999996"/>
    <n v="950.60799999999927"/>
    <n v="0.18626309662398124"/>
    <n v="57.274132000000002"/>
  </r>
  <r>
    <s v="BATCH00288"/>
    <x v="2"/>
    <x v="3"/>
    <x v="1"/>
    <n v="396.75"/>
    <n v="13.03"/>
    <n v="34.54"/>
    <n v="1.4"/>
    <n v="0.6"/>
    <n v="4"/>
    <s v="B"/>
    <n v="8.64"/>
    <x v="1"/>
    <n v="93.55"/>
    <x v="2"/>
    <n v="7.52"/>
    <n v="13.48"/>
    <n v="2983.56"/>
    <n v="5348.1900000000005"/>
    <n v="2364.6300000000006"/>
    <n v="0.44213649851632053"/>
    <n v="34.279200000000003"/>
  </r>
  <r>
    <s v="BATCH00289"/>
    <x v="1"/>
    <x v="3"/>
    <x v="0"/>
    <n v="539.79"/>
    <n v="15.95"/>
    <n v="20.010000000000002"/>
    <n v="1.7"/>
    <n v="2.1"/>
    <n v="14"/>
    <s v="A"/>
    <n v="1.07"/>
    <x v="0"/>
    <n v="61.04"/>
    <x v="2"/>
    <n v="6.9"/>
    <n v="8.84"/>
    <n v="3724.5509999999999"/>
    <n v="4771.7435999999998"/>
    <n v="1047.1925999999999"/>
    <n v="0.2194570135746606"/>
    <n v="5.7757529999999999"/>
  </r>
  <r>
    <s v="BATCH00290"/>
    <x v="2"/>
    <x v="2"/>
    <x v="1"/>
    <n v="680.93"/>
    <n v="9.36"/>
    <n v="38.74"/>
    <n v="5.2"/>
    <n v="0.3"/>
    <n v="10"/>
    <s v="A"/>
    <n v="6.81"/>
    <x v="0"/>
    <n v="89.58"/>
    <x v="1"/>
    <n v="8.5"/>
    <n v="9.6199999999999992"/>
    <n v="5787.9049999999997"/>
    <n v="6550.5465999999988"/>
    <n v="762.64159999999902"/>
    <n v="0.11642411642411629"/>
    <n v="46.371332999999993"/>
  </r>
  <r>
    <s v="BATCH00291"/>
    <x v="0"/>
    <x v="1"/>
    <x v="0"/>
    <n v="478.2"/>
    <n v="17.77"/>
    <n v="23.29"/>
    <n v="2.1"/>
    <n v="0.6"/>
    <n v="10"/>
    <s v="B"/>
    <n v="7.95"/>
    <x v="0"/>
    <n v="59.26"/>
    <x v="1"/>
    <n v="6.86"/>
    <n v="7.72"/>
    <n v="3280.4520000000002"/>
    <n v="3691.7039999999997"/>
    <n v="411.2519999999995"/>
    <n v="0.11139896373056982"/>
    <n v="38.0169"/>
  </r>
  <r>
    <s v="BATCH00292"/>
    <x v="2"/>
    <x v="0"/>
    <x v="0"/>
    <n v="415.24"/>
    <n v="17.64"/>
    <n v="24.67"/>
    <n v="1.1000000000000001"/>
    <n v="0.1"/>
    <n v="10"/>
    <s v="C"/>
    <n v="9.83"/>
    <x v="0"/>
    <n v="90.77"/>
    <x v="1"/>
    <n v="3.78"/>
    <n v="7.74"/>
    <n v="1569.6071999999999"/>
    <n v="3213.9576000000002"/>
    <n v="1644.3504000000003"/>
    <n v="0.51162790697674421"/>
    <n v="40.818092"/>
  </r>
  <r>
    <s v="BATCH00293"/>
    <x v="3"/>
    <x v="1"/>
    <x v="1"/>
    <n v="434.79"/>
    <n v="9.64"/>
    <n v="25.27"/>
    <n v="5.3"/>
    <n v="0.5"/>
    <n v="27"/>
    <s v="A"/>
    <n v="4.0599999999999996"/>
    <x v="1"/>
    <n v="80.73"/>
    <x v="0"/>
    <n v="8.67"/>
    <n v="5.62"/>
    <n v="3769.6293000000001"/>
    <n v="2443.5198"/>
    <n v="-1326.1095"/>
    <n v="-0.54270462633451955"/>
    <n v="17.652473999999998"/>
  </r>
  <r>
    <s v="BATCH00294"/>
    <x v="3"/>
    <x v="1"/>
    <x v="1"/>
    <n v="391.04"/>
    <n v="10.99"/>
    <n v="20.76"/>
    <n v="3.1"/>
    <n v="0.2"/>
    <n v="12"/>
    <s v="A"/>
    <n v="2.11"/>
    <x v="2"/>
    <n v="54.9"/>
    <x v="2"/>
    <n v="8.32"/>
    <n v="11.14"/>
    <n v="3253.4528000000005"/>
    <n v="4356.1856000000007"/>
    <n v="1102.7328000000002"/>
    <n v="0.2531418312387792"/>
    <n v="8.2509439999999987"/>
  </r>
  <r>
    <s v="BATCH00295"/>
    <x v="1"/>
    <x v="1"/>
    <x v="0"/>
    <n v="421.52"/>
    <n v="9"/>
    <n v="22.46"/>
    <n v="0.4"/>
    <n v="0.5"/>
    <n v="2"/>
    <s v="B"/>
    <n v="8.6"/>
    <x v="0"/>
    <n v="94.77"/>
    <x v="0"/>
    <n v="8.74"/>
    <n v="9.48"/>
    <n v="3684.0848000000001"/>
    <n v="3996.0095999999999"/>
    <n v="311.92479999999978"/>
    <n v="7.8059071729957755E-2"/>
    <n v="36.250719999999994"/>
  </r>
  <r>
    <s v="BATCH00296"/>
    <x v="3"/>
    <x v="3"/>
    <x v="0"/>
    <n v="462.95"/>
    <n v="10.72"/>
    <n v="39.729999999999997"/>
    <n v="0.3"/>
    <n v="0.5"/>
    <n v="26"/>
    <s v="B"/>
    <n v="3.52"/>
    <x v="2"/>
    <n v="78.900000000000006"/>
    <x v="2"/>
    <n v="4.33"/>
    <n v="11.06"/>
    <n v="2004.5735"/>
    <n v="5120.2269999999999"/>
    <n v="3115.6534999999999"/>
    <n v="0.60849909584086803"/>
    <n v="16.295840000000002"/>
  </r>
  <r>
    <s v="BATCH00297"/>
    <x v="0"/>
    <x v="0"/>
    <x v="0"/>
    <n v="359.44"/>
    <n v="16.16"/>
    <n v="26.3"/>
    <n v="2.2999999999999998"/>
    <n v="5"/>
    <n v="23"/>
    <s v="B"/>
    <n v="6.18"/>
    <x v="2"/>
    <n v="82.81"/>
    <x v="1"/>
    <n v="4.9000000000000004"/>
    <n v="10.47"/>
    <n v="1761.2560000000001"/>
    <n v="3763.3368"/>
    <n v="2002.0808"/>
    <n v="0.53199617956064948"/>
    <n v="22.213391999999999"/>
  </r>
  <r>
    <s v="BATCH00298"/>
    <x v="2"/>
    <x v="0"/>
    <x v="1"/>
    <n v="501.56"/>
    <n v="11.78"/>
    <n v="22.31"/>
    <n v="1.6"/>
    <n v="5.3"/>
    <n v="9"/>
    <s v="C"/>
    <n v="4.2"/>
    <x v="0"/>
    <n v="64.180000000000007"/>
    <x v="2"/>
    <n v="5.07"/>
    <n v="12.99"/>
    <n v="2542.9092000000001"/>
    <n v="6515.2644"/>
    <n v="3972.3552"/>
    <n v="0.60969976905311773"/>
    <n v="21.065520000000003"/>
  </r>
  <r>
    <s v="BATCH00299"/>
    <x v="1"/>
    <x v="1"/>
    <x v="0"/>
    <n v="590.23"/>
    <n v="8.8800000000000008"/>
    <n v="22.14"/>
    <n v="3.1"/>
    <n v="0.1"/>
    <n v="29"/>
    <s v="C"/>
    <n v="4.32"/>
    <x v="0"/>
    <n v="93.58"/>
    <x v="2"/>
    <n v="6.56"/>
    <n v="12.51"/>
    <n v="3871.9087999999997"/>
    <n v="7383.7772999999997"/>
    <n v="3511.8685"/>
    <n v="0.47561950439648282"/>
    <n v="25.497936000000003"/>
  </r>
  <r>
    <s v="BATCH00300"/>
    <x v="2"/>
    <x v="3"/>
    <x v="0"/>
    <n v="409.22"/>
    <n v="11.42"/>
    <n v="34.39"/>
    <n v="2.7"/>
    <n v="1.3"/>
    <n v="5"/>
    <s v="C"/>
    <n v="7.46"/>
    <x v="0"/>
    <n v="77.260000000000005"/>
    <x v="2"/>
    <n v="3.94"/>
    <n v="12.71"/>
    <n v="1612.3268"/>
    <n v="5201.186200000001"/>
    <n v="3588.8594000000012"/>
    <n v="0.69000786782061374"/>
    <n v="30.527812000000004"/>
  </r>
  <r>
    <s v="BATCH00301"/>
    <x v="2"/>
    <x v="3"/>
    <x v="0"/>
    <n v="651.92999999999995"/>
    <n v="17.809999999999999"/>
    <n v="37.090000000000003"/>
    <n v="2"/>
    <n v="0.1"/>
    <n v="8"/>
    <s v="B"/>
    <n v="3.93"/>
    <x v="2"/>
    <n v="71.06"/>
    <x v="0"/>
    <n v="5.7"/>
    <n v="9.99"/>
    <n v="3716.0009999999997"/>
    <n v="6512.7806999999993"/>
    <n v="2796.7796999999996"/>
    <n v="0.42942942942942941"/>
    <n v="25.620849"/>
  </r>
  <r>
    <s v="BATCH00302"/>
    <x v="0"/>
    <x v="0"/>
    <x v="0"/>
    <n v="551.08000000000004"/>
    <n v="14.3"/>
    <n v="25.14"/>
    <n v="8.6"/>
    <n v="0"/>
    <n v="21"/>
    <s v="A"/>
    <n v="7.08"/>
    <x v="1"/>
    <n v="76.709999999999994"/>
    <x v="1"/>
    <n v="4.28"/>
    <n v="8.5399999999999991"/>
    <n v="2358.6224000000002"/>
    <n v="4706.2231999999995"/>
    <n v="2347.6007999999993"/>
    <n v="0.49882903981264626"/>
    <n v="39.016464000000006"/>
  </r>
  <r>
    <s v="BATCH00303"/>
    <x v="3"/>
    <x v="3"/>
    <x v="0"/>
    <n v="603.05999999999995"/>
    <n v="12.16"/>
    <n v="20.420000000000002"/>
    <n v="1.5"/>
    <n v="0.1"/>
    <n v="14"/>
    <s v="C"/>
    <n v="0.64"/>
    <x v="0"/>
    <n v="85.17"/>
    <x v="1"/>
    <n v="4.8499999999999996"/>
    <n v="14.33"/>
    <n v="2924.8409999999994"/>
    <n v="8641.8498"/>
    <n v="5717.0088000000005"/>
    <n v="0.66154919748778795"/>
    <n v="3.8595839999999999"/>
  </r>
  <r>
    <s v="BATCH00304"/>
    <x v="3"/>
    <x v="3"/>
    <x v="1"/>
    <n v="434.22"/>
    <n v="9.67"/>
    <n v="24.46"/>
    <n v="0.2"/>
    <n v="3.4"/>
    <n v="7"/>
    <s v="B"/>
    <n v="3.58"/>
    <x v="2"/>
    <n v="84.75"/>
    <x v="2"/>
    <n v="7.94"/>
    <n v="5.54"/>
    <n v="3447.7068000000004"/>
    <n v="2405.5788000000002"/>
    <n v="-1042.1280000000002"/>
    <n v="-0.43321299638989175"/>
    <n v="15.545076000000002"/>
  </r>
  <r>
    <s v="BATCH00305"/>
    <x v="2"/>
    <x v="3"/>
    <x v="0"/>
    <n v="585.45000000000005"/>
    <n v="17.86"/>
    <n v="21.13"/>
    <n v="3.5"/>
    <n v="2.8"/>
    <n v="7"/>
    <s v="C"/>
    <n v="3.53"/>
    <x v="2"/>
    <n v="67.88"/>
    <x v="1"/>
    <n v="8.98"/>
    <n v="6.53"/>
    <n v="5257.3410000000003"/>
    <n v="3822.9885000000004"/>
    <n v="-1434.3525"/>
    <n v="-0.37519142419601831"/>
    <n v="20.666385000000002"/>
  </r>
  <r>
    <s v="BATCH00306"/>
    <x v="1"/>
    <x v="2"/>
    <x v="0"/>
    <n v="390.81"/>
    <n v="16.21"/>
    <n v="22.07"/>
    <n v="0.6"/>
    <n v="0.2"/>
    <n v="9"/>
    <s v="A"/>
    <n v="7.61"/>
    <x v="0"/>
    <n v="69.260000000000005"/>
    <x v="0"/>
    <n v="3.16"/>
    <n v="9.1999999999999993"/>
    <n v="1234.9596000000001"/>
    <n v="3595.4519999999998"/>
    <n v="2360.4923999999996"/>
    <n v="0.65652173913043477"/>
    <n v="29.740641"/>
  </r>
  <r>
    <s v="BATCH00307"/>
    <x v="3"/>
    <x v="1"/>
    <x v="0"/>
    <n v="589.02"/>
    <n v="10.81"/>
    <n v="28.63"/>
    <n v="3"/>
    <n v="0.2"/>
    <n v="3"/>
    <s v="A"/>
    <n v="3.49"/>
    <x v="1"/>
    <n v="78.11"/>
    <x v="0"/>
    <n v="6.96"/>
    <n v="11.14"/>
    <n v="4099.5792000000001"/>
    <n v="6561.6828000000005"/>
    <n v="2462.1036000000004"/>
    <n v="0.37522441651705568"/>
    <n v="20.556798000000001"/>
  </r>
  <r>
    <s v="BATCH00308"/>
    <x v="1"/>
    <x v="0"/>
    <x v="0"/>
    <n v="517.17999999999995"/>
    <n v="8.6999999999999993"/>
    <n v="24.6"/>
    <n v="6.3"/>
    <n v="0.3"/>
    <n v="14"/>
    <s v="B"/>
    <n v="6.52"/>
    <x v="0"/>
    <n v="96.22"/>
    <x v="1"/>
    <n v="3.25"/>
    <n v="5.08"/>
    <n v="1680.8349999999998"/>
    <n v="2627.2743999999998"/>
    <n v="946.43939999999998"/>
    <n v="0.36023622047244097"/>
    <n v="33.720135999999997"/>
  </r>
  <r>
    <s v="BATCH00309"/>
    <x v="3"/>
    <x v="0"/>
    <x v="1"/>
    <n v="555.33000000000004"/>
    <n v="8.57"/>
    <n v="30.32"/>
    <n v="2.4"/>
    <n v="0.7"/>
    <n v="17"/>
    <s v="A"/>
    <n v="7.04"/>
    <x v="0"/>
    <n v="87.27"/>
    <x v="0"/>
    <n v="3.6"/>
    <n v="12.19"/>
    <n v="1999.1880000000001"/>
    <n v="6769.4727000000003"/>
    <n v="4770.2847000000002"/>
    <n v="0.70467596390484"/>
    <n v="39.095232000000003"/>
  </r>
  <r>
    <s v="BATCH00310"/>
    <x v="1"/>
    <x v="2"/>
    <x v="1"/>
    <n v="382.44"/>
    <n v="9.1999999999999993"/>
    <n v="25.07"/>
    <n v="1.8"/>
    <n v="0.8"/>
    <n v="18"/>
    <s v="B"/>
    <n v="6.76"/>
    <x v="1"/>
    <n v="69.52"/>
    <x v="0"/>
    <n v="7.94"/>
    <n v="10.59"/>
    <n v="3036.5736000000002"/>
    <n v="4050.0396000000001"/>
    <n v="1013.4659999999999"/>
    <n v="0.2502360717658168"/>
    <n v="25.852943999999997"/>
  </r>
  <r>
    <s v="BATCH00311"/>
    <x v="0"/>
    <x v="1"/>
    <x v="1"/>
    <n v="410.49"/>
    <n v="13.81"/>
    <n v="38.81"/>
    <n v="1.2"/>
    <n v="0.3"/>
    <n v="12"/>
    <s v="B"/>
    <n v="6.23"/>
    <x v="0"/>
    <n v="66.849999999999994"/>
    <x v="1"/>
    <n v="8.15"/>
    <n v="9.85"/>
    <n v="3345.4935"/>
    <n v="4043.3265000000001"/>
    <n v="697.83300000000008"/>
    <n v="0.17258883248730966"/>
    <n v="25.573527000000002"/>
  </r>
  <r>
    <s v="BATCH00312"/>
    <x v="1"/>
    <x v="0"/>
    <x v="0"/>
    <n v="559.72"/>
    <n v="17.29"/>
    <n v="38.119999999999997"/>
    <n v="0.9"/>
    <n v="1.4"/>
    <n v="22"/>
    <s v="B"/>
    <n v="4.43"/>
    <x v="0"/>
    <n v="76.180000000000007"/>
    <x v="1"/>
    <n v="8.6999999999999993"/>
    <n v="9.23"/>
    <n v="4869.5639999999994"/>
    <n v="5166.2156000000004"/>
    <n v="296.65160000000105"/>
    <n v="5.7421451787649166E-2"/>
    <n v="24.795596"/>
  </r>
  <r>
    <s v="BATCH00313"/>
    <x v="0"/>
    <x v="3"/>
    <x v="0"/>
    <n v="405.17"/>
    <n v="12.97"/>
    <n v="31.34"/>
    <n v="0.9"/>
    <n v="0.4"/>
    <n v="14"/>
    <s v="B"/>
    <n v="4.05"/>
    <x v="1"/>
    <n v="93.5"/>
    <x v="2"/>
    <n v="6.32"/>
    <n v="10.19"/>
    <n v="2560.6744000000003"/>
    <n v="4128.6823000000004"/>
    <n v="1568.0079000000001"/>
    <n v="0.37978410206084395"/>
    <n v="16.409385"/>
  </r>
  <r>
    <s v="BATCH00314"/>
    <x v="0"/>
    <x v="0"/>
    <x v="1"/>
    <n v="546.32000000000005"/>
    <n v="16.43"/>
    <n v="27.09"/>
    <n v="2"/>
    <n v="2.6"/>
    <n v="26"/>
    <s v="A"/>
    <n v="5.86"/>
    <x v="2"/>
    <n v="50.43"/>
    <x v="2"/>
    <n v="9.02"/>
    <n v="6.62"/>
    <n v="4927.8064000000004"/>
    <n v="3616.6384000000003"/>
    <n v="-1311.1680000000001"/>
    <n v="-0.36253776435045315"/>
    <n v="32.014352000000002"/>
  </r>
  <r>
    <s v="BATCH00315"/>
    <x v="1"/>
    <x v="3"/>
    <x v="1"/>
    <n v="363.29"/>
    <n v="12.46"/>
    <n v="27.62"/>
    <n v="2.8"/>
    <n v="1.1000000000000001"/>
    <n v="26"/>
    <s v="A"/>
    <n v="1.1100000000000001"/>
    <x v="2"/>
    <n v="85.52"/>
    <x v="0"/>
    <n v="4.17"/>
    <n v="6.09"/>
    <n v="1514.9193"/>
    <n v="2212.4360999999999"/>
    <n v="697.51679999999988"/>
    <n v="0.31527093596059108"/>
    <n v="4.0325190000000006"/>
  </r>
  <r>
    <s v="BATCH00316"/>
    <x v="0"/>
    <x v="2"/>
    <x v="1"/>
    <n v="584.82000000000005"/>
    <n v="15.09"/>
    <n v="28.24"/>
    <n v="2.2999999999999998"/>
    <n v="0.6"/>
    <n v="28"/>
    <s v="A"/>
    <n v="8.82"/>
    <x v="2"/>
    <n v="64.73"/>
    <x v="1"/>
    <n v="4.75"/>
    <n v="7.9"/>
    <n v="2777.8950000000004"/>
    <n v="4620.0780000000004"/>
    <n v="1842.183"/>
    <n v="0.39873417721518983"/>
    <n v="51.58112400000001"/>
  </r>
  <r>
    <s v="BATCH00317"/>
    <x v="2"/>
    <x v="3"/>
    <x v="0"/>
    <n v="376.75"/>
    <n v="15.32"/>
    <n v="34.549999999999997"/>
    <n v="0.4"/>
    <n v="1.6"/>
    <n v="13"/>
    <s v="A"/>
    <n v="8.34"/>
    <x v="2"/>
    <n v="60.42"/>
    <x v="0"/>
    <n v="3.94"/>
    <n v="12.1"/>
    <n v="1484.395"/>
    <n v="4558.6750000000002"/>
    <n v="3074.28"/>
    <n v="0.67438016528925626"/>
    <n v="31.420949999999998"/>
  </r>
  <r>
    <s v="BATCH00318"/>
    <x v="0"/>
    <x v="0"/>
    <x v="0"/>
    <n v="555.23"/>
    <n v="9.74"/>
    <n v="29.03"/>
    <n v="1.4"/>
    <n v="1.7"/>
    <n v="14"/>
    <s v="B"/>
    <n v="3.79"/>
    <x v="2"/>
    <n v="50.61"/>
    <x v="1"/>
    <n v="8.58"/>
    <n v="10.88"/>
    <n v="4763.8734000000004"/>
    <n v="6040.9024000000009"/>
    <n v="1277.0290000000005"/>
    <n v="0.21139705882352947"/>
    <n v="21.043216999999999"/>
  </r>
  <r>
    <s v="BATCH00319"/>
    <x v="3"/>
    <x v="0"/>
    <x v="1"/>
    <n v="562.55999999999995"/>
    <n v="11.61"/>
    <n v="37.130000000000003"/>
    <n v="3.1"/>
    <n v="0.3"/>
    <n v="9"/>
    <s v="B"/>
    <n v="5.88"/>
    <x v="0"/>
    <n v="94.83"/>
    <x v="0"/>
    <n v="4.5999999999999996"/>
    <n v="9.8000000000000007"/>
    <n v="2587.7759999999994"/>
    <n v="5513.0879999999997"/>
    <n v="2925.3120000000004"/>
    <n v="0.53061224489795922"/>
    <n v="33.078527999999999"/>
  </r>
  <r>
    <s v="BATCH00320"/>
    <x v="1"/>
    <x v="0"/>
    <x v="1"/>
    <n v="430.32"/>
    <n v="14.37"/>
    <n v="38.880000000000003"/>
    <n v="1.3"/>
    <n v="0.4"/>
    <n v="19"/>
    <s v="A"/>
    <n v="9.36"/>
    <x v="1"/>
    <n v="95.61"/>
    <x v="0"/>
    <n v="4.09"/>
    <n v="10.72"/>
    <n v="1760.0087999999998"/>
    <n v="4613.0304000000006"/>
    <n v="2853.0216000000009"/>
    <n v="0.61847014925373145"/>
    <n v="40.277951999999999"/>
  </r>
  <r>
    <s v="BATCH00321"/>
    <x v="2"/>
    <x v="2"/>
    <x v="1"/>
    <n v="558.20000000000005"/>
    <n v="8.7100000000000009"/>
    <n v="26.72"/>
    <n v="1.5"/>
    <n v="2.7"/>
    <n v="26"/>
    <s v="C"/>
    <n v="3.08"/>
    <x v="2"/>
    <n v="53.07"/>
    <x v="0"/>
    <n v="7.36"/>
    <n v="10.59"/>
    <n v="4108.3520000000008"/>
    <n v="5911.3380000000006"/>
    <n v="1802.9859999999999"/>
    <n v="0.30500472143531626"/>
    <n v="17.19256"/>
  </r>
  <r>
    <s v="BATCH00322"/>
    <x v="1"/>
    <x v="2"/>
    <x v="0"/>
    <n v="526.04"/>
    <n v="11.62"/>
    <n v="31.21"/>
    <n v="2.9"/>
    <n v="0.2"/>
    <n v="2"/>
    <s v="C"/>
    <n v="7.55"/>
    <x v="1"/>
    <n v="76.09"/>
    <x v="2"/>
    <n v="3.54"/>
    <n v="8.07"/>
    <n v="1862.1815999999999"/>
    <n v="4245.1427999999996"/>
    <n v="2382.9611999999997"/>
    <n v="0.56133828996282531"/>
    <n v="39.716019999999993"/>
  </r>
  <r>
    <s v="BATCH00323"/>
    <x v="3"/>
    <x v="1"/>
    <x v="0"/>
    <n v="446.12"/>
    <n v="13.35"/>
    <n v="21.9"/>
    <n v="2.2000000000000002"/>
    <n v="0"/>
    <n v="11"/>
    <s v="C"/>
    <n v="1.29"/>
    <x v="2"/>
    <n v="57.63"/>
    <x v="1"/>
    <n v="3.31"/>
    <n v="5.97"/>
    <n v="1476.6572000000001"/>
    <n v="2663.3364000000001"/>
    <n v="1186.6792"/>
    <n v="0.44556113902847572"/>
    <n v="5.7549480000000006"/>
  </r>
  <r>
    <s v="BATCH00324"/>
    <x v="3"/>
    <x v="0"/>
    <x v="0"/>
    <n v="399.14"/>
    <n v="17.96"/>
    <n v="24.01"/>
    <n v="1.1000000000000001"/>
    <n v="0.6"/>
    <n v="17"/>
    <s v="A"/>
    <n v="5.47"/>
    <x v="0"/>
    <n v="87.93"/>
    <x v="0"/>
    <n v="3.75"/>
    <n v="13.97"/>
    <n v="1496.7749999999999"/>
    <n v="5575.9858000000004"/>
    <n v="4079.2108000000007"/>
    <n v="0.73156764495347182"/>
    <n v="21.832957999999998"/>
  </r>
  <r>
    <s v="BATCH00325"/>
    <x v="3"/>
    <x v="3"/>
    <x v="1"/>
    <n v="303.74"/>
    <n v="12.75"/>
    <n v="28.27"/>
    <n v="4.5"/>
    <n v="1.6"/>
    <n v="2"/>
    <s v="B"/>
    <n v="8.9"/>
    <x v="2"/>
    <n v="83.27"/>
    <x v="2"/>
    <n v="3"/>
    <n v="11"/>
    <n v="911.22"/>
    <n v="3341.1400000000003"/>
    <n v="2429.92"/>
    <n v="0.72727272727272718"/>
    <n v="27.032859999999999"/>
  </r>
  <r>
    <s v="BATCH00326"/>
    <x v="0"/>
    <x v="2"/>
    <x v="1"/>
    <n v="534.97"/>
    <n v="16.16"/>
    <n v="24.12"/>
    <n v="0.4"/>
    <n v="1.5"/>
    <n v="19"/>
    <s v="B"/>
    <n v="5.74"/>
    <x v="2"/>
    <n v="64.86"/>
    <x v="0"/>
    <n v="7.88"/>
    <n v="11.98"/>
    <n v="4215.5636000000004"/>
    <n v="6408.9406000000008"/>
    <n v="2193.3770000000004"/>
    <n v="0.34223706176961605"/>
    <n v="30.707278000000002"/>
  </r>
  <r>
    <s v="BATCH00327"/>
    <x v="0"/>
    <x v="0"/>
    <x v="0"/>
    <n v="343.52"/>
    <n v="12.32"/>
    <n v="37.53"/>
    <n v="10.8"/>
    <n v="2.5"/>
    <n v="7"/>
    <s v="C"/>
    <n v="6.35"/>
    <x v="1"/>
    <n v="55.85"/>
    <x v="0"/>
    <n v="6.94"/>
    <n v="9.64"/>
    <n v="2384.0288"/>
    <n v="3311.5328"/>
    <n v="927.50399999999991"/>
    <n v="0.28008298755186717"/>
    <n v="21.813519999999997"/>
  </r>
  <r>
    <s v="BATCH00328"/>
    <x v="1"/>
    <x v="0"/>
    <x v="1"/>
    <n v="509.53"/>
    <n v="15.96"/>
    <n v="23.17"/>
    <n v="0.3"/>
    <n v="0.8"/>
    <n v="18"/>
    <s v="C"/>
    <n v="9.1199999999999992"/>
    <x v="1"/>
    <n v="91.56"/>
    <x v="1"/>
    <n v="4.47"/>
    <n v="12.56"/>
    <n v="2277.5990999999999"/>
    <n v="6399.6967999999997"/>
    <n v="4122.0977000000003"/>
    <n v="0.64410828025477718"/>
    <n v="46.469135999999992"/>
  </r>
  <r>
    <s v="BATCH00329"/>
    <x v="1"/>
    <x v="2"/>
    <x v="0"/>
    <n v="473.66"/>
    <n v="13.95"/>
    <n v="29.11"/>
    <n v="0"/>
    <n v="0.1"/>
    <n v="13"/>
    <s v="B"/>
    <n v="7.3"/>
    <x v="0"/>
    <n v="83.71"/>
    <x v="0"/>
    <n v="4.63"/>
    <n v="10.84"/>
    <n v="2193.0457999999999"/>
    <n v="5134.4744000000001"/>
    <n v="2941.4286000000002"/>
    <n v="0.57287822878228789"/>
    <n v="34.577180000000006"/>
  </r>
  <r>
    <s v="BATCH00330"/>
    <x v="2"/>
    <x v="1"/>
    <x v="1"/>
    <n v="567.91"/>
    <n v="16.87"/>
    <n v="32.11"/>
    <n v="4.4000000000000004"/>
    <n v="0.9"/>
    <n v="5"/>
    <s v="C"/>
    <n v="7.11"/>
    <x v="1"/>
    <n v="50.34"/>
    <x v="1"/>
    <n v="8.68"/>
    <n v="5.54"/>
    <n v="4929.4587999999994"/>
    <n v="3146.2213999999999"/>
    <n v="-1783.2373999999995"/>
    <n v="-0.56678700361010814"/>
    <n v="40.378400999999997"/>
  </r>
  <r>
    <s v="BATCH00331"/>
    <x v="2"/>
    <x v="2"/>
    <x v="1"/>
    <n v="469.8"/>
    <n v="12.11"/>
    <n v="33.840000000000003"/>
    <n v="0.6"/>
    <n v="1.5"/>
    <n v="18"/>
    <s v="C"/>
    <n v="6.07"/>
    <x v="1"/>
    <n v="81.39"/>
    <x v="2"/>
    <n v="6.51"/>
    <n v="13.9"/>
    <n v="3058.3980000000001"/>
    <n v="6530.22"/>
    <n v="3471.8220000000001"/>
    <n v="0.53165467625899276"/>
    <n v="28.516860000000001"/>
  </r>
  <r>
    <s v="BATCH00332"/>
    <x v="1"/>
    <x v="2"/>
    <x v="1"/>
    <n v="467.06"/>
    <n v="14.04"/>
    <n v="27.66"/>
    <n v="2.6"/>
    <n v="0.1"/>
    <n v="23"/>
    <s v="B"/>
    <n v="6.51"/>
    <x v="1"/>
    <n v="90.51"/>
    <x v="2"/>
    <n v="7.89"/>
    <n v="8.06"/>
    <n v="3685.1034"/>
    <n v="3764.5036000000005"/>
    <n v="79.400200000000495"/>
    <n v="2.1091811414392189E-2"/>
    <n v="30.405605999999999"/>
  </r>
  <r>
    <s v="BATCH00333"/>
    <x v="0"/>
    <x v="3"/>
    <x v="1"/>
    <n v="573.19000000000005"/>
    <n v="14.3"/>
    <n v="37.380000000000003"/>
    <n v="3.3"/>
    <n v="0.2"/>
    <n v="26"/>
    <s v="C"/>
    <n v="8.14"/>
    <x v="0"/>
    <n v="79.540000000000006"/>
    <x v="0"/>
    <n v="6.17"/>
    <n v="6.38"/>
    <n v="3536.5823000000005"/>
    <n v="3656.9522000000002"/>
    <n v="120.36989999999969"/>
    <n v="3.2915360501567313E-2"/>
    <n v="46.657666000000006"/>
  </r>
  <r>
    <s v="BATCH00334"/>
    <x v="3"/>
    <x v="3"/>
    <x v="0"/>
    <n v="533.51"/>
    <n v="12.17"/>
    <n v="31.37"/>
    <n v="3.9"/>
    <n v="0"/>
    <n v="24"/>
    <s v="C"/>
    <n v="9.8000000000000007"/>
    <x v="0"/>
    <n v="71.239999999999995"/>
    <x v="2"/>
    <n v="4.66"/>
    <n v="5.88"/>
    <n v="2486.1566000000003"/>
    <n v="3137.0387999999998"/>
    <n v="650.88219999999956"/>
    <n v="0.20748299319727878"/>
    <n v="52.28398"/>
  </r>
  <r>
    <s v="BATCH00335"/>
    <x v="1"/>
    <x v="1"/>
    <x v="1"/>
    <n v="531.62"/>
    <n v="9.44"/>
    <n v="28.79"/>
    <n v="9.6"/>
    <n v="0.9"/>
    <n v="24"/>
    <s v="A"/>
    <n v="8.06"/>
    <x v="0"/>
    <n v="79.2"/>
    <x v="1"/>
    <n v="9.7899999999999991"/>
    <n v="12.2"/>
    <n v="5204.5598"/>
    <n v="6485.7640000000001"/>
    <n v="1281.2042000000001"/>
    <n v="0.19754098360655739"/>
    <n v="42.848572000000004"/>
  </r>
  <r>
    <s v="BATCH00336"/>
    <x v="2"/>
    <x v="0"/>
    <x v="0"/>
    <n v="546.92999999999995"/>
    <n v="8.94"/>
    <n v="21.34"/>
    <n v="0.7"/>
    <n v="2.2000000000000002"/>
    <n v="29"/>
    <s v="C"/>
    <n v="7.22"/>
    <x v="1"/>
    <n v="80.989999999999995"/>
    <x v="1"/>
    <n v="6.96"/>
    <n v="12.04"/>
    <n v="3806.6327999999994"/>
    <n v="6585.0371999999988"/>
    <n v="2778.4043999999994"/>
    <n v="0.42192691029900331"/>
    <n v="39.488346"/>
  </r>
  <r>
    <s v="BATCH00337"/>
    <x v="0"/>
    <x v="2"/>
    <x v="0"/>
    <n v="346.44"/>
    <n v="8.17"/>
    <n v="29.29"/>
    <n v="2.5"/>
    <n v="1.1000000000000001"/>
    <n v="16"/>
    <s v="A"/>
    <n v="1.79"/>
    <x v="1"/>
    <n v="82"/>
    <x v="2"/>
    <n v="3.92"/>
    <n v="12"/>
    <n v="1358.0447999999999"/>
    <n v="4157.28"/>
    <n v="2799.2352000000001"/>
    <n v="0.67333333333333334"/>
    <n v="6.201276"/>
  </r>
  <r>
    <s v="BATCH00338"/>
    <x v="1"/>
    <x v="1"/>
    <x v="0"/>
    <n v="575.67999999999995"/>
    <n v="16.739999999999998"/>
    <n v="36.409999999999997"/>
    <n v="0.2"/>
    <n v="4"/>
    <n v="15"/>
    <s v="B"/>
    <n v="8.26"/>
    <x v="0"/>
    <n v="98.35"/>
    <x v="1"/>
    <n v="5.84"/>
    <n v="14.16"/>
    <n v="3361.9711999999995"/>
    <n v="8151.6287999999995"/>
    <n v="4789.6576000000005"/>
    <n v="0.58757062146892669"/>
    <n v="47.551167999999997"/>
  </r>
  <r>
    <s v="BATCH00339"/>
    <x v="1"/>
    <x v="3"/>
    <x v="1"/>
    <n v="561.25"/>
    <n v="10.36"/>
    <n v="32.29"/>
    <n v="1"/>
    <n v="0.1"/>
    <n v="8"/>
    <s v="A"/>
    <n v="7.49"/>
    <x v="1"/>
    <n v="58.93"/>
    <x v="1"/>
    <n v="5.31"/>
    <n v="8.49"/>
    <n v="2980.2374999999997"/>
    <n v="4765.0124999999998"/>
    <n v="1784.7750000000001"/>
    <n v="0.37455830388692585"/>
    <n v="42.037624999999998"/>
  </r>
  <r>
    <s v="BATCH00340"/>
    <x v="0"/>
    <x v="2"/>
    <x v="0"/>
    <n v="398.33"/>
    <n v="10.119999999999999"/>
    <n v="36.64"/>
    <n v="3.8"/>
    <n v="2.2999999999999998"/>
    <n v="26"/>
    <s v="B"/>
    <n v="7.82"/>
    <x v="1"/>
    <n v="81.150000000000006"/>
    <x v="0"/>
    <n v="4.5"/>
    <n v="10.61"/>
    <n v="1792.4849999999999"/>
    <n v="4226.2812999999996"/>
    <n v="2433.7963"/>
    <n v="0.57587181903864282"/>
    <n v="31.149405999999999"/>
  </r>
  <r>
    <s v="BATCH00341"/>
    <x v="1"/>
    <x v="0"/>
    <x v="0"/>
    <n v="475.59"/>
    <n v="15.36"/>
    <n v="29.88"/>
    <n v="0.9"/>
    <n v="1.7"/>
    <n v="15"/>
    <s v="A"/>
    <n v="2.7"/>
    <x v="2"/>
    <n v="59.4"/>
    <x v="0"/>
    <n v="9.5299999999999994"/>
    <n v="11.19"/>
    <n v="4532.3726999999999"/>
    <n v="5321.8520999999992"/>
    <n v="789.47939999999926"/>
    <n v="0.14834673815907048"/>
    <n v="12.84093"/>
  </r>
  <r>
    <s v="BATCH00342"/>
    <x v="0"/>
    <x v="3"/>
    <x v="0"/>
    <n v="496.07"/>
    <n v="11.2"/>
    <n v="22.37"/>
    <n v="1.8"/>
    <n v="0.4"/>
    <n v="25"/>
    <s v="A"/>
    <n v="9.08"/>
    <x v="0"/>
    <n v="60.5"/>
    <x v="1"/>
    <n v="9.17"/>
    <n v="14.79"/>
    <n v="4548.9619000000002"/>
    <n v="7336.8752999999997"/>
    <n v="2787.9133999999995"/>
    <n v="0.37998647734956048"/>
    <n v="45.043155999999996"/>
  </r>
  <r>
    <s v="BATCH00343"/>
    <x v="3"/>
    <x v="3"/>
    <x v="1"/>
    <n v="486.55"/>
    <n v="13.06"/>
    <n v="20.27"/>
    <n v="1.4"/>
    <n v="3.6"/>
    <n v="1"/>
    <s v="A"/>
    <n v="1.42"/>
    <x v="0"/>
    <n v="83.46"/>
    <x v="2"/>
    <n v="4.3899999999999997"/>
    <n v="8.1199999999999992"/>
    <n v="2135.9544999999998"/>
    <n v="3950.7859999999996"/>
    <n v="1814.8314999999998"/>
    <n v="0.45935960591133002"/>
    <n v="6.9090099999999994"/>
  </r>
  <r>
    <s v="BATCH00344"/>
    <x v="0"/>
    <x v="3"/>
    <x v="1"/>
    <n v="533.39"/>
    <n v="9.6300000000000008"/>
    <n v="26.06"/>
    <n v="2.1"/>
    <n v="0.3"/>
    <n v="28"/>
    <s v="C"/>
    <n v="2.91"/>
    <x v="1"/>
    <n v="95.8"/>
    <x v="1"/>
    <n v="5.47"/>
    <n v="14.56"/>
    <n v="2917.6432999999997"/>
    <n v="7766.1584000000003"/>
    <n v="4848.5151000000005"/>
    <n v="0.62431318681318682"/>
    <n v="15.521649"/>
  </r>
  <r>
    <s v="BATCH00345"/>
    <x v="0"/>
    <x v="1"/>
    <x v="0"/>
    <n v="643.14"/>
    <n v="17.600000000000001"/>
    <n v="33.96"/>
    <n v="7.2"/>
    <n v="2.2000000000000002"/>
    <n v="17"/>
    <s v="C"/>
    <n v="6.8"/>
    <x v="1"/>
    <n v="57.95"/>
    <x v="0"/>
    <n v="8.34"/>
    <n v="6.49"/>
    <n v="5363.7875999999997"/>
    <n v="4173.9786000000004"/>
    <n v="-1189.8089999999993"/>
    <n v="-0.28505392912172556"/>
    <n v="43.733519999999999"/>
  </r>
  <r>
    <s v="BATCH00346"/>
    <x v="0"/>
    <x v="0"/>
    <x v="1"/>
    <n v="608.17999999999995"/>
    <n v="16.52"/>
    <n v="35.81"/>
    <n v="0.1"/>
    <n v="2.1"/>
    <n v="15"/>
    <s v="C"/>
    <n v="6.9"/>
    <x v="2"/>
    <n v="98.12"/>
    <x v="2"/>
    <n v="4.46"/>
    <n v="12.64"/>
    <n v="2712.4827999999998"/>
    <n v="7687.3951999999999"/>
    <n v="4974.9124000000002"/>
    <n v="0.64715189873417722"/>
    <n v="41.964419999999997"/>
  </r>
  <r>
    <s v="BATCH00347"/>
    <x v="1"/>
    <x v="2"/>
    <x v="0"/>
    <n v="368.78"/>
    <n v="16.64"/>
    <n v="25.92"/>
    <n v="1.7"/>
    <n v="1.4"/>
    <n v="14"/>
    <s v="C"/>
    <n v="3.48"/>
    <x v="0"/>
    <n v="65.97"/>
    <x v="1"/>
    <n v="7.14"/>
    <n v="11.33"/>
    <n v="2633.0891999999999"/>
    <n v="4178.2773999999999"/>
    <n v="1545.1882000000001"/>
    <n v="0.36981465136804942"/>
    <n v="12.833544"/>
  </r>
  <r>
    <s v="BATCH00348"/>
    <x v="1"/>
    <x v="1"/>
    <x v="0"/>
    <n v="562.21"/>
    <n v="12.07"/>
    <n v="29.91"/>
    <n v="4"/>
    <n v="0.8"/>
    <n v="14"/>
    <s v="C"/>
    <n v="7.16"/>
    <x v="0"/>
    <n v="69.569999999999993"/>
    <x v="2"/>
    <n v="7.9"/>
    <n v="13.17"/>
    <n v="4441.4590000000007"/>
    <n v="7404.3057000000008"/>
    <n v="2962.8467000000001"/>
    <n v="0.4001518602885345"/>
    <n v="40.254236000000006"/>
  </r>
  <r>
    <s v="BATCH00349"/>
    <x v="0"/>
    <x v="1"/>
    <x v="1"/>
    <n v="632.89"/>
    <n v="15.62"/>
    <n v="28.42"/>
    <n v="1.3"/>
    <n v="0.1"/>
    <n v="10"/>
    <s v="A"/>
    <n v="4.1900000000000004"/>
    <x v="1"/>
    <n v="57.68"/>
    <x v="2"/>
    <n v="7.58"/>
    <n v="5.29"/>
    <n v="4797.3062"/>
    <n v="3347.9881"/>
    <n v="-1449.3181"/>
    <n v="-0.43289224952741018"/>
    <n v="26.518091000000005"/>
  </r>
  <r>
    <s v="BATCH00350"/>
    <x v="1"/>
    <x v="1"/>
    <x v="0"/>
    <n v="538.67999999999995"/>
    <n v="9.44"/>
    <n v="28.21"/>
    <n v="0.2"/>
    <n v="0.8"/>
    <n v="2"/>
    <s v="C"/>
    <n v="0.5"/>
    <x v="0"/>
    <n v="80.790000000000006"/>
    <x v="2"/>
    <n v="7.94"/>
    <n v="5.78"/>
    <n v="4277.1192000000001"/>
    <n v="3113.5704000000001"/>
    <n v="-1163.5488"/>
    <n v="-0.37370242214532873"/>
    <n v="2.6933999999999996"/>
  </r>
  <r>
    <s v="BATCH00351"/>
    <x v="2"/>
    <x v="3"/>
    <x v="1"/>
    <n v="609.1"/>
    <n v="8.09"/>
    <n v="24.63"/>
    <n v="1.6"/>
    <n v="0.4"/>
    <n v="27"/>
    <s v="B"/>
    <n v="2.04"/>
    <x v="1"/>
    <n v="79.819999999999993"/>
    <x v="1"/>
    <n v="7.95"/>
    <n v="5.7"/>
    <n v="4842.3450000000003"/>
    <n v="3471.8700000000003"/>
    <n v="-1370.4749999999999"/>
    <n v="-0.39473684210526311"/>
    <n v="12.425640000000001"/>
  </r>
  <r>
    <s v="BATCH00352"/>
    <x v="2"/>
    <x v="0"/>
    <x v="1"/>
    <n v="701.23"/>
    <n v="8.1999999999999993"/>
    <n v="22.73"/>
    <n v="0.8"/>
    <n v="1.6"/>
    <n v="6"/>
    <s v="A"/>
    <n v="8.8800000000000008"/>
    <x v="2"/>
    <n v="72.11"/>
    <x v="0"/>
    <n v="9.75"/>
    <n v="10.93"/>
    <n v="6836.9925000000003"/>
    <n v="7664.4439000000002"/>
    <n v="827.45139999999992"/>
    <n v="0.10795974382433668"/>
    <n v="62.269224000000001"/>
  </r>
  <r>
    <s v="BATCH00353"/>
    <x v="1"/>
    <x v="1"/>
    <x v="0"/>
    <n v="602.37"/>
    <n v="13.87"/>
    <n v="23.93"/>
    <n v="0.3"/>
    <n v="1.4"/>
    <n v="17"/>
    <s v="A"/>
    <n v="2.62"/>
    <x v="1"/>
    <n v="73.8"/>
    <x v="2"/>
    <n v="5.43"/>
    <n v="11.03"/>
    <n v="3270.8690999999999"/>
    <n v="6644.1410999999998"/>
    <n v="3373.2719999999999"/>
    <n v="0.50770625566636451"/>
    <n v="15.782094000000003"/>
  </r>
  <r>
    <s v="BATCH00354"/>
    <x v="1"/>
    <x v="2"/>
    <x v="1"/>
    <n v="524.92999999999995"/>
    <n v="12.55"/>
    <n v="21.11"/>
    <n v="3.8"/>
    <n v="2.4"/>
    <n v="5"/>
    <s v="B"/>
    <n v="1.57"/>
    <x v="2"/>
    <n v="81.150000000000006"/>
    <x v="2"/>
    <n v="9.15"/>
    <n v="14.06"/>
    <n v="4803.1094999999996"/>
    <n v="7380.5157999999992"/>
    <n v="2577.4062999999996"/>
    <n v="0.34921763869132288"/>
    <n v="8.2414009999999998"/>
  </r>
  <r>
    <s v="BATCH00355"/>
    <x v="0"/>
    <x v="0"/>
    <x v="1"/>
    <n v="604.51"/>
    <n v="13.18"/>
    <n v="23.96"/>
    <n v="1.5"/>
    <n v="0"/>
    <n v="5"/>
    <s v="C"/>
    <n v="6.98"/>
    <x v="1"/>
    <n v="79.17"/>
    <x v="1"/>
    <n v="3.15"/>
    <n v="9.68"/>
    <n v="1904.2065"/>
    <n v="5851.6567999999997"/>
    <n v="3947.4502999999995"/>
    <n v="0.67458677685950408"/>
    <n v="42.194797999999999"/>
  </r>
  <r>
    <s v="BATCH00356"/>
    <x v="3"/>
    <x v="2"/>
    <x v="0"/>
    <n v="514.49"/>
    <n v="8.07"/>
    <n v="20.18"/>
    <n v="5.4"/>
    <n v="1.7"/>
    <n v="15"/>
    <s v="B"/>
    <n v="4.6900000000000004"/>
    <x v="2"/>
    <n v="68.709999999999994"/>
    <x v="0"/>
    <n v="5.0199999999999996"/>
    <n v="5.68"/>
    <n v="2582.7397999999998"/>
    <n v="2922.3031999999998"/>
    <n v="339.5634"/>
    <n v="0.11619718309859156"/>
    <n v="24.129581000000002"/>
  </r>
  <r>
    <s v="BATCH00357"/>
    <x v="1"/>
    <x v="0"/>
    <x v="0"/>
    <n v="502.39"/>
    <n v="12.23"/>
    <n v="32.549999999999997"/>
    <n v="3.3"/>
    <n v="2.8"/>
    <n v="15"/>
    <s v="A"/>
    <n v="8.07"/>
    <x v="2"/>
    <n v="94.21"/>
    <x v="0"/>
    <n v="3.34"/>
    <n v="7.1"/>
    <n v="1677.9825999999998"/>
    <n v="3566.9689999999996"/>
    <n v="1888.9863999999998"/>
    <n v="0.52957746478873235"/>
    <n v="40.542873"/>
  </r>
  <r>
    <s v="BATCH00358"/>
    <x v="2"/>
    <x v="2"/>
    <x v="1"/>
    <n v="464.86"/>
    <n v="15.18"/>
    <n v="26.33"/>
    <n v="2.4"/>
    <n v="1.6"/>
    <n v="20"/>
    <s v="A"/>
    <n v="8.68"/>
    <x v="0"/>
    <n v="83.38"/>
    <x v="1"/>
    <n v="7.56"/>
    <n v="5.08"/>
    <n v="3514.3415999999997"/>
    <n v="2361.4888000000001"/>
    <n v="-1152.8527999999997"/>
    <n v="-0.48818897637795261"/>
    <n v="40.349848000000001"/>
  </r>
  <r>
    <s v="BATCH00359"/>
    <x v="0"/>
    <x v="3"/>
    <x v="1"/>
    <n v="656.34"/>
    <n v="12.43"/>
    <n v="39.46"/>
    <n v="0"/>
    <n v="0.1"/>
    <n v="11"/>
    <s v="A"/>
    <n v="8.5399999999999991"/>
    <x v="1"/>
    <n v="60.27"/>
    <x v="2"/>
    <n v="3.71"/>
    <n v="12.77"/>
    <n v="2435.0214000000001"/>
    <n v="8381.4618000000009"/>
    <n v="5946.4404000000013"/>
    <n v="0.7094753328112765"/>
    <n v="56.051435999999995"/>
  </r>
  <r>
    <s v="BATCH00360"/>
    <x v="1"/>
    <x v="1"/>
    <x v="0"/>
    <n v="418.16"/>
    <n v="15.32"/>
    <n v="23.87"/>
    <n v="1.1000000000000001"/>
    <n v="0.1"/>
    <n v="5"/>
    <s v="B"/>
    <n v="3.47"/>
    <x v="0"/>
    <n v="66"/>
    <x v="1"/>
    <n v="8.92"/>
    <n v="13.16"/>
    <n v="3729.9872"/>
    <n v="5502.9856"/>
    <n v="1772.9983999999999"/>
    <n v="0.32218844984802431"/>
    <n v="14.510152000000003"/>
  </r>
  <r>
    <s v="BATCH00361"/>
    <x v="2"/>
    <x v="2"/>
    <x v="1"/>
    <n v="653.24"/>
    <n v="10.33"/>
    <n v="26.92"/>
    <n v="0.4"/>
    <n v="0"/>
    <n v="28"/>
    <s v="C"/>
    <n v="5.3"/>
    <x v="0"/>
    <n v="89.39"/>
    <x v="0"/>
    <n v="7.53"/>
    <n v="14.98"/>
    <n v="4918.8972000000003"/>
    <n v="9785.5352000000003"/>
    <n v="4866.6379999999999"/>
    <n v="0.49732977303070758"/>
    <n v="34.621720000000003"/>
  </r>
  <r>
    <s v="BATCH00362"/>
    <x v="2"/>
    <x v="0"/>
    <x v="1"/>
    <n v="549.99"/>
    <n v="16.13"/>
    <n v="27.16"/>
    <n v="4.8"/>
    <n v="1"/>
    <n v="1"/>
    <s v="A"/>
    <n v="6.68"/>
    <x v="1"/>
    <n v="55.23"/>
    <x v="2"/>
    <n v="3.2"/>
    <n v="9.1199999999999992"/>
    <n v="1759.9680000000001"/>
    <n v="5015.9087999999992"/>
    <n v="3255.9407999999994"/>
    <n v="0.64912280701754388"/>
    <n v="36.739331999999997"/>
  </r>
  <r>
    <s v="BATCH00363"/>
    <x v="3"/>
    <x v="1"/>
    <x v="1"/>
    <n v="360.07"/>
    <n v="13.88"/>
    <n v="20.170000000000002"/>
    <n v="0.4"/>
    <n v="1"/>
    <n v="11"/>
    <s v="C"/>
    <n v="3.56"/>
    <x v="0"/>
    <n v="87.51"/>
    <x v="2"/>
    <n v="8"/>
    <n v="5.19"/>
    <n v="2880.56"/>
    <n v="1868.7633000000001"/>
    <n v="-1011.7966999999999"/>
    <n v="-0.54142581888246621"/>
    <n v="12.818491999999999"/>
  </r>
  <r>
    <s v="BATCH00364"/>
    <x v="0"/>
    <x v="1"/>
    <x v="1"/>
    <n v="536.76"/>
    <n v="10.11"/>
    <n v="36.78"/>
    <n v="0.7"/>
    <n v="4.3"/>
    <n v="11"/>
    <s v="A"/>
    <n v="0.89"/>
    <x v="0"/>
    <n v="67.94"/>
    <x v="0"/>
    <n v="9.0299999999999994"/>
    <n v="7.35"/>
    <n v="4846.9427999999998"/>
    <n v="3945.1859999999997"/>
    <n v="-901.75680000000011"/>
    <n v="-0.22857142857142862"/>
    <n v="4.777164"/>
  </r>
  <r>
    <s v="BATCH00365"/>
    <x v="0"/>
    <x v="0"/>
    <x v="1"/>
    <n v="290"/>
    <n v="10.37"/>
    <n v="20.64"/>
    <n v="1.5"/>
    <n v="0.5"/>
    <n v="6"/>
    <s v="C"/>
    <n v="5.21"/>
    <x v="0"/>
    <n v="77.58"/>
    <x v="2"/>
    <n v="7.63"/>
    <n v="10.88"/>
    <n v="2212.6999999999998"/>
    <n v="3155.2000000000003"/>
    <n v="942.50000000000045"/>
    <n v="0.29871323529411775"/>
    <n v="15.109000000000002"/>
  </r>
  <r>
    <s v="BATCH00366"/>
    <x v="3"/>
    <x v="2"/>
    <x v="1"/>
    <n v="562.54999999999995"/>
    <n v="14.28"/>
    <n v="38.799999999999997"/>
    <n v="0.6"/>
    <n v="0.4"/>
    <n v="23"/>
    <s v="B"/>
    <n v="0.62"/>
    <x v="1"/>
    <n v="64.03"/>
    <x v="1"/>
    <n v="3.21"/>
    <n v="14.62"/>
    <n v="1805.7854999999997"/>
    <n v="8224.4809999999998"/>
    <n v="6418.6954999999998"/>
    <n v="0.780437756497948"/>
    <n v="3.4878099999999996"/>
  </r>
  <r>
    <s v="BATCH00367"/>
    <x v="3"/>
    <x v="3"/>
    <x v="1"/>
    <n v="588.52"/>
    <n v="16.3"/>
    <n v="37.840000000000003"/>
    <n v="0.5"/>
    <n v="1"/>
    <n v="8"/>
    <s v="A"/>
    <n v="9.5299999999999994"/>
    <x v="0"/>
    <n v="99.32"/>
    <x v="0"/>
    <n v="9.01"/>
    <n v="6.04"/>
    <n v="5302.5652"/>
    <n v="3554.6608000000001"/>
    <n v="-1747.9043999999999"/>
    <n v="-0.49172185430463572"/>
    <n v="56.085955999999996"/>
  </r>
  <r>
    <s v="BATCH00368"/>
    <x v="0"/>
    <x v="3"/>
    <x v="0"/>
    <n v="440.76"/>
    <n v="12.16"/>
    <n v="30.71"/>
    <n v="1.8"/>
    <n v="1.7"/>
    <n v="2"/>
    <s v="A"/>
    <n v="8.07"/>
    <x v="0"/>
    <n v="95.29"/>
    <x v="0"/>
    <n v="8.1300000000000008"/>
    <n v="6.22"/>
    <n v="3583.3788000000004"/>
    <n v="2741.5272"/>
    <n v="-841.85160000000042"/>
    <n v="-0.30707395498392298"/>
    <n v="35.569332000000003"/>
  </r>
  <r>
    <s v="BATCH00369"/>
    <x v="0"/>
    <x v="2"/>
    <x v="0"/>
    <n v="512.35"/>
    <n v="10.58"/>
    <n v="30.87"/>
    <n v="0.2"/>
    <n v="2.8"/>
    <n v="15"/>
    <s v="A"/>
    <n v="2.3199999999999998"/>
    <x v="0"/>
    <n v="96.42"/>
    <x v="2"/>
    <n v="5.65"/>
    <n v="12.02"/>
    <n v="2894.7775000000001"/>
    <n v="6158.4470000000001"/>
    <n v="3263.6695"/>
    <n v="0.52995008319467551"/>
    <n v="11.886520000000001"/>
  </r>
  <r>
    <s v="BATCH00370"/>
    <x v="1"/>
    <x v="1"/>
    <x v="0"/>
    <n v="695.42"/>
    <n v="16.670000000000002"/>
    <n v="33.08"/>
    <n v="0.1"/>
    <n v="1.6"/>
    <n v="23"/>
    <s v="B"/>
    <n v="3.23"/>
    <x v="1"/>
    <n v="59.24"/>
    <x v="0"/>
    <n v="5.3"/>
    <n v="11.67"/>
    <n v="3685.7259999999997"/>
    <n v="8115.5513999999994"/>
    <n v="4429.8253999999997"/>
    <n v="0.54584404455869751"/>
    <n v="22.462066"/>
  </r>
  <r>
    <s v="BATCH00371"/>
    <x v="1"/>
    <x v="1"/>
    <x v="0"/>
    <n v="449.43"/>
    <n v="14.69"/>
    <n v="27.74"/>
    <n v="0.9"/>
    <n v="0.6"/>
    <n v="22"/>
    <s v="B"/>
    <n v="9.84"/>
    <x v="2"/>
    <n v="92.08"/>
    <x v="1"/>
    <n v="6.36"/>
    <n v="7.51"/>
    <n v="2858.3748000000001"/>
    <n v="3375.2192999999997"/>
    <n v="516.8444999999997"/>
    <n v="0.15312916111850858"/>
    <n v="44.223911999999999"/>
  </r>
  <r>
    <s v="BATCH00372"/>
    <x v="3"/>
    <x v="1"/>
    <x v="0"/>
    <n v="394.11"/>
    <n v="12.48"/>
    <n v="32.94"/>
    <n v="2.6"/>
    <n v="1"/>
    <n v="9"/>
    <s v="C"/>
    <n v="4.05"/>
    <x v="2"/>
    <n v="76.77"/>
    <x v="0"/>
    <n v="9.07"/>
    <n v="13.13"/>
    <n v="3574.5777000000003"/>
    <n v="5174.6643000000004"/>
    <n v="1600.0866000000001"/>
    <n v="0.30921553693830922"/>
    <n v="15.961455000000001"/>
  </r>
  <r>
    <s v="BATCH00373"/>
    <x v="1"/>
    <x v="1"/>
    <x v="1"/>
    <n v="648.16999999999996"/>
    <n v="12.88"/>
    <n v="20.9"/>
    <n v="1.6"/>
    <n v="1.9"/>
    <n v="15"/>
    <s v="B"/>
    <n v="7.95"/>
    <x v="2"/>
    <n v="85.39"/>
    <x v="2"/>
    <n v="4.76"/>
    <n v="6.29"/>
    <n v="3085.2891999999997"/>
    <n v="4076.9892999999997"/>
    <n v="991.70010000000002"/>
    <n v="0.24324324324324326"/>
    <n v="51.529515000000004"/>
  </r>
  <r>
    <s v="BATCH00374"/>
    <x v="2"/>
    <x v="2"/>
    <x v="1"/>
    <n v="696.26"/>
    <n v="10.039999999999999"/>
    <n v="21.08"/>
    <n v="1.1000000000000001"/>
    <n v="0.7"/>
    <n v="8"/>
    <s v="A"/>
    <n v="4.74"/>
    <x v="2"/>
    <n v="60.88"/>
    <x v="0"/>
    <n v="3.71"/>
    <n v="14.26"/>
    <n v="2583.1246000000001"/>
    <n v="9928.6675999999989"/>
    <n v="7345.5429999999988"/>
    <n v="0.73983169705469842"/>
    <n v="33.002724000000001"/>
  </r>
  <r>
    <s v="BATCH00375"/>
    <x v="1"/>
    <x v="1"/>
    <x v="1"/>
    <n v="500.37"/>
    <n v="14.27"/>
    <n v="29.14"/>
    <n v="1.7"/>
    <n v="0.2"/>
    <n v="16"/>
    <s v="C"/>
    <n v="8.7100000000000009"/>
    <x v="0"/>
    <n v="85.6"/>
    <x v="2"/>
    <n v="9.0500000000000007"/>
    <n v="7.01"/>
    <n v="4528.3485000000001"/>
    <n v="3507.5936999999999"/>
    <n v="-1020.7548000000002"/>
    <n v="-0.29101283880171191"/>
    <n v="43.582227000000003"/>
  </r>
  <r>
    <s v="BATCH00376"/>
    <x v="1"/>
    <x v="0"/>
    <x v="1"/>
    <n v="601.15"/>
    <n v="11.59"/>
    <n v="30.99"/>
    <n v="0.9"/>
    <n v="0.2"/>
    <n v="27"/>
    <s v="B"/>
    <n v="7.19"/>
    <x v="1"/>
    <n v="95.71"/>
    <x v="2"/>
    <n v="3.18"/>
    <n v="5.81"/>
    <n v="1911.6569999999999"/>
    <n v="3492.6814999999997"/>
    <n v="1581.0244999999998"/>
    <n v="0.45266781411359724"/>
    <n v="43.222684999999998"/>
  </r>
  <r>
    <s v="BATCH00377"/>
    <x v="2"/>
    <x v="1"/>
    <x v="0"/>
    <n v="634.15"/>
    <n v="17.96"/>
    <n v="37.76"/>
    <n v="5.5"/>
    <n v="0"/>
    <n v="14"/>
    <s v="C"/>
    <n v="0.72"/>
    <x v="0"/>
    <n v="63.37"/>
    <x v="1"/>
    <n v="9.3800000000000008"/>
    <n v="8.4"/>
    <n v="5948.3270000000002"/>
    <n v="5326.86"/>
    <n v="-621.46700000000055"/>
    <n v="-0.11666666666666678"/>
    <n v="4.5658799999999999"/>
  </r>
  <r>
    <s v="BATCH00378"/>
    <x v="3"/>
    <x v="3"/>
    <x v="1"/>
    <n v="425.75"/>
    <n v="12.8"/>
    <n v="22.09"/>
    <n v="0.1"/>
    <n v="1.3"/>
    <n v="15"/>
    <s v="C"/>
    <n v="3.3"/>
    <x v="1"/>
    <n v="61.67"/>
    <x v="0"/>
    <n v="5.14"/>
    <n v="6.88"/>
    <n v="2188.355"/>
    <n v="2929.16"/>
    <n v="740.80499999999984"/>
    <n v="0.252906976744186"/>
    <n v="14.04975"/>
  </r>
  <r>
    <s v="BATCH00379"/>
    <x v="2"/>
    <x v="1"/>
    <x v="1"/>
    <n v="451.47"/>
    <n v="12.86"/>
    <n v="36.450000000000003"/>
    <n v="2.2000000000000002"/>
    <n v="0.1"/>
    <n v="20"/>
    <s v="C"/>
    <n v="5.8"/>
    <x v="0"/>
    <n v="55.22"/>
    <x v="1"/>
    <n v="6.56"/>
    <n v="10.27"/>
    <n v="2961.6432"/>
    <n v="4636.5969000000005"/>
    <n v="1674.9537000000005"/>
    <n v="0.36124634858812082"/>
    <n v="26.185260000000003"/>
  </r>
  <r>
    <s v="BATCH00380"/>
    <x v="1"/>
    <x v="2"/>
    <x v="0"/>
    <n v="623.09"/>
    <n v="13.66"/>
    <n v="24.2"/>
    <n v="4.4000000000000004"/>
    <n v="0.3"/>
    <n v="13"/>
    <s v="A"/>
    <n v="9.3000000000000007"/>
    <x v="2"/>
    <n v="63.34"/>
    <x v="1"/>
    <n v="3.93"/>
    <n v="11.87"/>
    <n v="2448.7437000000004"/>
    <n v="7396.0783000000001"/>
    <n v="4947.3346000000001"/>
    <n v="0.66891322662173547"/>
    <n v="57.947370000000006"/>
  </r>
  <r>
    <s v="BATCH00381"/>
    <x v="3"/>
    <x v="3"/>
    <x v="1"/>
    <n v="668.5"/>
    <n v="17.170000000000002"/>
    <n v="27.88"/>
    <n v="3.3"/>
    <n v="0.4"/>
    <n v="9"/>
    <s v="A"/>
    <n v="1.47"/>
    <x v="2"/>
    <n v="76.790000000000006"/>
    <x v="0"/>
    <n v="9.32"/>
    <n v="9.91"/>
    <n v="6230.42"/>
    <n v="6624.835"/>
    <n v="394.41499999999996"/>
    <n v="5.9535822401614522E-2"/>
    <n v="9.8269500000000001"/>
  </r>
  <r>
    <s v="BATCH00382"/>
    <x v="1"/>
    <x v="2"/>
    <x v="1"/>
    <n v="556.29"/>
    <n v="16.010000000000002"/>
    <n v="26.33"/>
    <n v="0.4"/>
    <n v="0.8"/>
    <n v="1"/>
    <s v="B"/>
    <n v="6.21"/>
    <x v="1"/>
    <n v="91.64"/>
    <x v="1"/>
    <n v="8.25"/>
    <n v="11.61"/>
    <n v="4589.3924999999999"/>
    <n v="6458.5268999999989"/>
    <n v="1869.134399999999"/>
    <n v="0.28940568475452183"/>
    <n v="34.545608999999999"/>
  </r>
  <r>
    <s v="BATCH00383"/>
    <x v="2"/>
    <x v="2"/>
    <x v="0"/>
    <n v="412.02"/>
    <n v="12.51"/>
    <n v="28"/>
    <n v="0.7"/>
    <n v="0.5"/>
    <n v="27"/>
    <s v="A"/>
    <n v="3.37"/>
    <x v="0"/>
    <n v="63.94"/>
    <x v="1"/>
    <n v="9.4700000000000006"/>
    <n v="8.65"/>
    <n v="3901.8294000000001"/>
    <n v="3563.973"/>
    <n v="-337.85640000000012"/>
    <n v="-9.4797687861271712E-2"/>
    <n v="13.885073999999999"/>
  </r>
  <r>
    <s v="BATCH00384"/>
    <x v="2"/>
    <x v="3"/>
    <x v="1"/>
    <n v="698.71"/>
    <n v="15.19"/>
    <n v="23.01"/>
    <n v="2.5"/>
    <n v="1.1000000000000001"/>
    <n v="6"/>
    <s v="C"/>
    <n v="8.9499999999999993"/>
    <x v="2"/>
    <n v="81.06"/>
    <x v="2"/>
    <n v="7.78"/>
    <n v="5.28"/>
    <n v="5435.9638000000004"/>
    <n v="3689.1888000000004"/>
    <n v="-1746.7750000000001"/>
    <n v="-0.47348484848484845"/>
    <n v="62.534545000000001"/>
  </r>
  <r>
    <s v="BATCH00385"/>
    <x v="1"/>
    <x v="2"/>
    <x v="1"/>
    <n v="446.9"/>
    <n v="13.86"/>
    <n v="30.07"/>
    <n v="0.2"/>
    <n v="0.1"/>
    <n v="8"/>
    <s v="C"/>
    <n v="7.77"/>
    <x v="1"/>
    <n v="73.98"/>
    <x v="1"/>
    <n v="4.29"/>
    <n v="14.74"/>
    <n v="1917.201"/>
    <n v="6587.3059999999996"/>
    <n v="4670.1049999999996"/>
    <n v="0.70895522388059695"/>
    <n v="34.724129999999995"/>
  </r>
  <r>
    <s v="BATCH00386"/>
    <x v="0"/>
    <x v="2"/>
    <x v="1"/>
    <n v="466.49"/>
    <n v="12.92"/>
    <n v="36.03"/>
    <n v="3.3"/>
    <n v="0.1"/>
    <n v="27"/>
    <s v="A"/>
    <n v="4.01"/>
    <x v="0"/>
    <n v="64.430000000000007"/>
    <x v="0"/>
    <n v="5.16"/>
    <n v="13.19"/>
    <n v="2407.0884000000001"/>
    <n v="6153.0030999999999"/>
    <n v="3745.9146999999998"/>
    <n v="0.6087945413191812"/>
    <n v="18.706249"/>
  </r>
  <r>
    <s v="BATCH00387"/>
    <x v="0"/>
    <x v="1"/>
    <x v="1"/>
    <n v="534.23"/>
    <n v="9.92"/>
    <n v="28.83"/>
    <n v="2.5"/>
    <n v="0.7"/>
    <n v="27"/>
    <s v="C"/>
    <n v="2.09"/>
    <x v="1"/>
    <n v="75.52"/>
    <x v="2"/>
    <n v="6.41"/>
    <n v="5.73"/>
    <n v="3424.4143000000004"/>
    <n v="3061.1379000000002"/>
    <n v="-363.27640000000019"/>
    <n v="-0.11867364746945905"/>
    <n v="11.165407"/>
  </r>
  <r>
    <s v="BATCH00388"/>
    <x v="2"/>
    <x v="0"/>
    <x v="1"/>
    <n v="655.42"/>
    <n v="12.64"/>
    <n v="29.81"/>
    <n v="2.6"/>
    <n v="0.4"/>
    <n v="20"/>
    <s v="A"/>
    <n v="0.61"/>
    <x v="0"/>
    <n v="58.4"/>
    <x v="1"/>
    <n v="7.25"/>
    <n v="9.49"/>
    <n v="4751.7950000000001"/>
    <n v="6219.9358000000002"/>
    <n v="1468.1408000000001"/>
    <n v="0.23603793466807166"/>
    <n v="3.998062"/>
  </r>
  <r>
    <s v="BATCH00389"/>
    <x v="2"/>
    <x v="2"/>
    <x v="0"/>
    <n v="585.4"/>
    <n v="10.46"/>
    <n v="36.979999999999997"/>
    <n v="0.2"/>
    <n v="0.4"/>
    <n v="18"/>
    <s v="C"/>
    <n v="6.4"/>
    <x v="0"/>
    <n v="81.98"/>
    <x v="1"/>
    <n v="9.49"/>
    <n v="11.35"/>
    <n v="5555.4459999999999"/>
    <n v="6644.29"/>
    <n v="1088.8440000000001"/>
    <n v="0.16387665198237886"/>
    <n v="37.465600000000002"/>
  </r>
  <r>
    <s v="BATCH00390"/>
    <x v="0"/>
    <x v="2"/>
    <x v="0"/>
    <n v="541.49"/>
    <n v="17.149999999999999"/>
    <n v="34.119999999999997"/>
    <n v="2.5"/>
    <n v="0.1"/>
    <n v="27"/>
    <s v="B"/>
    <n v="4.3600000000000003"/>
    <x v="0"/>
    <n v="55.78"/>
    <x v="0"/>
    <n v="5.69"/>
    <n v="6.91"/>
    <n v="3081.0781000000002"/>
    <n v="3741.6959000000002"/>
    <n v="660.61779999999999"/>
    <n v="0.17655571635311143"/>
    <n v="23.608964"/>
  </r>
  <r>
    <s v="BATCH00391"/>
    <x v="0"/>
    <x v="2"/>
    <x v="0"/>
    <n v="546.33000000000004"/>
    <n v="11.35"/>
    <n v="29.81"/>
    <n v="2.2999999999999998"/>
    <n v="2.2999999999999998"/>
    <n v="18"/>
    <s v="B"/>
    <n v="3.49"/>
    <x v="1"/>
    <n v="86.55"/>
    <x v="1"/>
    <n v="7.92"/>
    <n v="10.78"/>
    <n v="4326.9336000000003"/>
    <n v="5889.4373999999998"/>
    <n v="1562.5037999999995"/>
    <n v="0.2653061224489795"/>
    <n v="19.066917000000004"/>
  </r>
  <r>
    <s v="BATCH00392"/>
    <x v="1"/>
    <x v="1"/>
    <x v="0"/>
    <n v="504.35"/>
    <n v="17.52"/>
    <n v="25.15"/>
    <n v="3.6"/>
    <n v="1.2"/>
    <n v="26"/>
    <s v="A"/>
    <n v="9.86"/>
    <x v="1"/>
    <n v="58.89"/>
    <x v="0"/>
    <n v="9.73"/>
    <n v="10.34"/>
    <n v="4907.3255000000008"/>
    <n v="5214.9790000000003"/>
    <n v="307.65349999999944"/>
    <n v="5.899419729206952E-2"/>
    <n v="49.728909999999999"/>
  </r>
  <r>
    <s v="BATCH00393"/>
    <x v="1"/>
    <x v="0"/>
    <x v="0"/>
    <n v="555.80999999999995"/>
    <n v="13.33"/>
    <n v="37.700000000000003"/>
    <n v="0.1"/>
    <n v="0.1"/>
    <n v="17"/>
    <s v="A"/>
    <n v="4.93"/>
    <x v="0"/>
    <n v="99.91"/>
    <x v="1"/>
    <n v="4.07"/>
    <n v="7.08"/>
    <n v="2262.1466999999998"/>
    <n v="3935.1347999999998"/>
    <n v="1672.9881"/>
    <n v="0.42514124293785316"/>
    <n v="27.401432999999997"/>
  </r>
  <r>
    <s v="BATCH00394"/>
    <x v="0"/>
    <x v="3"/>
    <x v="0"/>
    <n v="247.04"/>
    <n v="14.32"/>
    <n v="31.54"/>
    <n v="0"/>
    <n v="0.1"/>
    <n v="21"/>
    <s v="A"/>
    <n v="7.62"/>
    <x v="2"/>
    <n v="91.18"/>
    <x v="1"/>
    <n v="9.0399999999999991"/>
    <n v="6.41"/>
    <n v="2233.2415999999998"/>
    <n v="1583.5264"/>
    <n v="-649.71519999999987"/>
    <n v="-0.4102964118564742"/>
    <n v="18.824448"/>
  </r>
  <r>
    <s v="BATCH00395"/>
    <x v="1"/>
    <x v="1"/>
    <x v="1"/>
    <n v="470.34"/>
    <n v="13.43"/>
    <n v="24.42"/>
    <n v="0.9"/>
    <n v="3.7"/>
    <n v="16"/>
    <s v="A"/>
    <n v="2.19"/>
    <x v="0"/>
    <n v="67.19"/>
    <x v="0"/>
    <n v="5.94"/>
    <n v="12.59"/>
    <n v="2793.8195999999998"/>
    <n v="5921.5805999999993"/>
    <n v="3127.7609999999995"/>
    <n v="0.52819698173153296"/>
    <n v="10.300445999999999"/>
  </r>
  <r>
    <s v="BATCH00396"/>
    <x v="1"/>
    <x v="1"/>
    <x v="0"/>
    <n v="524.13"/>
    <n v="9.2899999999999991"/>
    <n v="25.38"/>
    <n v="0.3"/>
    <n v="1.1000000000000001"/>
    <n v="13"/>
    <s v="A"/>
    <n v="0.63"/>
    <x v="1"/>
    <n v="71.31"/>
    <x v="2"/>
    <n v="8.1300000000000008"/>
    <n v="8.23"/>
    <n v="4261.1769000000004"/>
    <n v="4313.5898999999999"/>
    <n v="52.412999999999556"/>
    <n v="1.2150668286755669E-2"/>
    <n v="3.302019"/>
  </r>
  <r>
    <s v="BATCH00397"/>
    <x v="3"/>
    <x v="0"/>
    <x v="0"/>
    <n v="384.9"/>
    <n v="11.76"/>
    <n v="36.06"/>
    <n v="1.6"/>
    <n v="0.5"/>
    <n v="22"/>
    <s v="C"/>
    <n v="4.47"/>
    <x v="0"/>
    <n v="62.96"/>
    <x v="0"/>
    <n v="5.05"/>
    <n v="7.44"/>
    <n v="1943.7449999999999"/>
    <n v="2863.6559999999999"/>
    <n v="919.91100000000006"/>
    <n v="0.32123655913978499"/>
    <n v="17.205029999999997"/>
  </r>
  <r>
    <s v="BATCH00398"/>
    <x v="1"/>
    <x v="0"/>
    <x v="1"/>
    <n v="538.63"/>
    <n v="8.99"/>
    <n v="20.88"/>
    <n v="5"/>
    <n v="1.2"/>
    <n v="4"/>
    <s v="B"/>
    <n v="6.82"/>
    <x v="1"/>
    <n v="88.36"/>
    <x v="2"/>
    <n v="5.34"/>
    <n v="12.38"/>
    <n v="2876.2842000000001"/>
    <n v="6668.2394000000004"/>
    <n v="3791.9552000000003"/>
    <n v="0.56865912762520199"/>
    <n v="36.734566000000001"/>
  </r>
  <r>
    <s v="BATCH00399"/>
    <x v="2"/>
    <x v="1"/>
    <x v="1"/>
    <n v="479.55"/>
    <n v="14.23"/>
    <n v="39.840000000000003"/>
    <n v="1"/>
    <n v="1.4"/>
    <n v="4"/>
    <s v="C"/>
    <n v="5.31"/>
    <x v="0"/>
    <n v="69.040000000000006"/>
    <x v="2"/>
    <n v="3.19"/>
    <n v="12.36"/>
    <n v="1529.7645"/>
    <n v="5927.2380000000003"/>
    <n v="4397.4735000000001"/>
    <n v="0.74190938511326854"/>
    <n v="25.464105"/>
  </r>
  <r>
    <s v="BATCH00400"/>
    <x v="1"/>
    <x v="3"/>
    <x v="0"/>
    <n v="675.55"/>
    <n v="12.47"/>
    <n v="22.61"/>
    <n v="3.7"/>
    <n v="1.5"/>
    <n v="21"/>
    <s v="B"/>
    <n v="8.9600000000000009"/>
    <x v="0"/>
    <n v="87.76"/>
    <x v="0"/>
    <n v="9.8000000000000007"/>
    <n v="7.76"/>
    <n v="6620.39"/>
    <n v="5242.2679999999991"/>
    <n v="-1378.1220000000012"/>
    <n v="-0.26288659793814462"/>
    <n v="60.52928"/>
  </r>
  <r>
    <s v="BATCH00401"/>
    <x v="1"/>
    <x v="1"/>
    <x v="1"/>
    <n v="657.3"/>
    <n v="15.78"/>
    <n v="35.92"/>
    <n v="0"/>
    <n v="0.6"/>
    <n v="14"/>
    <s v="C"/>
    <n v="4.62"/>
    <x v="2"/>
    <n v="50.92"/>
    <x v="0"/>
    <n v="8.69"/>
    <n v="13.73"/>
    <n v="5711.936999999999"/>
    <n v="9024.7289999999994"/>
    <n v="3312.7920000000004"/>
    <n v="0.36707938820101971"/>
    <n v="30.367259999999998"/>
  </r>
  <r>
    <s v="BATCH00402"/>
    <x v="0"/>
    <x v="0"/>
    <x v="0"/>
    <n v="453.42"/>
    <n v="10.199999999999999"/>
    <n v="27.9"/>
    <n v="0.4"/>
    <n v="0.6"/>
    <n v="5"/>
    <s v="C"/>
    <n v="3.45"/>
    <x v="2"/>
    <n v="56.78"/>
    <x v="1"/>
    <n v="3.66"/>
    <n v="11.88"/>
    <n v="1659.5172000000002"/>
    <n v="5386.6296000000002"/>
    <n v="3727.1124"/>
    <n v="0.69191919191919193"/>
    <n v="15.642990000000003"/>
  </r>
  <r>
    <s v="BATCH00403"/>
    <x v="2"/>
    <x v="3"/>
    <x v="1"/>
    <n v="484.92"/>
    <n v="9.65"/>
    <n v="29.84"/>
    <n v="0.1"/>
    <n v="0"/>
    <n v="16"/>
    <s v="C"/>
    <n v="9.1999999999999993"/>
    <x v="1"/>
    <n v="68.25"/>
    <x v="1"/>
    <n v="10"/>
    <n v="8.4600000000000009"/>
    <n v="4849.2"/>
    <n v="4102.4232000000002"/>
    <n v="-746.77679999999964"/>
    <n v="-0.18203309692671385"/>
    <n v="44.612639999999999"/>
  </r>
  <r>
    <s v="BATCH00404"/>
    <x v="1"/>
    <x v="0"/>
    <x v="0"/>
    <n v="492.61"/>
    <n v="12.06"/>
    <n v="37.61"/>
    <n v="0.8"/>
    <n v="2.6"/>
    <n v="14"/>
    <s v="A"/>
    <n v="4.3600000000000003"/>
    <x v="0"/>
    <n v="55.45"/>
    <x v="2"/>
    <n v="7.24"/>
    <n v="9.27"/>
    <n v="3566.4964"/>
    <n v="4566.4947000000002"/>
    <n v="999.9983000000002"/>
    <n v="0.21898597626752969"/>
    <n v="21.477796000000001"/>
  </r>
  <r>
    <s v="BATCH00405"/>
    <x v="1"/>
    <x v="3"/>
    <x v="1"/>
    <n v="454.83"/>
    <n v="17.27"/>
    <n v="28.26"/>
    <n v="4.8"/>
    <n v="0.9"/>
    <n v="14"/>
    <s v="B"/>
    <n v="3.06"/>
    <x v="1"/>
    <n v="80.06"/>
    <x v="1"/>
    <n v="8.98"/>
    <n v="12.27"/>
    <n v="4084.3733999999999"/>
    <n v="5580.7640999999994"/>
    <n v="1496.3906999999995"/>
    <n v="0.2681336593317033"/>
    <n v="13.917797999999999"/>
  </r>
  <r>
    <s v="BATCH00406"/>
    <x v="3"/>
    <x v="2"/>
    <x v="1"/>
    <n v="519.5"/>
    <n v="15.1"/>
    <n v="30.75"/>
    <n v="0.2"/>
    <n v="0.2"/>
    <n v="14"/>
    <s v="A"/>
    <n v="1.43"/>
    <x v="0"/>
    <n v="52.54"/>
    <x v="0"/>
    <n v="3.47"/>
    <n v="7.12"/>
    <n v="1802.6650000000002"/>
    <n v="3698.84"/>
    <n v="1896.175"/>
    <n v="0.51264044943820219"/>
    <n v="7.4288499999999997"/>
  </r>
  <r>
    <s v="BATCH00407"/>
    <x v="1"/>
    <x v="0"/>
    <x v="0"/>
    <n v="424.17"/>
    <n v="12.19"/>
    <n v="20.99"/>
    <n v="1.9"/>
    <n v="2.5"/>
    <n v="25"/>
    <s v="A"/>
    <n v="8.0399999999999991"/>
    <x v="0"/>
    <n v="92.99"/>
    <x v="2"/>
    <n v="5.73"/>
    <n v="9.69"/>
    <n v="2430.4941000000003"/>
    <n v="4110.2073"/>
    <n v="1679.7131999999997"/>
    <n v="0.40866873065015474"/>
    <n v="34.103268"/>
  </r>
  <r>
    <s v="BATCH00408"/>
    <x v="1"/>
    <x v="0"/>
    <x v="0"/>
    <n v="386.94"/>
    <n v="13.17"/>
    <n v="20.05"/>
    <n v="1.2"/>
    <n v="2.5"/>
    <n v="24"/>
    <s v="C"/>
    <n v="8.34"/>
    <x v="0"/>
    <n v="88.07"/>
    <x v="1"/>
    <n v="7.69"/>
    <n v="11.54"/>
    <n v="2975.5686000000001"/>
    <n v="4465.2875999999997"/>
    <n v="1489.7189999999996"/>
    <n v="0.33362218370883878"/>
    <n v="32.270795999999997"/>
  </r>
  <r>
    <s v="BATCH00409"/>
    <x v="3"/>
    <x v="1"/>
    <x v="0"/>
    <n v="562.27"/>
    <n v="8.84"/>
    <n v="24.9"/>
    <n v="5.6"/>
    <n v="4.5"/>
    <n v="25"/>
    <s v="B"/>
    <n v="0.82"/>
    <x v="2"/>
    <n v="60.81"/>
    <x v="1"/>
    <n v="3.75"/>
    <n v="10.39"/>
    <n v="2108.5124999999998"/>
    <n v="5841.9853000000003"/>
    <n v="3733.4728000000005"/>
    <n v="0.63907603464870077"/>
    <n v="4.6106139999999991"/>
  </r>
  <r>
    <s v="BATCH00410"/>
    <x v="0"/>
    <x v="0"/>
    <x v="0"/>
    <n v="562.95000000000005"/>
    <n v="17.850000000000001"/>
    <n v="33.61"/>
    <n v="0.3"/>
    <n v="2.1"/>
    <n v="29"/>
    <s v="B"/>
    <n v="3.91"/>
    <x v="1"/>
    <n v="74.19"/>
    <x v="0"/>
    <n v="6.42"/>
    <n v="11.08"/>
    <n v="3614.1390000000001"/>
    <n v="6237.4860000000008"/>
    <n v="2623.3470000000007"/>
    <n v="0.42057761732851989"/>
    <n v="22.011345000000002"/>
  </r>
  <r>
    <s v="BATCH00411"/>
    <x v="1"/>
    <x v="0"/>
    <x v="0"/>
    <n v="419.57"/>
    <n v="14.66"/>
    <n v="22.43"/>
    <n v="0.5"/>
    <n v="6.1"/>
    <n v="14"/>
    <s v="B"/>
    <n v="7.62"/>
    <x v="0"/>
    <n v="72.59"/>
    <x v="0"/>
    <n v="6.1"/>
    <n v="10.46"/>
    <n v="2559.377"/>
    <n v="4388.7022000000006"/>
    <n v="1829.3252000000007"/>
    <n v="0.41682600382409185"/>
    <n v="31.971233999999999"/>
  </r>
  <r>
    <s v="BATCH00412"/>
    <x v="3"/>
    <x v="2"/>
    <x v="1"/>
    <n v="589.54"/>
    <n v="10.85"/>
    <n v="22.28"/>
    <n v="0.1"/>
    <n v="0.3"/>
    <n v="19"/>
    <s v="B"/>
    <n v="9.49"/>
    <x v="0"/>
    <n v="86.24"/>
    <x v="1"/>
    <n v="4.51"/>
    <n v="6.99"/>
    <n v="2658.8253999999997"/>
    <n v="4120.8846000000003"/>
    <n v="1462.0592000000006"/>
    <n v="0.35479256080114463"/>
    <n v="55.947345999999996"/>
  </r>
  <r>
    <s v="BATCH00413"/>
    <x v="2"/>
    <x v="0"/>
    <x v="0"/>
    <n v="436.84"/>
    <n v="13.86"/>
    <n v="28.22"/>
    <n v="1.1000000000000001"/>
    <n v="1.8"/>
    <n v="3"/>
    <s v="A"/>
    <n v="4.09"/>
    <x v="1"/>
    <n v="70.08"/>
    <x v="2"/>
    <n v="5.0999999999999996"/>
    <n v="9.1"/>
    <n v="2227.8839999999996"/>
    <n v="3975.2439999999997"/>
    <n v="1747.3600000000001"/>
    <n v="0.43956043956043961"/>
    <n v="17.866755999999999"/>
  </r>
  <r>
    <s v="BATCH00414"/>
    <x v="0"/>
    <x v="2"/>
    <x v="0"/>
    <n v="525.32000000000005"/>
    <n v="9.09"/>
    <n v="32.96"/>
    <n v="0.7"/>
    <n v="1.7"/>
    <n v="17"/>
    <s v="A"/>
    <n v="8.7799999999999994"/>
    <x v="1"/>
    <n v="51.65"/>
    <x v="2"/>
    <n v="9.77"/>
    <n v="10.32"/>
    <n v="5132.3764000000001"/>
    <n v="5421.3024000000005"/>
    <n v="288.92600000000039"/>
    <n v="5.329457364341092E-2"/>
    <n v="46.123096000000004"/>
  </r>
  <r>
    <s v="BATCH00415"/>
    <x v="2"/>
    <x v="2"/>
    <x v="1"/>
    <n v="582.03"/>
    <n v="17.66"/>
    <n v="34.24"/>
    <n v="4.0999999999999996"/>
    <n v="0.3"/>
    <n v="14"/>
    <s v="B"/>
    <n v="4.24"/>
    <x v="0"/>
    <n v="63.69"/>
    <x v="0"/>
    <n v="5.0199999999999996"/>
    <n v="12.8"/>
    <n v="2921.7905999999998"/>
    <n v="7449.9840000000004"/>
    <n v="4528.1934000000001"/>
    <n v="0.60781249999999998"/>
    <n v="24.678072"/>
  </r>
  <r>
    <s v="BATCH00416"/>
    <x v="2"/>
    <x v="2"/>
    <x v="1"/>
    <n v="496.64"/>
    <n v="9.75"/>
    <n v="23.57"/>
    <n v="1.9"/>
    <n v="0.1"/>
    <n v="10"/>
    <s v="A"/>
    <n v="2.21"/>
    <x v="2"/>
    <n v="73.31"/>
    <x v="0"/>
    <n v="4.49"/>
    <n v="11.54"/>
    <n v="2229.9135999999999"/>
    <n v="5731.2255999999998"/>
    <n v="3501.3119999999999"/>
    <n v="0.61091854419410752"/>
    <n v="10.975743999999999"/>
  </r>
  <r>
    <s v="BATCH00417"/>
    <x v="3"/>
    <x v="2"/>
    <x v="0"/>
    <n v="545.47"/>
    <n v="14.48"/>
    <n v="21.59"/>
    <n v="1.9"/>
    <n v="3.9"/>
    <n v="13"/>
    <s v="B"/>
    <n v="0.53"/>
    <x v="2"/>
    <n v="98.72"/>
    <x v="0"/>
    <n v="6.75"/>
    <n v="9.27"/>
    <n v="3681.9225000000001"/>
    <n v="5056.5069000000003"/>
    <n v="1374.5844000000002"/>
    <n v="0.2718446601941748"/>
    <n v="2.8909910000000001"/>
  </r>
  <r>
    <s v="BATCH00418"/>
    <x v="1"/>
    <x v="3"/>
    <x v="1"/>
    <n v="448.36"/>
    <n v="10.45"/>
    <n v="38.81"/>
    <n v="1.5"/>
    <n v="0.4"/>
    <n v="22"/>
    <s v="A"/>
    <n v="3.64"/>
    <x v="0"/>
    <n v="94.06"/>
    <x v="1"/>
    <n v="7.7"/>
    <n v="14.74"/>
    <n v="3452.3720000000003"/>
    <n v="6608.8263999999999"/>
    <n v="3156.4543999999996"/>
    <n v="0.4776119402985074"/>
    <n v="16.320304"/>
  </r>
  <r>
    <s v="BATCH00419"/>
    <x v="3"/>
    <x v="1"/>
    <x v="1"/>
    <n v="480.35"/>
    <n v="15.18"/>
    <n v="25.21"/>
    <n v="0.2"/>
    <n v="2"/>
    <n v="4"/>
    <s v="C"/>
    <n v="4.0999999999999996"/>
    <x v="2"/>
    <n v="59.07"/>
    <x v="1"/>
    <n v="8.08"/>
    <n v="6.08"/>
    <n v="3881.2280000000001"/>
    <n v="2920.5280000000002"/>
    <n v="-960.69999999999982"/>
    <n v="-0.32894736842105254"/>
    <n v="19.69435"/>
  </r>
  <r>
    <s v="BATCH00420"/>
    <x v="3"/>
    <x v="3"/>
    <x v="0"/>
    <n v="479.41"/>
    <n v="15.77"/>
    <n v="37.07"/>
    <n v="1.2"/>
    <n v="0"/>
    <n v="11"/>
    <s v="C"/>
    <n v="9.48"/>
    <x v="1"/>
    <n v="86.16"/>
    <x v="0"/>
    <n v="8.2799999999999994"/>
    <n v="7.07"/>
    <n v="3969.5147999999999"/>
    <n v="3389.4287000000004"/>
    <n v="-580.08609999999953"/>
    <n v="-0.17114568599717098"/>
    <n v="45.448068000000006"/>
  </r>
  <r>
    <s v="BATCH00421"/>
    <x v="3"/>
    <x v="0"/>
    <x v="1"/>
    <n v="425.34"/>
    <n v="14.73"/>
    <n v="37.270000000000003"/>
    <n v="15.2"/>
    <n v="0"/>
    <n v="15"/>
    <s v="B"/>
    <n v="2.46"/>
    <x v="2"/>
    <n v="96.84"/>
    <x v="2"/>
    <n v="3.26"/>
    <n v="8.41"/>
    <n v="1386.6083999999998"/>
    <n v="3577.1093999999998"/>
    <n v="2190.5010000000002"/>
    <n v="0.61236623067776463"/>
    <n v="10.463363999999999"/>
  </r>
  <r>
    <s v="BATCH00422"/>
    <x v="3"/>
    <x v="3"/>
    <x v="1"/>
    <n v="482.32"/>
    <n v="14.14"/>
    <n v="35.450000000000003"/>
    <n v="3.6"/>
    <n v="0.6"/>
    <n v="15"/>
    <s v="B"/>
    <n v="4.13"/>
    <x v="1"/>
    <n v="50.44"/>
    <x v="0"/>
    <n v="5.76"/>
    <n v="7.29"/>
    <n v="2778.1632"/>
    <n v="3516.1127999999999"/>
    <n v="737.94959999999992"/>
    <n v="0.20987654320987653"/>
    <n v="19.919815999999997"/>
  </r>
  <r>
    <s v="BATCH00423"/>
    <x v="0"/>
    <x v="3"/>
    <x v="0"/>
    <n v="345.14"/>
    <n v="16.920000000000002"/>
    <n v="23.38"/>
    <n v="4.5"/>
    <n v="0.3"/>
    <n v="24"/>
    <s v="A"/>
    <n v="0.74"/>
    <x v="1"/>
    <n v="86.05"/>
    <x v="0"/>
    <n v="8.42"/>
    <n v="11.25"/>
    <n v="2906.0787999999998"/>
    <n v="3882.8249999999998"/>
    <n v="976.74620000000004"/>
    <n v="0.25155555555555559"/>
    <n v="2.554036"/>
  </r>
  <r>
    <s v="BATCH00424"/>
    <x v="1"/>
    <x v="0"/>
    <x v="0"/>
    <n v="450.88"/>
    <n v="8.7899999999999991"/>
    <n v="36.44"/>
    <n v="3.5"/>
    <n v="1.2"/>
    <n v="2"/>
    <s v="B"/>
    <n v="7.75"/>
    <x v="1"/>
    <n v="72.97"/>
    <x v="2"/>
    <n v="9.33"/>
    <n v="5.4"/>
    <n v="4206.7103999999999"/>
    <n v="2434.752"/>
    <n v="-1771.9584"/>
    <n v="-0.72777777777777775"/>
    <n v="34.943200000000004"/>
  </r>
  <r>
    <s v="BATCH00425"/>
    <x v="2"/>
    <x v="0"/>
    <x v="1"/>
    <n v="471.51"/>
    <n v="11.31"/>
    <n v="35.39"/>
    <n v="0.2"/>
    <n v="0.8"/>
    <n v="11"/>
    <s v="B"/>
    <n v="9.19"/>
    <x v="1"/>
    <n v="84.01"/>
    <x v="2"/>
    <n v="7.22"/>
    <n v="6.77"/>
    <n v="3404.3021999999996"/>
    <n v="3192.1226999999999"/>
    <n v="-212.17949999999973"/>
    <n v="-6.6469719350073772E-2"/>
    <n v="43.331768999999994"/>
  </r>
  <r>
    <s v="BATCH00426"/>
    <x v="2"/>
    <x v="0"/>
    <x v="1"/>
    <n v="474.38"/>
    <n v="10.48"/>
    <n v="31.93"/>
    <n v="0.5"/>
    <n v="0.1"/>
    <n v="2"/>
    <s v="A"/>
    <n v="2.76"/>
    <x v="2"/>
    <n v="80.28"/>
    <x v="2"/>
    <n v="3.37"/>
    <n v="7.93"/>
    <n v="1598.6605999999999"/>
    <n v="3761.8334"/>
    <n v="2163.1728000000003"/>
    <n v="0.5750315258511981"/>
    <n v="13.092887999999999"/>
  </r>
  <r>
    <s v="BATCH00427"/>
    <x v="1"/>
    <x v="3"/>
    <x v="0"/>
    <n v="475.85"/>
    <n v="17.88"/>
    <n v="26.74"/>
    <n v="0"/>
    <n v="0.2"/>
    <n v="23"/>
    <s v="B"/>
    <n v="4.58"/>
    <x v="1"/>
    <n v="99.23"/>
    <x v="2"/>
    <n v="5.78"/>
    <n v="11.83"/>
    <n v="2750.4130000000005"/>
    <n v="5629.3055000000004"/>
    <n v="2878.8924999999999"/>
    <n v="0.511411665257819"/>
    <n v="21.79393"/>
  </r>
  <r>
    <s v="BATCH00428"/>
    <x v="2"/>
    <x v="3"/>
    <x v="1"/>
    <n v="493.82"/>
    <n v="11.89"/>
    <n v="25.25"/>
    <n v="0.7"/>
    <n v="0.5"/>
    <n v="29"/>
    <s v="B"/>
    <n v="1.66"/>
    <x v="0"/>
    <n v="64.44"/>
    <x v="1"/>
    <n v="3.52"/>
    <n v="13.76"/>
    <n v="1738.2464"/>
    <n v="6794.9632000000001"/>
    <n v="5056.7168000000001"/>
    <n v="0.7441860465116279"/>
    <n v="8.1974119999999999"/>
  </r>
  <r>
    <s v="BATCH00429"/>
    <x v="1"/>
    <x v="0"/>
    <x v="1"/>
    <n v="547.94000000000005"/>
    <n v="15.33"/>
    <n v="22.44"/>
    <n v="0.2"/>
    <n v="0.2"/>
    <n v="5"/>
    <s v="C"/>
    <n v="4.84"/>
    <x v="1"/>
    <n v="89.31"/>
    <x v="1"/>
    <n v="8.24"/>
    <n v="12.98"/>
    <n v="4515.0256000000008"/>
    <n v="7112.2612000000008"/>
    <n v="2597.2356"/>
    <n v="0.3651771956856702"/>
    <n v="26.520296000000002"/>
  </r>
  <r>
    <s v="BATCH00430"/>
    <x v="2"/>
    <x v="1"/>
    <x v="1"/>
    <n v="587.45000000000005"/>
    <n v="14.85"/>
    <n v="30.2"/>
    <n v="1.3"/>
    <n v="1.6"/>
    <n v="13"/>
    <s v="C"/>
    <n v="1.77"/>
    <x v="0"/>
    <n v="61.73"/>
    <x v="0"/>
    <n v="3.44"/>
    <n v="6.82"/>
    <n v="2020.8280000000002"/>
    <n v="4006.4090000000006"/>
    <n v="1985.5810000000004"/>
    <n v="0.49560117302052786"/>
    <n v="10.397865000000001"/>
  </r>
  <r>
    <s v="BATCH00431"/>
    <x v="3"/>
    <x v="1"/>
    <x v="0"/>
    <n v="435.02"/>
    <n v="10.119999999999999"/>
    <n v="31.71"/>
    <n v="2.2999999999999998"/>
    <n v="0.5"/>
    <n v="1"/>
    <s v="C"/>
    <n v="5.47"/>
    <x v="1"/>
    <n v="71.78"/>
    <x v="1"/>
    <n v="4.3"/>
    <n v="10.65"/>
    <n v="1870.5859999999998"/>
    <n v="4632.9629999999997"/>
    <n v="2762.377"/>
    <n v="0.59624413145539912"/>
    <n v="23.795593999999998"/>
  </r>
  <r>
    <s v="BATCH00432"/>
    <x v="2"/>
    <x v="2"/>
    <x v="1"/>
    <n v="379.68"/>
    <n v="10.39"/>
    <n v="27.19"/>
    <n v="4.2"/>
    <n v="0.1"/>
    <n v="7"/>
    <s v="B"/>
    <n v="7.48"/>
    <x v="1"/>
    <n v="98.77"/>
    <x v="0"/>
    <n v="5.92"/>
    <n v="5.3"/>
    <n v="2247.7056000000002"/>
    <n v="2012.3039999999999"/>
    <n v="-235.40160000000037"/>
    <n v="-0.11698113207547189"/>
    <n v="28.400064"/>
  </r>
  <r>
    <s v="BATCH00433"/>
    <x v="1"/>
    <x v="0"/>
    <x v="1"/>
    <n v="395.8"/>
    <n v="10.81"/>
    <n v="29.51"/>
    <n v="2.8"/>
    <n v="0.7"/>
    <n v="7"/>
    <s v="A"/>
    <n v="5.76"/>
    <x v="2"/>
    <n v="88.31"/>
    <x v="0"/>
    <n v="6.24"/>
    <n v="8.11"/>
    <n v="2469.7920000000004"/>
    <n v="3209.9379999999996"/>
    <n v="740.14599999999928"/>
    <n v="0.23057953144266319"/>
    <n v="22.798079999999999"/>
  </r>
  <r>
    <s v="BATCH00434"/>
    <x v="1"/>
    <x v="2"/>
    <x v="0"/>
    <n v="451.28"/>
    <n v="12.11"/>
    <n v="27.27"/>
    <n v="5.6"/>
    <n v="0.1"/>
    <n v="10"/>
    <s v="C"/>
    <n v="2.83"/>
    <x v="1"/>
    <n v="65.790000000000006"/>
    <x v="2"/>
    <n v="5.85"/>
    <n v="13.06"/>
    <n v="2639.9879999999998"/>
    <n v="5893.7168000000001"/>
    <n v="3253.7288000000003"/>
    <n v="0.55206738131699851"/>
    <n v="12.771224"/>
  </r>
  <r>
    <s v="BATCH00435"/>
    <x v="1"/>
    <x v="1"/>
    <x v="1"/>
    <n v="464.81"/>
    <n v="10.34"/>
    <n v="32.82"/>
    <n v="0.1"/>
    <n v="0.1"/>
    <n v="6"/>
    <s v="B"/>
    <n v="3.86"/>
    <x v="1"/>
    <n v="80.97"/>
    <x v="2"/>
    <n v="6.24"/>
    <n v="9.57"/>
    <n v="2900.4144000000001"/>
    <n v="4448.2317000000003"/>
    <n v="1547.8173000000002"/>
    <n v="0.34796238244514111"/>
    <n v="17.941666000000001"/>
  </r>
  <r>
    <s v="BATCH00436"/>
    <x v="1"/>
    <x v="2"/>
    <x v="1"/>
    <n v="423"/>
    <n v="8.1999999999999993"/>
    <n v="38.03"/>
    <n v="0"/>
    <n v="0.3"/>
    <n v="20"/>
    <s v="C"/>
    <n v="6.57"/>
    <x v="2"/>
    <n v="52.48"/>
    <x v="1"/>
    <n v="7.99"/>
    <n v="6.5"/>
    <n v="3379.77"/>
    <n v="2749.5"/>
    <n v="-630.27"/>
    <n v="-0.22923076923076924"/>
    <n v="27.7911"/>
  </r>
  <r>
    <s v="BATCH00437"/>
    <x v="1"/>
    <x v="0"/>
    <x v="0"/>
    <n v="370.39"/>
    <n v="16.79"/>
    <n v="23.28"/>
    <n v="2.2000000000000002"/>
    <n v="2"/>
    <n v="12"/>
    <s v="A"/>
    <n v="6.1"/>
    <x v="2"/>
    <n v="63.32"/>
    <x v="1"/>
    <n v="5.58"/>
    <n v="9.39"/>
    <n v="2066.7761999999998"/>
    <n v="3477.9621000000002"/>
    <n v="1411.1859000000004"/>
    <n v="0.40575079872204484"/>
    <n v="22.593789999999998"/>
  </r>
  <r>
    <s v="BATCH00438"/>
    <x v="0"/>
    <x v="0"/>
    <x v="0"/>
    <n v="454.39"/>
    <n v="17.66"/>
    <n v="27.63"/>
    <n v="0.7"/>
    <n v="2.6"/>
    <n v="13"/>
    <s v="A"/>
    <n v="1.8"/>
    <x v="0"/>
    <n v="85.92"/>
    <x v="1"/>
    <n v="6.83"/>
    <n v="6.98"/>
    <n v="3103.4836999999998"/>
    <n v="3171.6422000000002"/>
    <n v="68.158500000000458"/>
    <n v="2.1489971346705015E-2"/>
    <n v="8.1790200000000013"/>
  </r>
  <r>
    <s v="BATCH00439"/>
    <x v="0"/>
    <x v="0"/>
    <x v="0"/>
    <n v="518.14"/>
    <n v="11.42"/>
    <n v="22.82"/>
    <n v="0.6"/>
    <n v="1.8"/>
    <n v="24"/>
    <s v="A"/>
    <n v="8.5299999999999994"/>
    <x v="2"/>
    <n v="78.5"/>
    <x v="1"/>
    <n v="5.12"/>
    <n v="8.93"/>
    <n v="2652.8768"/>
    <n v="4626.9901999999993"/>
    <n v="1974.1133999999993"/>
    <n v="0.42665173572228432"/>
    <n v="44.197341999999999"/>
  </r>
  <r>
    <s v="BATCH00440"/>
    <x v="2"/>
    <x v="3"/>
    <x v="0"/>
    <n v="559.5"/>
    <n v="11.39"/>
    <n v="32.5"/>
    <n v="0.8"/>
    <n v="0.4"/>
    <n v="28"/>
    <s v="A"/>
    <n v="5.01"/>
    <x v="0"/>
    <n v="73.48"/>
    <x v="2"/>
    <n v="5.48"/>
    <n v="9.8800000000000008"/>
    <n v="3066.0600000000004"/>
    <n v="5527.8600000000006"/>
    <n v="2461.8000000000002"/>
    <n v="0.44534412955465585"/>
    <n v="28.030949999999997"/>
  </r>
  <r>
    <s v="BATCH00441"/>
    <x v="1"/>
    <x v="2"/>
    <x v="1"/>
    <n v="444.26"/>
    <n v="8.07"/>
    <n v="34.58"/>
    <n v="0.6"/>
    <n v="0.3"/>
    <n v="11"/>
    <s v="A"/>
    <n v="2.04"/>
    <x v="1"/>
    <n v="84.54"/>
    <x v="2"/>
    <n v="7.3"/>
    <n v="8.5"/>
    <n v="3243.098"/>
    <n v="3776.21"/>
    <n v="533.11200000000008"/>
    <n v="0.14117647058823532"/>
    <n v="9.0629039999999996"/>
  </r>
  <r>
    <s v="BATCH00442"/>
    <x v="2"/>
    <x v="1"/>
    <x v="1"/>
    <n v="458.7"/>
    <n v="14.8"/>
    <n v="38.64"/>
    <n v="1.4"/>
    <n v="0.8"/>
    <n v="18"/>
    <s v="A"/>
    <n v="1.67"/>
    <x v="0"/>
    <n v="69.92"/>
    <x v="1"/>
    <n v="6.43"/>
    <n v="14.37"/>
    <n v="2949.4409999999998"/>
    <n v="6591.5189999999993"/>
    <n v="3642.0779999999995"/>
    <n v="0.55254001391788443"/>
    <n v="7.6602899999999998"/>
  </r>
  <r>
    <s v="BATCH00443"/>
    <x v="1"/>
    <x v="1"/>
    <x v="0"/>
    <n v="407.33"/>
    <n v="16.25"/>
    <n v="25.58"/>
    <n v="1.2"/>
    <n v="1.3"/>
    <n v="2"/>
    <s v="B"/>
    <n v="9.67"/>
    <x v="2"/>
    <n v="51.31"/>
    <x v="0"/>
    <n v="8.06"/>
    <n v="10.63"/>
    <n v="3283.0798"/>
    <n v="4329.9179000000004"/>
    <n v="1046.8381000000004"/>
    <n v="0.24176857949200384"/>
    <n v="39.388810999999997"/>
  </r>
  <r>
    <s v="BATCH00444"/>
    <x v="1"/>
    <x v="1"/>
    <x v="0"/>
    <n v="496.86"/>
    <n v="9.4700000000000006"/>
    <n v="39"/>
    <n v="1.4"/>
    <n v="5"/>
    <n v="16"/>
    <s v="C"/>
    <n v="3.17"/>
    <x v="1"/>
    <n v="72.05"/>
    <x v="2"/>
    <n v="6.92"/>
    <n v="13.43"/>
    <n v="3438.2712000000001"/>
    <n v="6672.8298000000004"/>
    <n v="3234.5586000000003"/>
    <n v="0.48473566641846616"/>
    <n v="15.750462000000001"/>
  </r>
  <r>
    <s v="BATCH00445"/>
    <x v="0"/>
    <x v="3"/>
    <x v="1"/>
    <n v="415.16"/>
    <n v="9.6"/>
    <n v="21.27"/>
    <n v="2.2000000000000002"/>
    <n v="0.1"/>
    <n v="2"/>
    <s v="A"/>
    <n v="9.1300000000000008"/>
    <x v="0"/>
    <n v="95.11"/>
    <x v="2"/>
    <n v="8.6300000000000008"/>
    <n v="12.61"/>
    <n v="3582.8308000000006"/>
    <n v="5235.1675999999998"/>
    <n v="1652.3367999999991"/>
    <n v="0.31562252180808864"/>
    <n v="37.904108000000008"/>
  </r>
  <r>
    <s v="BATCH00446"/>
    <x v="0"/>
    <x v="3"/>
    <x v="0"/>
    <n v="557.30999999999995"/>
    <n v="15.9"/>
    <n v="32.06"/>
    <n v="1"/>
    <n v="0.1"/>
    <n v="19"/>
    <s v="C"/>
    <n v="4.4000000000000004"/>
    <x v="0"/>
    <n v="92.83"/>
    <x v="2"/>
    <n v="6.1"/>
    <n v="11.61"/>
    <n v="3399.5909999999994"/>
    <n v="6470.369099999999"/>
    <n v="3070.7780999999995"/>
    <n v="0.47459086993970717"/>
    <n v="24.521639999999998"/>
  </r>
  <r>
    <s v="BATCH00447"/>
    <x v="3"/>
    <x v="0"/>
    <x v="1"/>
    <n v="321.41000000000003"/>
    <n v="14.16"/>
    <n v="21.14"/>
    <n v="0.6"/>
    <n v="1.2"/>
    <n v="6"/>
    <s v="C"/>
    <n v="4.17"/>
    <x v="0"/>
    <n v="70.45"/>
    <x v="2"/>
    <n v="6.44"/>
    <n v="9.9700000000000006"/>
    <n v="2069.8804000000005"/>
    <n v="3204.4577000000004"/>
    <n v="1134.5772999999999"/>
    <n v="0.35406218655967897"/>
    <n v="13.402797"/>
  </r>
  <r>
    <s v="BATCH00448"/>
    <x v="0"/>
    <x v="1"/>
    <x v="0"/>
    <n v="464.04"/>
    <n v="8.4499999999999993"/>
    <n v="37.880000000000003"/>
    <n v="0.4"/>
    <n v="1.8"/>
    <n v="1"/>
    <s v="B"/>
    <n v="7.16"/>
    <x v="1"/>
    <n v="51.11"/>
    <x v="1"/>
    <n v="7.69"/>
    <n v="5.0199999999999996"/>
    <n v="3568.4676000000004"/>
    <n v="2329.4807999999998"/>
    <n v="-1238.9868000000006"/>
    <n v="-0.53187250996015967"/>
    <n v="33.225264000000003"/>
  </r>
  <r>
    <s v="BATCH00449"/>
    <x v="3"/>
    <x v="3"/>
    <x v="1"/>
    <n v="530.11"/>
    <n v="14.23"/>
    <n v="30.6"/>
    <n v="0.9"/>
    <n v="1.9"/>
    <n v="11"/>
    <s v="A"/>
    <n v="0.59"/>
    <x v="0"/>
    <n v="81.819999999999993"/>
    <x v="1"/>
    <n v="4.55"/>
    <n v="11.13"/>
    <n v="2412.0005000000001"/>
    <n v="5900.1243000000004"/>
    <n v="3488.1238000000003"/>
    <n v="0.5911949685534591"/>
    <n v="3.1276489999999999"/>
  </r>
  <r>
    <s v="BATCH00450"/>
    <x v="3"/>
    <x v="0"/>
    <x v="0"/>
    <n v="518.38"/>
    <n v="11.09"/>
    <n v="33.39"/>
    <n v="2.7"/>
    <n v="1.1000000000000001"/>
    <n v="18"/>
    <s v="A"/>
    <n v="3.71"/>
    <x v="0"/>
    <n v="87.06"/>
    <x v="0"/>
    <n v="5.7"/>
    <n v="8.56"/>
    <n v="2954.7660000000001"/>
    <n v="4437.3328000000001"/>
    <n v="1482.5668000000001"/>
    <n v="0.33411214953271029"/>
    <n v="19.231897999999997"/>
  </r>
  <r>
    <s v="BATCH00451"/>
    <x v="3"/>
    <x v="1"/>
    <x v="0"/>
    <n v="769.3"/>
    <n v="11.69"/>
    <n v="36.630000000000003"/>
    <n v="2.8"/>
    <n v="3.1"/>
    <n v="10"/>
    <s v="B"/>
    <n v="3.38"/>
    <x v="2"/>
    <n v="64.709999999999994"/>
    <x v="2"/>
    <n v="7.37"/>
    <n v="6.18"/>
    <n v="5669.741"/>
    <n v="4754.2739999999994"/>
    <n v="-915.46700000000055"/>
    <n v="-0.19255663430420725"/>
    <n v="26.00234"/>
  </r>
  <r>
    <s v="BATCH00452"/>
    <x v="3"/>
    <x v="2"/>
    <x v="1"/>
    <n v="534.98"/>
    <n v="15.7"/>
    <n v="23.01"/>
    <n v="2.2000000000000002"/>
    <n v="0.7"/>
    <n v="18"/>
    <s v="B"/>
    <n v="8.75"/>
    <x v="0"/>
    <n v="73.83"/>
    <x v="1"/>
    <n v="3.2"/>
    <n v="9.4499999999999993"/>
    <n v="1711.9360000000001"/>
    <n v="5055.5609999999997"/>
    <n v="3343.6249999999995"/>
    <n v="0.66137566137566128"/>
    <n v="46.810749999999999"/>
  </r>
  <r>
    <s v="BATCH00453"/>
    <x v="3"/>
    <x v="0"/>
    <x v="0"/>
    <n v="399.59"/>
    <n v="16.11"/>
    <n v="20.77"/>
    <n v="0.5"/>
    <n v="2.5"/>
    <n v="28"/>
    <s v="B"/>
    <n v="5.53"/>
    <x v="1"/>
    <n v="99.59"/>
    <x v="1"/>
    <n v="6.06"/>
    <n v="12.36"/>
    <n v="2421.5153999999998"/>
    <n v="4938.9323999999997"/>
    <n v="2517.4169999999999"/>
    <n v="0.50970873786407767"/>
    <n v="22.097327"/>
  </r>
  <r>
    <s v="BATCH00454"/>
    <x v="2"/>
    <x v="3"/>
    <x v="1"/>
    <n v="490.45"/>
    <n v="12"/>
    <n v="37.58"/>
    <n v="1.8"/>
    <n v="3.4"/>
    <n v="1"/>
    <s v="B"/>
    <n v="3.96"/>
    <x v="2"/>
    <n v="78.819999999999993"/>
    <x v="2"/>
    <n v="7.19"/>
    <n v="14.62"/>
    <n v="3526.3355000000001"/>
    <n v="7170.378999999999"/>
    <n v="3644.0434999999989"/>
    <n v="0.50820793433652522"/>
    <n v="19.42182"/>
  </r>
  <r>
    <s v="BATCH00455"/>
    <x v="0"/>
    <x v="3"/>
    <x v="1"/>
    <n v="322.38"/>
    <n v="17.47"/>
    <n v="26.3"/>
    <n v="1.7"/>
    <n v="1.9"/>
    <n v="19"/>
    <s v="B"/>
    <n v="3.03"/>
    <x v="1"/>
    <n v="67.55"/>
    <x v="1"/>
    <n v="9.77"/>
    <n v="8.74"/>
    <n v="3149.6525999999999"/>
    <n v="2817.6012000000001"/>
    <n v="-332.05139999999983"/>
    <n v="-0.11784897025171619"/>
    <n v="9.7681139999999989"/>
  </r>
  <r>
    <s v="BATCH00456"/>
    <x v="3"/>
    <x v="0"/>
    <x v="1"/>
    <n v="491.94"/>
    <n v="12.06"/>
    <n v="22.58"/>
    <n v="1.3"/>
    <n v="0.4"/>
    <n v="16"/>
    <s v="C"/>
    <n v="6.11"/>
    <x v="2"/>
    <n v="81.37"/>
    <x v="1"/>
    <n v="9.14"/>
    <n v="10.43"/>
    <n v="4496.3316000000004"/>
    <n v="5130.9341999999997"/>
    <n v="634.60259999999926"/>
    <n v="0.12368168744007657"/>
    <n v="30.057534"/>
  </r>
  <r>
    <s v="BATCH00457"/>
    <x v="1"/>
    <x v="0"/>
    <x v="1"/>
    <n v="416.69"/>
    <n v="15.72"/>
    <n v="29.37"/>
    <n v="1.6"/>
    <n v="0.2"/>
    <n v="26"/>
    <s v="B"/>
    <n v="1.94"/>
    <x v="2"/>
    <n v="59"/>
    <x v="1"/>
    <n v="4.97"/>
    <n v="13.51"/>
    <n v="2070.9492999999998"/>
    <n v="5629.4818999999998"/>
    <n v="3558.5326"/>
    <n v="0.63212435233160624"/>
    <n v="8.0837859999999999"/>
  </r>
  <r>
    <s v="BATCH00458"/>
    <x v="0"/>
    <x v="3"/>
    <x v="1"/>
    <n v="591.54"/>
    <n v="12.84"/>
    <n v="31.97"/>
    <n v="1.4"/>
    <n v="0.8"/>
    <n v="7"/>
    <s v="A"/>
    <n v="2.84"/>
    <x v="0"/>
    <n v="59.96"/>
    <x v="0"/>
    <n v="6.55"/>
    <n v="8.34"/>
    <n v="3874.5869999999995"/>
    <n v="4933.4435999999996"/>
    <n v="1058.8566000000001"/>
    <n v="0.21462829736211034"/>
    <n v="16.799735999999999"/>
  </r>
  <r>
    <s v="BATCH00459"/>
    <x v="0"/>
    <x v="2"/>
    <x v="0"/>
    <n v="445.05"/>
    <n v="16.98"/>
    <n v="20.62"/>
    <n v="1.7"/>
    <n v="0.6"/>
    <n v="15"/>
    <s v="A"/>
    <n v="3.29"/>
    <x v="1"/>
    <n v="96.25"/>
    <x v="1"/>
    <n v="3.39"/>
    <n v="6.42"/>
    <n v="1508.7195000000002"/>
    <n v="2857.221"/>
    <n v="1348.5014999999999"/>
    <n v="0.47196261682242985"/>
    <n v="14.642145000000001"/>
  </r>
  <r>
    <s v="BATCH00460"/>
    <x v="3"/>
    <x v="1"/>
    <x v="0"/>
    <n v="488.32"/>
    <n v="17.079999999999998"/>
    <n v="25.5"/>
    <n v="2.5"/>
    <n v="2.1"/>
    <n v="29"/>
    <s v="B"/>
    <n v="6.28"/>
    <x v="0"/>
    <n v="61.96"/>
    <x v="2"/>
    <n v="4.6900000000000004"/>
    <n v="7.82"/>
    <n v="2290.2208000000001"/>
    <n v="3818.6624000000002"/>
    <n v="1528.4416000000001"/>
    <n v="0.40025575447570333"/>
    <n v="30.666496000000002"/>
  </r>
  <r>
    <s v="BATCH00461"/>
    <x v="2"/>
    <x v="2"/>
    <x v="1"/>
    <n v="436.44"/>
    <n v="8.8699999999999992"/>
    <n v="20.66"/>
    <n v="0.2"/>
    <n v="0.1"/>
    <n v="1"/>
    <s v="B"/>
    <n v="4.05"/>
    <x v="2"/>
    <n v="65.540000000000006"/>
    <x v="2"/>
    <n v="8.42"/>
    <n v="13.99"/>
    <n v="3674.8247999999999"/>
    <n v="6105.7956000000004"/>
    <n v="2430.9708000000005"/>
    <n v="0.39814152966404581"/>
    <n v="17.675819999999998"/>
  </r>
  <r>
    <s v="BATCH00462"/>
    <x v="3"/>
    <x v="0"/>
    <x v="0"/>
    <n v="673.89"/>
    <n v="17.36"/>
    <n v="28.41"/>
    <n v="2.8"/>
    <n v="0.3"/>
    <n v="23"/>
    <s v="B"/>
    <n v="5.3"/>
    <x v="0"/>
    <n v="77.19"/>
    <x v="2"/>
    <n v="3.86"/>
    <n v="6.59"/>
    <n v="2601.2154"/>
    <n v="4440.9350999999997"/>
    <n v="1839.7196999999996"/>
    <n v="0.41426403641881632"/>
    <n v="35.716169999999998"/>
  </r>
  <r>
    <s v="BATCH00463"/>
    <x v="2"/>
    <x v="2"/>
    <x v="1"/>
    <n v="467.88"/>
    <n v="16.260000000000002"/>
    <n v="37.9"/>
    <n v="0.3"/>
    <n v="1.4"/>
    <n v="21"/>
    <s v="B"/>
    <n v="6.68"/>
    <x v="2"/>
    <n v="94.98"/>
    <x v="1"/>
    <n v="4.8"/>
    <n v="8.2899999999999991"/>
    <n v="2245.8240000000001"/>
    <n v="3878.7251999999994"/>
    <n v="1632.9011999999993"/>
    <n v="0.4209891435464414"/>
    <n v="31.254384000000002"/>
  </r>
  <r>
    <s v="BATCH00464"/>
    <x v="1"/>
    <x v="3"/>
    <x v="0"/>
    <n v="683.26"/>
    <n v="15.91"/>
    <n v="39.65"/>
    <n v="0.1"/>
    <n v="0.1"/>
    <n v="9"/>
    <s v="B"/>
    <n v="9.58"/>
    <x v="2"/>
    <n v="89.07"/>
    <x v="0"/>
    <n v="9.61"/>
    <n v="9.65"/>
    <n v="6566.1285999999991"/>
    <n v="6593.4589999999998"/>
    <n v="27.330400000000736"/>
    <n v="4.1450777202073656E-3"/>
    <n v="65.456307999999993"/>
  </r>
  <r>
    <s v="BATCH00465"/>
    <x v="0"/>
    <x v="0"/>
    <x v="0"/>
    <n v="581.41999999999996"/>
    <n v="10.01"/>
    <n v="32.74"/>
    <n v="7.5"/>
    <n v="0.4"/>
    <n v="2"/>
    <s v="A"/>
    <n v="7.77"/>
    <x v="1"/>
    <n v="52.19"/>
    <x v="1"/>
    <n v="8.77"/>
    <n v="13.47"/>
    <n v="5099.0533999999998"/>
    <n v="7831.7273999999998"/>
    <n v="2732.674"/>
    <n v="0.34892353377876761"/>
    <n v="45.176333999999997"/>
  </r>
  <r>
    <s v="BATCH00466"/>
    <x v="1"/>
    <x v="1"/>
    <x v="0"/>
    <n v="548.21"/>
    <n v="16.05"/>
    <n v="23.23"/>
    <n v="6.3"/>
    <n v="0.5"/>
    <n v="17"/>
    <s v="C"/>
    <n v="4.3499999999999996"/>
    <x v="1"/>
    <n v="84.65"/>
    <x v="2"/>
    <n v="8.4700000000000006"/>
    <n v="14.38"/>
    <n v="4643.3387000000002"/>
    <n v="7883.2598000000007"/>
    <n v="3239.9211000000005"/>
    <n v="0.41098748261474272"/>
    <n v="23.847134999999998"/>
  </r>
  <r>
    <s v="BATCH00467"/>
    <x v="2"/>
    <x v="3"/>
    <x v="0"/>
    <n v="536.87"/>
    <n v="16.5"/>
    <n v="38.119999999999997"/>
    <n v="0.1"/>
    <n v="1"/>
    <n v="25"/>
    <s v="B"/>
    <n v="7.61"/>
    <x v="1"/>
    <n v="75.2"/>
    <x v="0"/>
    <n v="9.0500000000000007"/>
    <n v="9.26"/>
    <n v="4858.6735000000008"/>
    <n v="4971.4161999999997"/>
    <n v="112.74269999999888"/>
    <n v="2.2678185745140165E-2"/>
    <n v="40.855807000000006"/>
  </r>
  <r>
    <s v="BATCH00468"/>
    <x v="2"/>
    <x v="3"/>
    <x v="1"/>
    <n v="539.38"/>
    <n v="10.89"/>
    <n v="30.32"/>
    <n v="1.2"/>
    <n v="0.2"/>
    <n v="24"/>
    <s v="B"/>
    <n v="9.52"/>
    <x v="1"/>
    <n v="73.78"/>
    <x v="0"/>
    <n v="8.25"/>
    <n v="14.32"/>
    <n v="4449.8850000000002"/>
    <n v="7723.9215999999997"/>
    <n v="3274.0365999999995"/>
    <n v="0.42388268156424574"/>
    <n v="51.348975999999993"/>
  </r>
  <r>
    <s v="BATCH00469"/>
    <x v="1"/>
    <x v="1"/>
    <x v="1"/>
    <n v="307.23"/>
    <n v="17.52"/>
    <n v="23.07"/>
    <n v="0.4"/>
    <n v="2"/>
    <n v="10"/>
    <s v="B"/>
    <n v="5.24"/>
    <x v="0"/>
    <n v="84.58"/>
    <x v="1"/>
    <n v="3.84"/>
    <n v="6.61"/>
    <n v="1179.7632000000001"/>
    <n v="2030.7903000000001"/>
    <n v="851.02710000000002"/>
    <n v="0.41906202723146746"/>
    <n v="16.098852000000001"/>
  </r>
  <r>
    <s v="BATCH00470"/>
    <x v="2"/>
    <x v="1"/>
    <x v="0"/>
    <n v="472.11"/>
    <n v="8.5"/>
    <n v="38.43"/>
    <n v="1.3"/>
    <n v="0.6"/>
    <n v="6"/>
    <s v="A"/>
    <n v="4.4000000000000004"/>
    <x v="1"/>
    <n v="59.81"/>
    <x v="2"/>
    <n v="6.62"/>
    <n v="6.57"/>
    <n v="3125.3682000000003"/>
    <n v="3101.7627000000002"/>
    <n v="-23.60550000000012"/>
    <n v="-7.6103500761035385E-3"/>
    <n v="20.772840000000002"/>
  </r>
  <r>
    <s v="BATCH00471"/>
    <x v="1"/>
    <x v="2"/>
    <x v="0"/>
    <n v="584.52"/>
    <n v="9.5"/>
    <n v="35.15"/>
    <n v="3.5"/>
    <n v="2.5"/>
    <n v="5"/>
    <s v="A"/>
    <n v="1.24"/>
    <x v="1"/>
    <n v="99.07"/>
    <x v="1"/>
    <n v="6.11"/>
    <n v="14.49"/>
    <n v="3571.4171999999999"/>
    <n v="8469.6947999999993"/>
    <n v="4898.2775999999994"/>
    <n v="0.5783298826777088"/>
    <n v="7.2480479999999998"/>
  </r>
  <r>
    <s v="BATCH00472"/>
    <x v="0"/>
    <x v="0"/>
    <x v="1"/>
    <n v="495.11"/>
    <n v="13.38"/>
    <n v="34.630000000000003"/>
    <n v="6"/>
    <n v="0.6"/>
    <n v="8"/>
    <s v="C"/>
    <n v="8.98"/>
    <x v="1"/>
    <n v="82.27"/>
    <x v="2"/>
    <n v="5.18"/>
    <n v="10.1"/>
    <n v="2564.6698000000001"/>
    <n v="5000.6109999999999"/>
    <n v="2435.9411999999998"/>
    <n v="0.48712871287128712"/>
    <n v="44.460878000000001"/>
  </r>
  <r>
    <s v="BATCH00473"/>
    <x v="1"/>
    <x v="1"/>
    <x v="0"/>
    <n v="359.48"/>
    <n v="13.76"/>
    <n v="34.18"/>
    <n v="2"/>
    <n v="0.3"/>
    <n v="8"/>
    <s v="C"/>
    <n v="2.84"/>
    <x v="2"/>
    <n v="68.28"/>
    <x v="0"/>
    <n v="8.84"/>
    <n v="6.86"/>
    <n v="3177.8032000000003"/>
    <n v="2466.0328000000004"/>
    <n v="-711.77039999999988"/>
    <n v="-0.28862973760932936"/>
    <n v="10.209232"/>
  </r>
  <r>
    <s v="BATCH00474"/>
    <x v="0"/>
    <x v="1"/>
    <x v="1"/>
    <n v="494.76"/>
    <n v="14.45"/>
    <n v="24.01"/>
    <n v="0.9"/>
    <n v="0.2"/>
    <n v="5"/>
    <s v="C"/>
    <n v="1.1100000000000001"/>
    <x v="2"/>
    <n v="80.010000000000005"/>
    <x v="1"/>
    <n v="6.25"/>
    <n v="9.8800000000000008"/>
    <n v="3092.25"/>
    <n v="4888.2287999999999"/>
    <n v="1795.9787999999999"/>
    <n v="0.36740890688259109"/>
    <n v="5.4918360000000011"/>
  </r>
  <r>
    <s v="BATCH00475"/>
    <x v="1"/>
    <x v="0"/>
    <x v="1"/>
    <n v="670.41"/>
    <n v="8.17"/>
    <n v="24.22"/>
    <n v="1.8"/>
    <n v="0"/>
    <n v="12"/>
    <s v="C"/>
    <n v="5.6"/>
    <x v="1"/>
    <n v="60.82"/>
    <x v="0"/>
    <n v="3.42"/>
    <n v="12.83"/>
    <n v="2292.8021999999996"/>
    <n v="8601.3603000000003"/>
    <n v="6308.5581000000002"/>
    <n v="0.7334372564302416"/>
    <n v="37.542959999999994"/>
  </r>
  <r>
    <s v="BATCH00476"/>
    <x v="2"/>
    <x v="1"/>
    <x v="1"/>
    <n v="624.69000000000005"/>
    <n v="17.600000000000001"/>
    <n v="33.770000000000003"/>
    <n v="0.7"/>
    <n v="0.8"/>
    <n v="7"/>
    <s v="A"/>
    <n v="8.5399999999999991"/>
    <x v="2"/>
    <n v="81.69"/>
    <x v="2"/>
    <n v="4.92"/>
    <n v="13.27"/>
    <n v="3073.4748000000004"/>
    <n v="8289.6363000000001"/>
    <n v="5216.1615000000002"/>
    <n v="0.62923888470233613"/>
    <n v="53.348526"/>
  </r>
  <r>
    <s v="BATCH00477"/>
    <x v="1"/>
    <x v="1"/>
    <x v="0"/>
    <n v="493.8"/>
    <n v="8.4499999999999993"/>
    <n v="24.39"/>
    <n v="4.8"/>
    <n v="0.1"/>
    <n v="13"/>
    <s v="C"/>
    <n v="4.3600000000000003"/>
    <x v="2"/>
    <n v="51.41"/>
    <x v="0"/>
    <n v="4.5999999999999996"/>
    <n v="13.64"/>
    <n v="2271.48"/>
    <n v="6735.4320000000007"/>
    <n v="4463.9520000000011"/>
    <n v="0.66275659824046929"/>
    <n v="21.529680000000003"/>
  </r>
  <r>
    <s v="BATCH00478"/>
    <x v="2"/>
    <x v="2"/>
    <x v="1"/>
    <n v="595.14"/>
    <n v="9.43"/>
    <n v="28.77"/>
    <n v="4.0999999999999996"/>
    <n v="0.5"/>
    <n v="13"/>
    <s v="B"/>
    <n v="7.94"/>
    <x v="0"/>
    <n v="67.06"/>
    <x v="0"/>
    <n v="9.2100000000000009"/>
    <n v="10.7"/>
    <n v="5481.2394000000004"/>
    <n v="6367.9979999999996"/>
    <n v="886.75859999999921"/>
    <n v="0.13925233644859802"/>
    <n v="47.254116000000003"/>
  </r>
  <r>
    <s v="BATCH00479"/>
    <x v="1"/>
    <x v="3"/>
    <x v="0"/>
    <n v="463.35"/>
    <n v="8.14"/>
    <n v="35.64"/>
    <n v="1.6"/>
    <n v="0.9"/>
    <n v="17"/>
    <s v="A"/>
    <n v="8.4499999999999993"/>
    <x v="2"/>
    <n v="87.38"/>
    <x v="0"/>
    <n v="7.53"/>
    <n v="13.67"/>
    <n v="3489.0255000000002"/>
    <n v="6333.9945000000007"/>
    <n v="2844.9690000000005"/>
    <n v="0.44915874177029996"/>
    <n v="39.153075000000001"/>
  </r>
  <r>
    <s v="BATCH00480"/>
    <x v="1"/>
    <x v="3"/>
    <x v="1"/>
    <n v="329.61"/>
    <n v="13.67"/>
    <n v="35.68"/>
    <n v="0.8"/>
    <n v="0.3"/>
    <n v="4"/>
    <s v="A"/>
    <n v="4.82"/>
    <x v="0"/>
    <n v="90.4"/>
    <x v="1"/>
    <n v="6.92"/>
    <n v="10.1"/>
    <n v="2280.9012000000002"/>
    <n v="3329.0610000000001"/>
    <n v="1048.1597999999999"/>
    <n v="0.3148514851485148"/>
    <n v="15.887202000000002"/>
  </r>
  <r>
    <s v="BATCH00481"/>
    <x v="3"/>
    <x v="3"/>
    <x v="0"/>
    <n v="407.55"/>
    <n v="17.32"/>
    <n v="29.07"/>
    <n v="0.7"/>
    <n v="0.2"/>
    <n v="18"/>
    <s v="A"/>
    <n v="6.11"/>
    <x v="2"/>
    <n v="62.65"/>
    <x v="2"/>
    <n v="6.55"/>
    <n v="11.07"/>
    <n v="2669.4524999999999"/>
    <n v="4511.5785000000005"/>
    <n v="1842.1260000000007"/>
    <n v="0.40831074977416448"/>
    <n v="24.901305000000001"/>
  </r>
  <r>
    <s v="BATCH00482"/>
    <x v="2"/>
    <x v="3"/>
    <x v="0"/>
    <n v="656.29"/>
    <n v="14.66"/>
    <n v="35.840000000000003"/>
    <n v="0.1"/>
    <n v="1.5"/>
    <n v="10"/>
    <s v="B"/>
    <n v="5.57"/>
    <x v="1"/>
    <n v="76.97"/>
    <x v="0"/>
    <n v="7.55"/>
    <n v="12.59"/>
    <n v="4954.9894999999997"/>
    <n v="8262.6911"/>
    <n v="3307.7016000000003"/>
    <n v="0.40031771247021447"/>
    <n v="36.555352999999997"/>
  </r>
  <r>
    <s v="BATCH00483"/>
    <x v="3"/>
    <x v="1"/>
    <x v="0"/>
    <n v="472.6"/>
    <n v="16.23"/>
    <n v="36.770000000000003"/>
    <n v="3.4"/>
    <n v="2.9"/>
    <n v="3"/>
    <s v="A"/>
    <n v="9.42"/>
    <x v="2"/>
    <n v="76.42"/>
    <x v="0"/>
    <n v="8.2799999999999994"/>
    <n v="9.25"/>
    <n v="3913.1279999999997"/>
    <n v="4371.55"/>
    <n v="458.42200000000048"/>
    <n v="0.10486486486486497"/>
    <n v="44.518920000000001"/>
  </r>
  <r>
    <s v="BATCH00484"/>
    <x v="2"/>
    <x v="0"/>
    <x v="1"/>
    <n v="475.66"/>
    <n v="8.1300000000000008"/>
    <n v="33.1"/>
    <n v="1.2"/>
    <n v="0.1"/>
    <n v="12"/>
    <s v="B"/>
    <n v="7.39"/>
    <x v="2"/>
    <n v="71.069999999999993"/>
    <x v="0"/>
    <n v="6.88"/>
    <n v="5.74"/>
    <n v="3272.5408000000002"/>
    <n v="2730.2884000000004"/>
    <n v="-542.25239999999985"/>
    <n v="-0.19860627177700341"/>
    <n v="35.151274000000001"/>
  </r>
  <r>
    <s v="BATCH00485"/>
    <x v="3"/>
    <x v="0"/>
    <x v="1"/>
    <n v="470.02"/>
    <n v="13.42"/>
    <n v="24.57"/>
    <n v="0.8"/>
    <n v="0.2"/>
    <n v="1"/>
    <s v="C"/>
    <n v="9.2899999999999991"/>
    <x v="0"/>
    <n v="61.42"/>
    <x v="0"/>
    <n v="9.57"/>
    <n v="8.5"/>
    <n v="4498.0914000000002"/>
    <n v="3995.17"/>
    <n v="-502.92140000000018"/>
    <n v="-0.1258823529411765"/>
    <n v="43.664857999999995"/>
  </r>
  <r>
    <s v="BATCH00486"/>
    <x v="0"/>
    <x v="2"/>
    <x v="0"/>
    <n v="690.41"/>
    <n v="12.6"/>
    <n v="25.48"/>
    <n v="1.3"/>
    <n v="3.2"/>
    <n v="27"/>
    <s v="A"/>
    <n v="2.59"/>
    <x v="1"/>
    <n v="85.16"/>
    <x v="2"/>
    <n v="9.84"/>
    <n v="11.24"/>
    <n v="6793.6343999999999"/>
    <n v="7760.2083999999995"/>
    <n v="966.57399999999961"/>
    <n v="0.12455516014234871"/>
    <n v="17.881618999999997"/>
  </r>
  <r>
    <s v="BATCH00487"/>
    <x v="1"/>
    <x v="2"/>
    <x v="0"/>
    <n v="662.6"/>
    <n v="12.99"/>
    <n v="26.3"/>
    <n v="3.4"/>
    <n v="0"/>
    <n v="11"/>
    <s v="B"/>
    <n v="3.45"/>
    <x v="0"/>
    <n v="62.62"/>
    <x v="2"/>
    <n v="9.9700000000000006"/>
    <n v="6.92"/>
    <n v="6606.1220000000003"/>
    <n v="4585.192"/>
    <n v="-2020.9300000000003"/>
    <n v="-0.44075144508670527"/>
    <n v="22.859700000000004"/>
  </r>
  <r>
    <s v="BATCH00488"/>
    <x v="2"/>
    <x v="1"/>
    <x v="0"/>
    <n v="721.88"/>
    <n v="8.7200000000000006"/>
    <n v="22.34"/>
    <n v="0.3"/>
    <n v="3.8"/>
    <n v="18"/>
    <s v="A"/>
    <n v="1.17"/>
    <x v="1"/>
    <n v="95.55"/>
    <x v="1"/>
    <n v="7.69"/>
    <n v="6.48"/>
    <n v="5551.2572"/>
    <n v="4677.7824000000001"/>
    <n v="-873.47479999999996"/>
    <n v="-0.18672839506172839"/>
    <n v="8.4459959999999992"/>
  </r>
  <r>
    <s v="BATCH00489"/>
    <x v="2"/>
    <x v="0"/>
    <x v="1"/>
    <n v="484.1"/>
    <n v="14.84"/>
    <n v="25.46"/>
    <n v="3.9"/>
    <n v="0"/>
    <n v="13"/>
    <s v="C"/>
    <n v="5.25"/>
    <x v="1"/>
    <n v="76.430000000000007"/>
    <x v="2"/>
    <n v="9.5299999999999994"/>
    <n v="7.93"/>
    <n v="4613.473"/>
    <n v="3838.913"/>
    <n v="-774.56"/>
    <n v="-0.20176544766708698"/>
    <n v="25.41525"/>
  </r>
  <r>
    <s v="BATCH00490"/>
    <x v="1"/>
    <x v="0"/>
    <x v="1"/>
    <n v="529.55999999999995"/>
    <n v="13.03"/>
    <n v="24.19"/>
    <n v="4.5999999999999996"/>
    <n v="2.1"/>
    <n v="17"/>
    <s v="A"/>
    <n v="8.8000000000000007"/>
    <x v="0"/>
    <n v="93.52"/>
    <x v="2"/>
    <n v="5.83"/>
    <n v="5.32"/>
    <n v="3087.3347999999996"/>
    <n v="2817.2592"/>
    <n v="-270.07559999999967"/>
    <n v="-9.5864661654135222E-2"/>
    <n v="46.601279999999996"/>
  </r>
  <r>
    <s v="BATCH00491"/>
    <x v="2"/>
    <x v="3"/>
    <x v="1"/>
    <n v="348.34"/>
    <n v="15.65"/>
    <n v="29.11"/>
    <n v="5.9"/>
    <n v="0.4"/>
    <n v="8"/>
    <s v="C"/>
    <n v="3.61"/>
    <x v="2"/>
    <n v="64.540000000000006"/>
    <x v="0"/>
    <n v="9.02"/>
    <n v="12.43"/>
    <n v="3142.0267999999996"/>
    <n v="4329.8661999999995"/>
    <n v="1187.8393999999998"/>
    <n v="0.27433628318584069"/>
    <n v="12.575073999999999"/>
  </r>
  <r>
    <s v="BATCH00492"/>
    <x v="2"/>
    <x v="1"/>
    <x v="1"/>
    <n v="647.69000000000005"/>
    <n v="12.85"/>
    <n v="38.17"/>
    <n v="1"/>
    <n v="2.8"/>
    <n v="20"/>
    <s v="A"/>
    <n v="1.72"/>
    <x v="1"/>
    <n v="90.35"/>
    <x v="1"/>
    <n v="9.36"/>
    <n v="7.59"/>
    <n v="6062.3784000000005"/>
    <n v="4915.9671000000008"/>
    <n v="-1146.4112999999998"/>
    <n v="-0.23320158102766789"/>
    <n v="11.140268000000001"/>
  </r>
  <r>
    <s v="BATCH00493"/>
    <x v="3"/>
    <x v="1"/>
    <x v="0"/>
    <n v="383.22"/>
    <n v="9.49"/>
    <n v="22.09"/>
    <n v="0.5"/>
    <n v="0.4"/>
    <n v="19"/>
    <s v="B"/>
    <n v="1.1499999999999999"/>
    <x v="2"/>
    <n v="55.68"/>
    <x v="1"/>
    <n v="9.33"/>
    <n v="6.24"/>
    <n v="3575.4426000000003"/>
    <n v="2391.2928000000002"/>
    <n v="-1184.1498000000001"/>
    <n v="-0.49519230769230771"/>
    <n v="4.4070299999999998"/>
  </r>
  <r>
    <s v="BATCH00494"/>
    <x v="2"/>
    <x v="3"/>
    <x v="0"/>
    <n v="521.67999999999995"/>
    <n v="14.48"/>
    <n v="34.409999999999997"/>
    <n v="0.9"/>
    <n v="1.1000000000000001"/>
    <n v="17"/>
    <s v="C"/>
    <n v="4.75"/>
    <x v="0"/>
    <n v="88.34"/>
    <x v="0"/>
    <n v="8.82"/>
    <n v="11.99"/>
    <n v="4601.2175999999999"/>
    <n v="6254.9431999999997"/>
    <n v="1653.7255999999998"/>
    <n v="0.26438698915763131"/>
    <n v="24.779799999999994"/>
  </r>
  <r>
    <s v="BATCH00495"/>
    <x v="0"/>
    <x v="1"/>
    <x v="1"/>
    <n v="390.27"/>
    <n v="9.7200000000000006"/>
    <n v="33.75"/>
    <n v="0.8"/>
    <n v="0.1"/>
    <n v="2"/>
    <s v="A"/>
    <n v="2.06"/>
    <x v="0"/>
    <n v="69.349999999999994"/>
    <x v="1"/>
    <n v="5.85"/>
    <n v="13.43"/>
    <n v="2283.0794999999998"/>
    <n v="5241.3260999999993"/>
    <n v="2958.2465999999995"/>
    <n v="0.56440804169769176"/>
    <n v="8.0395620000000001"/>
  </r>
  <r>
    <s v="BATCH00496"/>
    <x v="0"/>
    <x v="1"/>
    <x v="1"/>
    <n v="441.11"/>
    <n v="16.72"/>
    <n v="21.92"/>
    <n v="0.4"/>
    <n v="0.3"/>
    <n v="3"/>
    <s v="C"/>
    <n v="3.79"/>
    <x v="0"/>
    <n v="73.5"/>
    <x v="2"/>
    <n v="4.1100000000000003"/>
    <n v="5.2"/>
    <n v="1812.9621000000002"/>
    <n v="2293.7719999999999"/>
    <n v="480.80989999999974"/>
    <n v="0.20961538461538451"/>
    <n v="16.718069"/>
  </r>
  <r>
    <s v="BATCH00497"/>
    <x v="1"/>
    <x v="2"/>
    <x v="0"/>
    <n v="416.27"/>
    <n v="14.13"/>
    <n v="38.450000000000003"/>
    <n v="1.9"/>
    <n v="1.5"/>
    <n v="3"/>
    <s v="C"/>
    <n v="8.2899999999999991"/>
    <x v="0"/>
    <n v="58.34"/>
    <x v="1"/>
    <n v="5.34"/>
    <n v="7.34"/>
    <n v="2222.8817999999997"/>
    <n v="3055.4217999999996"/>
    <n v="832.54"/>
    <n v="0.27247956403269757"/>
    <n v="34.508782999999994"/>
  </r>
  <r>
    <s v="BATCH00498"/>
    <x v="2"/>
    <x v="0"/>
    <x v="1"/>
    <n v="439.21"/>
    <n v="9.57"/>
    <n v="31.37"/>
    <n v="1.3"/>
    <n v="0.8"/>
    <n v="6"/>
    <s v="B"/>
    <n v="4.1500000000000004"/>
    <x v="1"/>
    <n v="50.93"/>
    <x v="0"/>
    <n v="8.3699999999999992"/>
    <n v="14.45"/>
    <n v="3676.1876999999995"/>
    <n v="6346.584499999999"/>
    <n v="2670.3967999999995"/>
    <n v="0.42076124567474049"/>
    <n v="18.227215000000001"/>
  </r>
  <r>
    <s v="BATCH00499"/>
    <x v="1"/>
    <x v="1"/>
    <x v="1"/>
    <n v="446.09"/>
    <n v="17.62"/>
    <n v="27.27"/>
    <n v="4"/>
    <n v="2.6"/>
    <n v="10"/>
    <s v="B"/>
    <n v="6.29"/>
    <x v="0"/>
    <n v="83.31"/>
    <x v="1"/>
    <n v="4.63"/>
    <n v="8.85"/>
    <n v="2065.3966999999998"/>
    <n v="3947.8964999999998"/>
    <n v="1882.4998000000001"/>
    <n v="0.47683615819209041"/>
    <n v="28.059060999999996"/>
  </r>
  <r>
    <s v="BATCH00500"/>
    <x v="0"/>
    <x v="2"/>
    <x v="1"/>
    <n v="445.17"/>
    <n v="13.18"/>
    <n v="35.130000000000003"/>
    <n v="0.1"/>
    <n v="0.6"/>
    <n v="24"/>
    <s v="B"/>
    <n v="5.27"/>
    <x v="2"/>
    <n v="79.39"/>
    <x v="1"/>
    <n v="6.35"/>
    <n v="14.39"/>
    <n v="2826.8294999999998"/>
    <n v="6405.9963000000007"/>
    <n v="3579.1668000000009"/>
    <n v="0.55872133425990278"/>
    <n v="23.460459"/>
  </r>
  <r>
    <s v="BATCH00501"/>
    <x v="2"/>
    <x v="0"/>
    <x v="1"/>
    <n v="583.33000000000004"/>
    <n v="8.73"/>
    <n v="25.15"/>
    <n v="2.1"/>
    <n v="2"/>
    <n v="22"/>
    <s v="B"/>
    <n v="7.33"/>
    <x v="2"/>
    <n v="81.12"/>
    <x v="1"/>
    <n v="6.96"/>
    <n v="7.74"/>
    <n v="4059.9768000000004"/>
    <n v="4514.9742000000006"/>
    <n v="454.9974000000002"/>
    <n v="0.10077519379844964"/>
    <n v="42.758088999999998"/>
  </r>
  <r>
    <s v="BATCH00502"/>
    <x v="2"/>
    <x v="3"/>
    <x v="1"/>
    <n v="389.51"/>
    <n v="14.27"/>
    <n v="33.869999999999997"/>
    <n v="2.9"/>
    <n v="0.6"/>
    <n v="18"/>
    <s v="C"/>
    <n v="1.98"/>
    <x v="1"/>
    <n v="62.75"/>
    <x v="0"/>
    <n v="7.23"/>
    <n v="7.18"/>
    <n v="2816.1573000000003"/>
    <n v="2796.6817999999998"/>
    <n v="-19.475500000000466"/>
    <n v="-6.9637883008358218E-3"/>
    <n v="7.7122979999999997"/>
  </r>
  <r>
    <s v="BATCH00503"/>
    <x v="1"/>
    <x v="2"/>
    <x v="1"/>
    <n v="522.04999999999995"/>
    <n v="10.53"/>
    <n v="20.79"/>
    <n v="2.8"/>
    <n v="3.9"/>
    <n v="18"/>
    <s v="C"/>
    <n v="9.24"/>
    <x v="0"/>
    <n v="61.96"/>
    <x v="2"/>
    <n v="9.5500000000000007"/>
    <n v="7.14"/>
    <n v="4985.5775000000003"/>
    <n v="3727.4369999999994"/>
    <n v="-1258.1405000000009"/>
    <n v="-0.33753501400560254"/>
    <n v="48.237419999999993"/>
  </r>
  <r>
    <s v="BATCH00504"/>
    <x v="0"/>
    <x v="2"/>
    <x v="0"/>
    <n v="621.79999999999995"/>
    <n v="16.04"/>
    <n v="36.79"/>
    <n v="4.3"/>
    <n v="3.2"/>
    <n v="14"/>
    <s v="A"/>
    <n v="6.61"/>
    <x v="1"/>
    <n v="91.51"/>
    <x v="1"/>
    <n v="7.63"/>
    <n v="5.85"/>
    <n v="4744.3339999999998"/>
    <n v="3637.5299999999993"/>
    <n v="-1106.8040000000005"/>
    <n v="-0.30427350427350447"/>
    <n v="41.10098"/>
  </r>
  <r>
    <s v="BATCH00505"/>
    <x v="2"/>
    <x v="0"/>
    <x v="1"/>
    <n v="448.68"/>
    <n v="16.18"/>
    <n v="28.96"/>
    <n v="2.6"/>
    <n v="0.4"/>
    <n v="16"/>
    <s v="A"/>
    <n v="3.07"/>
    <x v="1"/>
    <n v="88.06"/>
    <x v="2"/>
    <n v="8.5"/>
    <n v="13.96"/>
    <n v="3813.78"/>
    <n v="6263.5728000000008"/>
    <n v="2449.7928000000006"/>
    <n v="0.3911174785100287"/>
    <n v="13.774476"/>
  </r>
  <r>
    <s v="BATCH00506"/>
    <x v="1"/>
    <x v="3"/>
    <x v="1"/>
    <n v="428.21"/>
    <n v="17.79"/>
    <n v="32.729999999999997"/>
    <n v="5.3"/>
    <n v="2.2000000000000002"/>
    <n v="7"/>
    <s v="A"/>
    <n v="1.67"/>
    <x v="1"/>
    <n v="66.84"/>
    <x v="2"/>
    <n v="7.07"/>
    <n v="14.8"/>
    <n v="3027.4447"/>
    <n v="6337.5079999999998"/>
    <n v="3310.0632999999998"/>
    <n v="0.52229729729729724"/>
    <n v="7.1511069999999997"/>
  </r>
  <r>
    <s v="BATCH00507"/>
    <x v="0"/>
    <x v="2"/>
    <x v="0"/>
    <n v="476.95"/>
    <n v="13.02"/>
    <n v="24.42"/>
    <n v="0.8"/>
    <n v="1.9"/>
    <n v="1"/>
    <s v="B"/>
    <n v="1.92"/>
    <x v="0"/>
    <n v="81.89"/>
    <x v="2"/>
    <n v="8.84"/>
    <n v="14.55"/>
    <n v="4216.2380000000003"/>
    <n v="6939.6225000000004"/>
    <n v="2723.3845000000001"/>
    <n v="0.39243986254295532"/>
    <n v="9.1574399999999994"/>
  </r>
  <r>
    <s v="BATCH00508"/>
    <x v="1"/>
    <x v="1"/>
    <x v="0"/>
    <n v="617.97"/>
    <n v="12.55"/>
    <n v="33.54"/>
    <n v="1.4"/>
    <n v="0.2"/>
    <n v="17"/>
    <s v="C"/>
    <n v="7.94"/>
    <x v="2"/>
    <n v="91.41"/>
    <x v="1"/>
    <n v="4.8499999999999996"/>
    <n v="13.52"/>
    <n v="2997.1545000000001"/>
    <n v="8354.9544000000005"/>
    <n v="5357.7999"/>
    <n v="0.64127218934911234"/>
    <n v="49.066818000000005"/>
  </r>
  <r>
    <s v="BATCH00509"/>
    <x v="3"/>
    <x v="1"/>
    <x v="0"/>
    <n v="519.41"/>
    <n v="15.53"/>
    <n v="35.44"/>
    <n v="0"/>
    <n v="1"/>
    <n v="23"/>
    <s v="C"/>
    <n v="6.09"/>
    <x v="2"/>
    <n v="94.44"/>
    <x v="2"/>
    <n v="4.47"/>
    <n v="13.47"/>
    <n v="2321.7626999999998"/>
    <n v="6996.4526999999998"/>
    <n v="4674.6900000000005"/>
    <n v="0.66815144766147005"/>
    <n v="31.632068999999998"/>
  </r>
  <r>
    <s v="BATCH00510"/>
    <x v="2"/>
    <x v="1"/>
    <x v="1"/>
    <n v="446.88"/>
    <n v="9.32"/>
    <n v="29.46"/>
    <n v="0"/>
    <n v="0.1"/>
    <n v="25"/>
    <s v="A"/>
    <n v="4.12"/>
    <x v="1"/>
    <n v="50.29"/>
    <x v="1"/>
    <n v="9.48"/>
    <n v="11.61"/>
    <n v="4236.4224000000004"/>
    <n v="5188.2767999999996"/>
    <n v="951.85439999999926"/>
    <n v="0.18346253229974147"/>
    <n v="18.411456000000001"/>
  </r>
  <r>
    <s v="BATCH00511"/>
    <x v="3"/>
    <x v="3"/>
    <x v="0"/>
    <n v="548.39"/>
    <n v="13.47"/>
    <n v="32.35"/>
    <n v="0.5"/>
    <n v="1.8"/>
    <n v="5"/>
    <s v="A"/>
    <n v="3.66"/>
    <x v="1"/>
    <n v="90.67"/>
    <x v="1"/>
    <n v="7.85"/>
    <n v="13.26"/>
    <n v="4304.8615"/>
    <n v="7271.6513999999997"/>
    <n v="2966.7898999999998"/>
    <n v="0.40799396681749622"/>
    <n v="20.071073999999999"/>
  </r>
  <r>
    <s v="BATCH00512"/>
    <x v="0"/>
    <x v="2"/>
    <x v="1"/>
    <n v="389.77"/>
    <n v="13.46"/>
    <n v="29.13"/>
    <n v="0.2"/>
    <n v="0.2"/>
    <n v="27"/>
    <s v="C"/>
    <n v="8.6300000000000008"/>
    <x v="2"/>
    <n v="67.52"/>
    <x v="1"/>
    <n v="7.7"/>
    <n v="7.08"/>
    <n v="3001.2289999999998"/>
    <n v="2759.5715999999998"/>
    <n v="-241.65740000000005"/>
    <n v="-8.7570621468926579E-2"/>
    <n v="33.637151000000003"/>
  </r>
  <r>
    <s v="BATCH00513"/>
    <x v="3"/>
    <x v="1"/>
    <x v="1"/>
    <n v="568.14"/>
    <n v="8.89"/>
    <n v="37.880000000000003"/>
    <n v="0.6"/>
    <n v="0.1"/>
    <n v="1"/>
    <s v="B"/>
    <n v="8.81"/>
    <x v="2"/>
    <n v="85.92"/>
    <x v="2"/>
    <n v="6.27"/>
    <n v="8.8800000000000008"/>
    <n v="3562.2377999999999"/>
    <n v="5045.0832"/>
    <n v="1482.8454000000002"/>
    <n v="0.29391891891891897"/>
    <n v="50.053134"/>
  </r>
  <r>
    <s v="BATCH00514"/>
    <x v="3"/>
    <x v="3"/>
    <x v="1"/>
    <n v="540.86"/>
    <n v="12.18"/>
    <n v="29.96"/>
    <n v="0.4"/>
    <n v="0.5"/>
    <n v="21"/>
    <s v="A"/>
    <n v="6.02"/>
    <x v="0"/>
    <n v="68.569999999999993"/>
    <x v="1"/>
    <n v="5.64"/>
    <n v="11.41"/>
    <n v="3050.4503999999997"/>
    <n v="6171.2125999999998"/>
    <n v="3120.7622000000001"/>
    <n v="0.50569675723049956"/>
    <n v="32.559771999999995"/>
  </r>
  <r>
    <s v="BATCH00515"/>
    <x v="0"/>
    <x v="1"/>
    <x v="0"/>
    <n v="469.22"/>
    <n v="16.53"/>
    <n v="36.840000000000003"/>
    <n v="0.1"/>
    <n v="0.9"/>
    <n v="27"/>
    <s v="A"/>
    <n v="5.48"/>
    <x v="1"/>
    <n v="80.31"/>
    <x v="0"/>
    <n v="6.89"/>
    <n v="13.75"/>
    <n v="3232.9258"/>
    <n v="6451.7750000000005"/>
    <n v="3218.8492000000006"/>
    <n v="0.49890909090909097"/>
    <n v="25.713256000000001"/>
  </r>
  <r>
    <s v="BATCH00516"/>
    <x v="1"/>
    <x v="0"/>
    <x v="0"/>
    <n v="416.14"/>
    <n v="16.559999999999999"/>
    <n v="36.03"/>
    <n v="4.8"/>
    <n v="1.9"/>
    <n v="17"/>
    <s v="C"/>
    <n v="8.26"/>
    <x v="0"/>
    <n v="82.34"/>
    <x v="0"/>
    <n v="3.84"/>
    <n v="11.6"/>
    <n v="1597.9775999999999"/>
    <n v="4827.2239999999993"/>
    <n v="3229.2463999999991"/>
    <n v="0.6689655172413792"/>
    <n v="34.373163999999996"/>
  </r>
  <r>
    <s v="BATCH00517"/>
    <x v="3"/>
    <x v="2"/>
    <x v="0"/>
    <n v="411.33"/>
    <n v="8.99"/>
    <n v="28.21"/>
    <n v="0"/>
    <n v="3.7"/>
    <n v="10"/>
    <s v="C"/>
    <n v="7.62"/>
    <x v="2"/>
    <n v="70.25"/>
    <x v="0"/>
    <n v="6.18"/>
    <n v="13.39"/>
    <n v="2542.0193999999997"/>
    <n v="5507.7087000000001"/>
    <n v="2965.6893000000005"/>
    <n v="0.53846153846153855"/>
    <n v="31.343346"/>
  </r>
  <r>
    <s v="BATCH00518"/>
    <x v="1"/>
    <x v="2"/>
    <x v="0"/>
    <n v="553.48"/>
    <n v="8.91"/>
    <n v="24.6"/>
    <n v="2.7"/>
    <n v="0.6"/>
    <n v="12"/>
    <s v="A"/>
    <n v="4.3"/>
    <x v="2"/>
    <n v="75.64"/>
    <x v="1"/>
    <n v="6.19"/>
    <n v="9.74"/>
    <n v="3426.0412000000001"/>
    <n v="5390.8951999999999"/>
    <n v="1964.8539999999998"/>
    <n v="0.36447638603696098"/>
    <n v="23.79964"/>
  </r>
  <r>
    <s v="BATCH00519"/>
    <x v="3"/>
    <x v="3"/>
    <x v="0"/>
    <n v="622.9"/>
    <n v="10.63"/>
    <n v="28.12"/>
    <n v="0.3"/>
    <n v="0.1"/>
    <n v="25"/>
    <s v="A"/>
    <n v="1.29"/>
    <x v="2"/>
    <n v="86.32"/>
    <x v="0"/>
    <n v="6.77"/>
    <n v="12.17"/>
    <n v="4217.0329999999994"/>
    <n v="7580.6929999999993"/>
    <n v="3363.66"/>
    <n v="0.44371405094494659"/>
    <n v="8.0354099999999988"/>
  </r>
  <r>
    <s v="BATCH00520"/>
    <x v="1"/>
    <x v="3"/>
    <x v="1"/>
    <n v="436.27"/>
    <n v="16.75"/>
    <n v="36.520000000000003"/>
    <n v="4.9000000000000004"/>
    <n v="1.4"/>
    <n v="20"/>
    <s v="B"/>
    <n v="7.8"/>
    <x v="2"/>
    <n v="73.819999999999993"/>
    <x v="1"/>
    <n v="7.44"/>
    <n v="14.8"/>
    <n v="3245.8488000000002"/>
    <n v="6456.7960000000003"/>
    <n v="3210.9472000000001"/>
    <n v="0.49729729729729727"/>
    <n v="34.029060000000001"/>
  </r>
  <r>
    <s v="BATCH00521"/>
    <x v="0"/>
    <x v="2"/>
    <x v="1"/>
    <n v="545.84"/>
    <n v="9.2899999999999991"/>
    <n v="24.55"/>
    <n v="4.5"/>
    <n v="0.8"/>
    <n v="25"/>
    <s v="B"/>
    <n v="2.1"/>
    <x v="0"/>
    <n v="50.7"/>
    <x v="1"/>
    <n v="9.6999999999999993"/>
    <n v="6.53"/>
    <n v="5294.6480000000001"/>
    <n v="3564.3352000000004"/>
    <n v="-1730.3127999999997"/>
    <n v="-0.48545176110260324"/>
    <n v="11.46264"/>
  </r>
  <r>
    <s v="BATCH00522"/>
    <x v="3"/>
    <x v="1"/>
    <x v="1"/>
    <n v="291.3"/>
    <n v="15.2"/>
    <n v="30.49"/>
    <n v="2.1"/>
    <n v="0.6"/>
    <n v="2"/>
    <s v="B"/>
    <n v="0.66"/>
    <x v="2"/>
    <n v="50.65"/>
    <x v="1"/>
    <n v="7.57"/>
    <n v="14.27"/>
    <n v="2205.1410000000001"/>
    <n v="4156.8509999999997"/>
    <n v="1951.7099999999996"/>
    <n v="0.46951646811492637"/>
    <n v="1.9225800000000002"/>
  </r>
  <r>
    <s v="BATCH00523"/>
    <x v="0"/>
    <x v="1"/>
    <x v="1"/>
    <n v="441.54"/>
    <n v="9.01"/>
    <n v="36.119999999999997"/>
    <n v="2.2000000000000002"/>
    <n v="0.4"/>
    <n v="23"/>
    <s v="B"/>
    <n v="8.51"/>
    <x v="1"/>
    <n v="83.07"/>
    <x v="2"/>
    <n v="9.19"/>
    <n v="10.220000000000001"/>
    <n v="4057.7525999999998"/>
    <n v="4512.5388000000003"/>
    <n v="454.78620000000046"/>
    <n v="0.10078277886497074"/>
    <n v="37.575054000000002"/>
  </r>
  <r>
    <s v="BATCH00524"/>
    <x v="3"/>
    <x v="0"/>
    <x v="0"/>
    <n v="496.89"/>
    <n v="14.23"/>
    <n v="27.07"/>
    <n v="0"/>
    <n v="0.7"/>
    <n v="16"/>
    <s v="A"/>
    <n v="5.99"/>
    <x v="2"/>
    <n v="92.36"/>
    <x v="0"/>
    <n v="6.89"/>
    <n v="11.43"/>
    <n v="3423.5720999999999"/>
    <n v="5679.4526999999998"/>
    <n v="2255.8806"/>
    <n v="0.39720034995625547"/>
    <n v="29.763710999999997"/>
  </r>
  <r>
    <s v="BATCH00525"/>
    <x v="0"/>
    <x v="1"/>
    <x v="0"/>
    <n v="409.03"/>
    <n v="11.56"/>
    <n v="32.840000000000003"/>
    <n v="8.4"/>
    <n v="0.4"/>
    <n v="15"/>
    <s v="A"/>
    <n v="8.9700000000000006"/>
    <x v="1"/>
    <n v="89.26"/>
    <x v="1"/>
    <n v="7.39"/>
    <n v="13.78"/>
    <n v="3022.7316999999998"/>
    <n v="5636.433399999999"/>
    <n v="2613.7016999999992"/>
    <n v="0.46371552975326552"/>
    <n v="36.689990999999999"/>
  </r>
  <r>
    <s v="BATCH00526"/>
    <x v="0"/>
    <x v="3"/>
    <x v="1"/>
    <n v="406.35"/>
    <n v="15.89"/>
    <n v="24.91"/>
    <n v="4.2"/>
    <n v="1.4"/>
    <n v="28"/>
    <s v="A"/>
    <n v="5.0999999999999996"/>
    <x v="2"/>
    <n v="65.52"/>
    <x v="0"/>
    <n v="3.49"/>
    <n v="9.1"/>
    <n v="1418.1615000000002"/>
    <n v="3697.7849999999999"/>
    <n v="2279.6234999999997"/>
    <n v="0.6164835164835164"/>
    <n v="20.723849999999999"/>
  </r>
  <r>
    <s v="BATCH00527"/>
    <x v="3"/>
    <x v="3"/>
    <x v="0"/>
    <n v="433.22"/>
    <n v="10.34"/>
    <n v="22.19"/>
    <n v="4.5"/>
    <n v="0.8"/>
    <n v="13"/>
    <s v="B"/>
    <n v="9.3000000000000007"/>
    <x v="0"/>
    <n v="73.56"/>
    <x v="0"/>
    <n v="3.93"/>
    <n v="9.19"/>
    <n v="1702.5546000000002"/>
    <n v="3981.2918"/>
    <n v="2278.7371999999996"/>
    <n v="0.5723612622415668"/>
    <n v="40.289460000000005"/>
  </r>
  <r>
    <s v="BATCH00528"/>
    <x v="3"/>
    <x v="1"/>
    <x v="0"/>
    <n v="529.22"/>
    <n v="14.39"/>
    <n v="35.89"/>
    <n v="2.2000000000000002"/>
    <n v="2.1"/>
    <n v="18"/>
    <s v="A"/>
    <n v="3.86"/>
    <x v="1"/>
    <n v="61.71"/>
    <x v="2"/>
    <n v="7.06"/>
    <n v="10.27"/>
    <n v="3736.2932000000001"/>
    <n v="5435.0893999999998"/>
    <n v="1698.7961999999998"/>
    <n v="0.31256085686465429"/>
    <n v="20.427892"/>
  </r>
  <r>
    <s v="BATCH00529"/>
    <x v="3"/>
    <x v="3"/>
    <x v="1"/>
    <n v="481.27"/>
    <n v="10.36"/>
    <n v="21.98"/>
    <n v="0.8"/>
    <n v="0.8"/>
    <n v="28"/>
    <s v="C"/>
    <n v="7.38"/>
    <x v="0"/>
    <n v="99.46"/>
    <x v="0"/>
    <n v="5.77"/>
    <n v="5.19"/>
    <n v="2776.9278999999997"/>
    <n v="2497.7913000000003"/>
    <n v="-279.13659999999936"/>
    <n v="-0.11175337186897853"/>
    <n v="35.517725999999996"/>
  </r>
  <r>
    <s v="BATCH00530"/>
    <x v="2"/>
    <x v="2"/>
    <x v="1"/>
    <n v="276.18"/>
    <n v="15.14"/>
    <n v="25.43"/>
    <n v="4.5"/>
    <n v="0.3"/>
    <n v="20"/>
    <s v="B"/>
    <n v="3.36"/>
    <x v="2"/>
    <n v="63.03"/>
    <x v="1"/>
    <n v="8.59"/>
    <n v="9.9700000000000006"/>
    <n v="2372.3861999999999"/>
    <n v="2753.5146000000004"/>
    <n v="381.12840000000051"/>
    <n v="0.13841524573721181"/>
    <n v="9.2796479999999999"/>
  </r>
  <r>
    <s v="BATCH00531"/>
    <x v="1"/>
    <x v="2"/>
    <x v="0"/>
    <n v="287.93"/>
    <n v="16.739999999999998"/>
    <n v="37.1"/>
    <n v="0.7"/>
    <n v="1.9"/>
    <n v="22"/>
    <s v="C"/>
    <n v="0.51"/>
    <x v="0"/>
    <n v="70.81"/>
    <x v="1"/>
    <n v="6.8"/>
    <n v="7.91"/>
    <n v="1957.924"/>
    <n v="2277.5263"/>
    <n v="319.60230000000001"/>
    <n v="0.14032869785082175"/>
    <n v="1.4684429999999999"/>
  </r>
  <r>
    <s v="BATCH00532"/>
    <x v="2"/>
    <x v="1"/>
    <x v="0"/>
    <n v="439.31"/>
    <n v="9.27"/>
    <n v="26.93"/>
    <n v="1.7"/>
    <n v="0.8"/>
    <n v="14"/>
    <s v="B"/>
    <n v="4.1100000000000003"/>
    <x v="2"/>
    <n v="84.06"/>
    <x v="0"/>
    <n v="9.18"/>
    <n v="14.28"/>
    <n v="4032.8658"/>
    <n v="6273.3467999999993"/>
    <n v="2240.4809999999993"/>
    <n v="0.3571428571428571"/>
    <n v="18.055641000000001"/>
  </r>
  <r>
    <s v="BATCH00533"/>
    <x v="2"/>
    <x v="2"/>
    <x v="1"/>
    <n v="545.77"/>
    <n v="16.670000000000002"/>
    <n v="39.46"/>
    <n v="0.2"/>
    <n v="0.2"/>
    <n v="18"/>
    <s v="A"/>
    <n v="7.51"/>
    <x v="0"/>
    <n v="93.8"/>
    <x v="0"/>
    <n v="9.81"/>
    <n v="5.88"/>
    <n v="5354.0037000000002"/>
    <n v="3209.1275999999998"/>
    <n v="-2144.8761000000004"/>
    <n v="-0.66836734693877564"/>
    <n v="40.987326999999993"/>
  </r>
  <r>
    <s v="BATCH00534"/>
    <x v="0"/>
    <x v="2"/>
    <x v="1"/>
    <n v="225.25"/>
    <n v="13.94"/>
    <n v="39.590000000000003"/>
    <n v="5.0999999999999996"/>
    <n v="1"/>
    <n v="2"/>
    <s v="B"/>
    <n v="1.93"/>
    <x v="0"/>
    <n v="52.57"/>
    <x v="2"/>
    <n v="4.03"/>
    <n v="9.59"/>
    <n v="907.75750000000005"/>
    <n v="2160.1475"/>
    <n v="1252.3899999999999"/>
    <n v="0.57977059436913447"/>
    <n v="4.3473249999999997"/>
  </r>
  <r>
    <s v="BATCH00535"/>
    <x v="3"/>
    <x v="0"/>
    <x v="1"/>
    <n v="450.03"/>
    <n v="9.27"/>
    <n v="25.37"/>
    <n v="0.3"/>
    <n v="0.4"/>
    <n v="2"/>
    <s v="C"/>
    <n v="5.3"/>
    <x v="1"/>
    <n v="65.05"/>
    <x v="1"/>
    <n v="5.76"/>
    <n v="14.47"/>
    <n v="2592.1727999999998"/>
    <n v="6511.9340999999995"/>
    <n v="3919.7612999999997"/>
    <n v="0.60193503800967518"/>
    <n v="23.851589999999998"/>
  </r>
  <r>
    <s v="BATCH00536"/>
    <x v="1"/>
    <x v="0"/>
    <x v="0"/>
    <n v="447.38"/>
    <n v="12.28"/>
    <n v="20.82"/>
    <n v="0.5"/>
    <n v="1.9"/>
    <n v="3"/>
    <s v="B"/>
    <n v="2.52"/>
    <x v="2"/>
    <n v="78.45"/>
    <x v="0"/>
    <n v="7.65"/>
    <n v="14.01"/>
    <n v="3422.4570000000003"/>
    <n v="6267.7937999999995"/>
    <n v="2845.3367999999991"/>
    <n v="0.4539614561027836"/>
    <n v="11.273975999999999"/>
  </r>
  <r>
    <s v="BATCH00537"/>
    <x v="0"/>
    <x v="2"/>
    <x v="1"/>
    <n v="638.83000000000004"/>
    <n v="9.61"/>
    <n v="34.1"/>
    <n v="1.6"/>
    <n v="0.6"/>
    <n v="5"/>
    <s v="C"/>
    <n v="1.21"/>
    <x v="0"/>
    <n v="80.92"/>
    <x v="0"/>
    <n v="5.14"/>
    <n v="12.01"/>
    <n v="3283.5862000000002"/>
    <n v="7672.3483000000006"/>
    <n v="4388.7620999999999"/>
    <n v="0.5720233139050791"/>
    <n v="7.7298430000000007"/>
  </r>
  <r>
    <s v="BATCH00538"/>
    <x v="2"/>
    <x v="1"/>
    <x v="1"/>
    <n v="461.5"/>
    <n v="15"/>
    <n v="29.02"/>
    <n v="2.9"/>
    <n v="1.3"/>
    <n v="25"/>
    <s v="A"/>
    <n v="6.37"/>
    <x v="2"/>
    <n v="53.5"/>
    <x v="1"/>
    <n v="4.87"/>
    <n v="10.89"/>
    <n v="2247.5050000000001"/>
    <n v="5025.7350000000006"/>
    <n v="2778.2300000000005"/>
    <n v="0.55280073461891643"/>
    <n v="29.397550000000003"/>
  </r>
  <r>
    <s v="BATCH00539"/>
    <x v="3"/>
    <x v="0"/>
    <x v="0"/>
    <n v="538.29999999999995"/>
    <n v="15.59"/>
    <n v="22.02"/>
    <n v="1.9"/>
    <n v="0.1"/>
    <n v="16"/>
    <s v="C"/>
    <n v="9.5399999999999991"/>
    <x v="1"/>
    <n v="83.2"/>
    <x v="0"/>
    <n v="8.6999999999999993"/>
    <n v="7.81"/>
    <n v="4683.2099999999991"/>
    <n v="4204.1229999999996"/>
    <n v="-479.08699999999953"/>
    <n v="-0.11395646606914203"/>
    <n v="51.353819999999985"/>
  </r>
  <r>
    <s v="BATCH00540"/>
    <x v="0"/>
    <x v="3"/>
    <x v="0"/>
    <n v="514.13"/>
    <n v="9.06"/>
    <n v="34.15"/>
    <n v="0.5"/>
    <n v="0.5"/>
    <n v="22"/>
    <s v="A"/>
    <n v="3.45"/>
    <x v="0"/>
    <n v="76.400000000000006"/>
    <x v="2"/>
    <n v="9.86"/>
    <n v="8.67"/>
    <n v="5069.3217999999997"/>
    <n v="4457.5070999999998"/>
    <n v="-611.8146999999999"/>
    <n v="-0.1372549019607843"/>
    <n v="17.737485000000003"/>
  </r>
  <r>
    <s v="BATCH00541"/>
    <x v="3"/>
    <x v="3"/>
    <x v="0"/>
    <n v="286.94"/>
    <n v="13.06"/>
    <n v="20.62"/>
    <n v="0"/>
    <n v="4.0999999999999996"/>
    <n v="15"/>
    <s v="C"/>
    <n v="6.02"/>
    <x v="2"/>
    <n v="91.38"/>
    <x v="0"/>
    <n v="8.42"/>
    <n v="5.9"/>
    <n v="2416.0347999999999"/>
    <n v="1692.9460000000001"/>
    <n v="-723.08879999999976"/>
    <n v="-0.42711864406779643"/>
    <n v="17.273788"/>
  </r>
  <r>
    <s v="BATCH00542"/>
    <x v="0"/>
    <x v="3"/>
    <x v="0"/>
    <n v="576.82000000000005"/>
    <n v="16.149999999999999"/>
    <n v="37.4"/>
    <n v="2.8"/>
    <n v="1.7"/>
    <n v="12"/>
    <s v="A"/>
    <n v="9.56"/>
    <x v="0"/>
    <n v="61.11"/>
    <x v="0"/>
    <n v="6.67"/>
    <n v="12.86"/>
    <n v="3847.3894000000005"/>
    <n v="7417.9052000000001"/>
    <n v="3570.5157999999997"/>
    <n v="0.48133748055987552"/>
    <n v="55.143992000000004"/>
  </r>
  <r>
    <s v="BATCH00543"/>
    <x v="3"/>
    <x v="1"/>
    <x v="0"/>
    <n v="521.54"/>
    <n v="17.36"/>
    <n v="22.77"/>
    <n v="8.4"/>
    <n v="0.2"/>
    <n v="9"/>
    <s v="C"/>
    <n v="6.68"/>
    <x v="0"/>
    <n v="59.75"/>
    <x v="2"/>
    <n v="6.1"/>
    <n v="8.24"/>
    <n v="3181.3939999999998"/>
    <n v="4297.4895999999999"/>
    <n v="1116.0956000000001"/>
    <n v="0.25970873786407772"/>
    <n v="34.838871999999995"/>
  </r>
  <r>
    <s v="BATCH00544"/>
    <x v="2"/>
    <x v="2"/>
    <x v="1"/>
    <n v="550.83000000000004"/>
    <n v="13.14"/>
    <n v="22.55"/>
    <n v="3.3"/>
    <n v="0.3"/>
    <n v="26"/>
    <s v="A"/>
    <n v="6.89"/>
    <x v="0"/>
    <n v="89.67"/>
    <x v="2"/>
    <n v="6.78"/>
    <n v="11.68"/>
    <n v="3734.6274000000003"/>
    <n v="6433.6944000000003"/>
    <n v="2699.067"/>
    <n v="0.41952054794520544"/>
    <n v="37.952187000000002"/>
  </r>
  <r>
    <s v="BATCH00545"/>
    <x v="1"/>
    <x v="3"/>
    <x v="1"/>
    <n v="892.62"/>
    <n v="17.5"/>
    <n v="23.51"/>
    <n v="1.2"/>
    <n v="0.4"/>
    <n v="14"/>
    <s v="A"/>
    <n v="2.2000000000000002"/>
    <x v="0"/>
    <n v="85.19"/>
    <x v="2"/>
    <n v="6.24"/>
    <n v="8.58"/>
    <n v="5569.9488000000001"/>
    <n v="7658.6796000000004"/>
    <n v="2088.7308000000003"/>
    <n v="0.27272727272727276"/>
    <n v="19.637640000000001"/>
  </r>
  <r>
    <s v="BATCH00546"/>
    <x v="2"/>
    <x v="1"/>
    <x v="0"/>
    <n v="291.58999999999997"/>
    <n v="13.36"/>
    <n v="39.21"/>
    <n v="4.7"/>
    <n v="1.1000000000000001"/>
    <n v="29"/>
    <s v="A"/>
    <n v="5.18"/>
    <x v="1"/>
    <n v="89.58"/>
    <x v="1"/>
    <n v="6.52"/>
    <n v="9.64"/>
    <n v="1901.1667999999997"/>
    <n v="2810.9276"/>
    <n v="909.76080000000024"/>
    <n v="0.32365145228215775"/>
    <n v="15.104361999999998"/>
  </r>
  <r>
    <s v="BATCH00547"/>
    <x v="1"/>
    <x v="0"/>
    <x v="0"/>
    <n v="672.47"/>
    <n v="11.94"/>
    <n v="33.86"/>
    <n v="1.1000000000000001"/>
    <n v="1.4"/>
    <n v="21"/>
    <s v="C"/>
    <n v="3.99"/>
    <x v="1"/>
    <n v="89.1"/>
    <x v="0"/>
    <n v="4.42"/>
    <n v="10.55"/>
    <n v="2972.3173999999999"/>
    <n v="7094.558500000001"/>
    <n v="4122.2411000000011"/>
    <n v="0.58104265402843613"/>
    <n v="26.831553000000003"/>
  </r>
  <r>
    <s v="BATCH00548"/>
    <x v="3"/>
    <x v="2"/>
    <x v="0"/>
    <n v="471.26"/>
    <n v="16.48"/>
    <n v="36.03"/>
    <n v="1.5"/>
    <n v="1.4"/>
    <n v="16"/>
    <s v="C"/>
    <n v="4.97"/>
    <x v="2"/>
    <n v="55.2"/>
    <x v="0"/>
    <n v="9.33"/>
    <n v="13.02"/>
    <n v="4396.8558000000003"/>
    <n v="6135.8051999999998"/>
    <n v="1738.9493999999995"/>
    <n v="0.28341013824884786"/>
    <n v="23.421621999999999"/>
  </r>
  <r>
    <s v="BATCH00549"/>
    <x v="0"/>
    <x v="0"/>
    <x v="0"/>
    <n v="528.73"/>
    <n v="12.93"/>
    <n v="27.95"/>
    <n v="1.3"/>
    <n v="0.7"/>
    <n v="11"/>
    <s v="A"/>
    <n v="8.11"/>
    <x v="2"/>
    <n v="63.93"/>
    <x v="2"/>
    <n v="8.2799999999999994"/>
    <n v="7.11"/>
    <n v="4377.8843999999999"/>
    <n v="3759.2703000000001"/>
    <n v="-618.61409999999978"/>
    <n v="-0.16455696202531639"/>
    <n v="42.880002999999995"/>
  </r>
  <r>
    <s v="BATCH00550"/>
    <x v="2"/>
    <x v="1"/>
    <x v="0"/>
    <n v="495.45"/>
    <n v="12.72"/>
    <n v="26.73"/>
    <n v="1.2"/>
    <n v="1.7"/>
    <n v="6"/>
    <s v="B"/>
    <n v="4.88"/>
    <x v="0"/>
    <n v="63"/>
    <x v="1"/>
    <n v="7.77"/>
    <n v="8.99"/>
    <n v="3849.6464999999998"/>
    <n v="4454.0955000000004"/>
    <n v="604.44900000000052"/>
    <n v="0.13570634037819809"/>
    <n v="24.177959999999999"/>
  </r>
  <r>
    <s v="BATCH00551"/>
    <x v="1"/>
    <x v="3"/>
    <x v="1"/>
    <n v="457.58"/>
    <n v="12.9"/>
    <n v="24.69"/>
    <n v="3"/>
    <n v="0.6"/>
    <n v="10"/>
    <s v="A"/>
    <n v="1.1000000000000001"/>
    <x v="0"/>
    <n v="96.73"/>
    <x v="2"/>
    <n v="9.65"/>
    <n v="6.3"/>
    <n v="4415.6469999999999"/>
    <n v="2882.7539999999999"/>
    <n v="-1532.893"/>
    <n v="-0.53174603174603174"/>
    <n v="5.0333800000000002"/>
  </r>
  <r>
    <s v="BATCH00552"/>
    <x v="2"/>
    <x v="3"/>
    <x v="1"/>
    <n v="443.02"/>
    <n v="16.47"/>
    <n v="29.61"/>
    <n v="1.5"/>
    <n v="0.1"/>
    <n v="28"/>
    <s v="B"/>
    <n v="9.1"/>
    <x v="0"/>
    <n v="74.37"/>
    <x v="0"/>
    <n v="4.99"/>
    <n v="5.76"/>
    <n v="2210.6698000000001"/>
    <n v="2551.7952"/>
    <n v="341.1253999999999"/>
    <n v="0.13368055555555552"/>
    <n v="40.314819999999997"/>
  </r>
  <r>
    <s v="BATCH00553"/>
    <x v="1"/>
    <x v="1"/>
    <x v="1"/>
    <n v="532.95000000000005"/>
    <n v="16.32"/>
    <n v="31.04"/>
    <n v="0.8"/>
    <n v="0.8"/>
    <n v="8"/>
    <s v="A"/>
    <n v="5.68"/>
    <x v="1"/>
    <n v="55.55"/>
    <x v="1"/>
    <n v="3.57"/>
    <n v="11.05"/>
    <n v="1902.6315000000002"/>
    <n v="5889.0975000000008"/>
    <n v="3986.4660000000003"/>
    <n v="0.67692307692307685"/>
    <n v="30.271560000000001"/>
  </r>
  <r>
    <s v="BATCH00554"/>
    <x v="2"/>
    <x v="3"/>
    <x v="1"/>
    <n v="348.28"/>
    <n v="12.04"/>
    <n v="32.64"/>
    <n v="0.6"/>
    <n v="3"/>
    <n v="16"/>
    <s v="C"/>
    <n v="9.2799999999999994"/>
    <x v="0"/>
    <n v="64.48"/>
    <x v="1"/>
    <n v="8.7799999999999994"/>
    <n v="6.89"/>
    <n v="3057.8983999999996"/>
    <n v="2399.6491999999998"/>
    <n v="-658.24919999999975"/>
    <n v="-0.27431059506531197"/>
    <n v="32.320383999999997"/>
  </r>
  <r>
    <s v="BATCH00555"/>
    <x v="1"/>
    <x v="2"/>
    <x v="0"/>
    <n v="575.05999999999995"/>
    <n v="11.33"/>
    <n v="25.14"/>
    <n v="0.1"/>
    <n v="1.6"/>
    <n v="3"/>
    <s v="B"/>
    <n v="5.94"/>
    <x v="2"/>
    <n v="93.6"/>
    <x v="0"/>
    <n v="9.99"/>
    <n v="5.6"/>
    <n v="5744.8493999999992"/>
    <n v="3220.3359999999993"/>
    <n v="-2524.5133999999998"/>
    <n v="-0.78392857142857153"/>
    <n v="34.158563999999998"/>
  </r>
  <r>
    <s v="BATCH00556"/>
    <x v="1"/>
    <x v="1"/>
    <x v="1"/>
    <n v="458.38"/>
    <n v="12.92"/>
    <n v="38.97"/>
    <n v="1.8"/>
    <n v="0.9"/>
    <n v="2"/>
    <s v="C"/>
    <n v="1.1599999999999999"/>
    <x v="0"/>
    <n v="92.35"/>
    <x v="1"/>
    <n v="7.05"/>
    <n v="13.97"/>
    <n v="3231.5789999999997"/>
    <n v="6403.5686000000005"/>
    <n v="3171.9896000000008"/>
    <n v="0.49534717251252691"/>
    <n v="5.317207999999999"/>
  </r>
  <r>
    <s v="BATCH00557"/>
    <x v="3"/>
    <x v="0"/>
    <x v="0"/>
    <n v="386.99"/>
    <n v="13.73"/>
    <n v="23.4"/>
    <n v="0.5"/>
    <n v="1"/>
    <n v="16"/>
    <s v="B"/>
    <n v="5.75"/>
    <x v="1"/>
    <n v="95.02"/>
    <x v="1"/>
    <n v="3.41"/>
    <n v="10.34"/>
    <n v="1319.6359"/>
    <n v="4001.4766"/>
    <n v="2681.8406999999997"/>
    <n v="0.67021276595744672"/>
    <n v="22.251925"/>
  </r>
  <r>
    <s v="BATCH00558"/>
    <x v="1"/>
    <x v="1"/>
    <x v="0"/>
    <n v="455"/>
    <n v="10.38"/>
    <n v="39.31"/>
    <n v="0.3"/>
    <n v="2.7"/>
    <n v="19"/>
    <s v="B"/>
    <n v="5.97"/>
    <x v="0"/>
    <n v="69.430000000000007"/>
    <x v="2"/>
    <n v="8.4600000000000009"/>
    <n v="6.35"/>
    <n v="3849.3"/>
    <n v="2889.25"/>
    <n v="-960.05000000000018"/>
    <n v="-0.3322834645669292"/>
    <n v="27.163499999999999"/>
  </r>
  <r>
    <s v="BATCH00559"/>
    <x v="3"/>
    <x v="2"/>
    <x v="0"/>
    <n v="625.71"/>
    <n v="15.94"/>
    <n v="20.3"/>
    <n v="2.1"/>
    <n v="0.6"/>
    <n v="9"/>
    <s v="B"/>
    <n v="2.54"/>
    <x v="1"/>
    <n v="82.07"/>
    <x v="1"/>
    <n v="3.52"/>
    <n v="5.53"/>
    <n v="2202.4992000000002"/>
    <n v="3460.1763000000005"/>
    <n v="1257.6771000000003"/>
    <n v="0.36347197106690782"/>
    <n v="15.893034"/>
  </r>
  <r>
    <s v="BATCH00560"/>
    <x v="1"/>
    <x v="2"/>
    <x v="1"/>
    <n v="446.47"/>
    <n v="12.86"/>
    <n v="29.62"/>
    <n v="2.2999999999999998"/>
    <n v="0.4"/>
    <n v="16"/>
    <s v="B"/>
    <n v="4.97"/>
    <x v="1"/>
    <n v="63.91"/>
    <x v="2"/>
    <n v="6.78"/>
    <n v="6.2"/>
    <n v="3027.0666000000001"/>
    <n v="2768.114"/>
    <n v="-258.95260000000007"/>
    <n v="-9.3548387096774224E-2"/>
    <n v="22.189558999999999"/>
  </r>
  <r>
    <s v="BATCH00561"/>
    <x v="0"/>
    <x v="1"/>
    <x v="0"/>
    <n v="535.85"/>
    <n v="11.34"/>
    <n v="26.67"/>
    <n v="2.8"/>
    <n v="3.8"/>
    <n v="22"/>
    <s v="C"/>
    <n v="4.8600000000000003"/>
    <x v="1"/>
    <n v="59.04"/>
    <x v="1"/>
    <n v="4.9400000000000004"/>
    <n v="9.7100000000000009"/>
    <n v="2647.0990000000002"/>
    <n v="5203.1035000000011"/>
    <n v="2556.0045000000009"/>
    <n v="0.4912461380020598"/>
    <n v="26.042310000000001"/>
  </r>
  <r>
    <s v="BATCH00562"/>
    <x v="0"/>
    <x v="1"/>
    <x v="1"/>
    <n v="426.9"/>
    <n v="9.07"/>
    <n v="28.98"/>
    <n v="1.4"/>
    <n v="2"/>
    <n v="26"/>
    <s v="B"/>
    <n v="6.42"/>
    <x v="1"/>
    <n v="51.1"/>
    <x v="2"/>
    <n v="9.41"/>
    <n v="11.68"/>
    <n v="4017.1289999999999"/>
    <n v="4986.192"/>
    <n v="969.0630000000001"/>
    <n v="0.19434931506849318"/>
    <n v="27.406979999999997"/>
  </r>
  <r>
    <s v="BATCH00563"/>
    <x v="0"/>
    <x v="3"/>
    <x v="1"/>
    <n v="575.79"/>
    <n v="10.39"/>
    <n v="31.41"/>
    <n v="4.5"/>
    <n v="0.4"/>
    <n v="28"/>
    <s v="A"/>
    <n v="2.97"/>
    <x v="2"/>
    <n v="61.17"/>
    <x v="2"/>
    <n v="6.16"/>
    <n v="11.41"/>
    <n v="3546.8663999999999"/>
    <n v="6569.7638999999999"/>
    <n v="3022.8975"/>
    <n v="0.46012269938650308"/>
    <n v="17.100963"/>
  </r>
  <r>
    <s v="BATCH00564"/>
    <x v="1"/>
    <x v="2"/>
    <x v="0"/>
    <n v="568.54999999999995"/>
    <n v="17.489999999999998"/>
    <n v="28.71"/>
    <n v="5.5"/>
    <n v="0.6"/>
    <n v="4"/>
    <s v="A"/>
    <n v="6.03"/>
    <x v="1"/>
    <n v="80.22"/>
    <x v="1"/>
    <n v="9.2899999999999991"/>
    <n v="6.44"/>
    <n v="5281.8294999999989"/>
    <n v="3661.462"/>
    <n v="-1620.3674999999989"/>
    <n v="-0.44254658385093137"/>
    <n v="34.283564999999996"/>
  </r>
  <r>
    <s v="BATCH00565"/>
    <x v="3"/>
    <x v="1"/>
    <x v="0"/>
    <n v="684.86"/>
    <n v="11.05"/>
    <n v="28.3"/>
    <n v="3.3"/>
    <n v="0.5"/>
    <n v="10"/>
    <s v="B"/>
    <n v="2.79"/>
    <x v="2"/>
    <n v="95.21"/>
    <x v="2"/>
    <n v="5.09"/>
    <n v="11.33"/>
    <n v="3485.9373999999998"/>
    <n v="7759.4638000000004"/>
    <n v="4273.5264000000006"/>
    <n v="0.55075022065313328"/>
    <n v="19.107594000000002"/>
  </r>
  <r>
    <s v="BATCH00566"/>
    <x v="3"/>
    <x v="1"/>
    <x v="0"/>
    <n v="482.44"/>
    <n v="9.69"/>
    <n v="34.65"/>
    <n v="2"/>
    <n v="0.2"/>
    <n v="19"/>
    <s v="C"/>
    <n v="4.74"/>
    <x v="2"/>
    <n v="56.67"/>
    <x v="0"/>
    <n v="5.71"/>
    <n v="9.0500000000000007"/>
    <n v="2754.7323999999999"/>
    <n v="4366.0820000000003"/>
    <n v="1611.3496000000005"/>
    <n v="0.36906077348066307"/>
    <n v="22.867656"/>
  </r>
  <r>
    <s v="BATCH00567"/>
    <x v="1"/>
    <x v="2"/>
    <x v="1"/>
    <n v="566.87"/>
    <n v="12.61"/>
    <n v="33.72"/>
    <n v="0.7"/>
    <n v="3.2"/>
    <n v="13"/>
    <s v="C"/>
    <n v="1.67"/>
    <x v="0"/>
    <n v="95.9"/>
    <x v="0"/>
    <n v="9.6300000000000008"/>
    <n v="9.65"/>
    <n v="5458.9581000000007"/>
    <n v="5470.2955000000002"/>
    <n v="11.337399999999434"/>
    <n v="2.0725388601035232E-3"/>
    <n v="9.4667289999999991"/>
  </r>
  <r>
    <s v="BATCH00568"/>
    <x v="0"/>
    <x v="1"/>
    <x v="0"/>
    <n v="509.81"/>
    <n v="11.07"/>
    <n v="36.67"/>
    <n v="8.1"/>
    <n v="0.5"/>
    <n v="18"/>
    <s v="B"/>
    <n v="0.85"/>
    <x v="0"/>
    <n v="67.27"/>
    <x v="1"/>
    <n v="4.41"/>
    <n v="13.01"/>
    <n v="2248.2620999999999"/>
    <n v="6632.6280999999999"/>
    <n v="4384.366"/>
    <n v="0.66102997694081478"/>
    <n v="4.3333849999999998"/>
  </r>
  <r>
    <s v="BATCH00569"/>
    <x v="0"/>
    <x v="3"/>
    <x v="1"/>
    <n v="629.59"/>
    <n v="8.35"/>
    <n v="25"/>
    <n v="0.6"/>
    <n v="2.1"/>
    <n v="15"/>
    <s v="C"/>
    <n v="3.55"/>
    <x v="1"/>
    <n v="71.34"/>
    <x v="1"/>
    <n v="7.05"/>
    <n v="8.32"/>
    <n v="4438.6095000000005"/>
    <n v="5238.1888000000008"/>
    <n v="799.57930000000033"/>
    <n v="0.15264423076923081"/>
    <n v="22.350445000000001"/>
  </r>
  <r>
    <s v="BATCH00570"/>
    <x v="3"/>
    <x v="2"/>
    <x v="0"/>
    <n v="428.12"/>
    <n v="11.23"/>
    <n v="32.19"/>
    <n v="0.5"/>
    <n v="0.2"/>
    <n v="4"/>
    <s v="C"/>
    <n v="3.11"/>
    <x v="0"/>
    <n v="68.25"/>
    <x v="1"/>
    <n v="5.72"/>
    <n v="6.47"/>
    <n v="2448.8463999999999"/>
    <n v="2769.9364"/>
    <n v="321.09000000000015"/>
    <n v="0.11591962905718707"/>
    <n v="13.314532"/>
  </r>
  <r>
    <s v="BATCH00571"/>
    <x v="0"/>
    <x v="3"/>
    <x v="0"/>
    <n v="574.5"/>
    <n v="13.44"/>
    <n v="31.7"/>
    <n v="1.2"/>
    <n v="0.8"/>
    <n v="9"/>
    <s v="C"/>
    <n v="4.37"/>
    <x v="1"/>
    <n v="70.430000000000007"/>
    <x v="0"/>
    <n v="8.42"/>
    <n v="13.73"/>
    <n v="4837.29"/>
    <n v="7887.8850000000002"/>
    <n v="3050.5950000000003"/>
    <n v="0.38674435542607433"/>
    <n v="25.105650000000001"/>
  </r>
  <r>
    <s v="BATCH00572"/>
    <x v="2"/>
    <x v="3"/>
    <x v="1"/>
    <n v="480.53"/>
    <n v="13.52"/>
    <n v="27.39"/>
    <n v="0.1"/>
    <n v="0"/>
    <n v="4"/>
    <s v="B"/>
    <n v="9.64"/>
    <x v="0"/>
    <n v="62.96"/>
    <x v="1"/>
    <n v="3.91"/>
    <n v="7.12"/>
    <n v="1878.8723"/>
    <n v="3421.3735999999999"/>
    <n v="1542.5012999999999"/>
    <n v="0.45084269662921345"/>
    <n v="46.323091999999995"/>
  </r>
  <r>
    <s v="BATCH00573"/>
    <x v="3"/>
    <x v="3"/>
    <x v="1"/>
    <n v="493.58"/>
    <n v="11.57"/>
    <n v="29.72"/>
    <n v="7.7"/>
    <n v="1.4"/>
    <n v="29"/>
    <s v="A"/>
    <n v="5.46"/>
    <x v="1"/>
    <n v="84.93"/>
    <x v="1"/>
    <n v="6.06"/>
    <n v="7.94"/>
    <n v="2991.0947999999999"/>
    <n v="3919.0252"/>
    <n v="927.93040000000019"/>
    <n v="0.23677581863979855"/>
    <n v="26.949467999999996"/>
  </r>
  <r>
    <s v="BATCH00574"/>
    <x v="0"/>
    <x v="3"/>
    <x v="1"/>
    <n v="509.18"/>
    <n v="12.47"/>
    <n v="26.28"/>
    <n v="1.8"/>
    <n v="0.9"/>
    <n v="16"/>
    <s v="A"/>
    <n v="5.76"/>
    <x v="0"/>
    <n v="87.91"/>
    <x v="2"/>
    <n v="7.89"/>
    <n v="12.07"/>
    <n v="4017.4301999999998"/>
    <n v="6145.8026"/>
    <n v="2128.3724000000002"/>
    <n v="0.34631317315658661"/>
    <n v="29.328768"/>
  </r>
  <r>
    <s v="BATCH00575"/>
    <x v="3"/>
    <x v="2"/>
    <x v="1"/>
    <n v="525.22"/>
    <n v="17.66"/>
    <n v="22.84"/>
    <n v="1.6"/>
    <n v="1"/>
    <n v="28"/>
    <s v="A"/>
    <n v="9.4499999999999993"/>
    <x v="0"/>
    <n v="91.16"/>
    <x v="1"/>
    <n v="5.85"/>
    <n v="11.84"/>
    <n v="3072.5369999999998"/>
    <n v="6218.6048000000001"/>
    <n v="3146.0678000000003"/>
    <n v="0.50591216216216217"/>
    <n v="49.633289999999995"/>
  </r>
  <r>
    <s v="BATCH00576"/>
    <x v="2"/>
    <x v="3"/>
    <x v="1"/>
    <n v="488.38"/>
    <n v="11.77"/>
    <n v="24.28"/>
    <n v="2.1"/>
    <n v="0.1"/>
    <n v="21"/>
    <s v="A"/>
    <n v="9.25"/>
    <x v="2"/>
    <n v="67.06"/>
    <x v="0"/>
    <n v="3.41"/>
    <n v="13"/>
    <n v="1665.3758"/>
    <n v="6348.94"/>
    <n v="4683.5641999999998"/>
    <n v="0.73769230769230776"/>
    <n v="45.175150000000002"/>
  </r>
  <r>
    <s v="BATCH00577"/>
    <x v="3"/>
    <x v="3"/>
    <x v="1"/>
    <n v="521.47"/>
    <n v="10.58"/>
    <n v="22.11"/>
    <n v="1.4"/>
    <n v="0.2"/>
    <n v="15"/>
    <s v="A"/>
    <n v="8.9"/>
    <x v="0"/>
    <n v="88.23"/>
    <x v="0"/>
    <n v="7.94"/>
    <n v="6.84"/>
    <n v="4140.4718000000003"/>
    <n v="3566.8548000000001"/>
    <n v="-573.61700000000019"/>
    <n v="-0.16081871345029244"/>
    <n v="46.410830000000004"/>
  </r>
  <r>
    <s v="BATCH00578"/>
    <x v="3"/>
    <x v="1"/>
    <x v="0"/>
    <n v="657.81"/>
    <n v="10.43"/>
    <n v="33.659999999999997"/>
    <n v="0.1"/>
    <n v="0.1"/>
    <n v="24"/>
    <s v="C"/>
    <n v="1.43"/>
    <x v="0"/>
    <n v="81.88"/>
    <x v="1"/>
    <n v="6.52"/>
    <n v="8.52"/>
    <n v="4288.9211999999998"/>
    <n v="5604.5411999999997"/>
    <n v="1315.62"/>
    <n v="0.23474178403755869"/>
    <n v="9.4066829999999992"/>
  </r>
  <r>
    <s v="BATCH00579"/>
    <x v="3"/>
    <x v="2"/>
    <x v="0"/>
    <n v="598.54"/>
    <n v="12.58"/>
    <n v="33.21"/>
    <n v="1.9"/>
    <n v="0.3"/>
    <n v="2"/>
    <s v="C"/>
    <n v="6.53"/>
    <x v="1"/>
    <n v="97.9"/>
    <x v="0"/>
    <n v="3.08"/>
    <n v="6.26"/>
    <n v="1843.5031999999999"/>
    <n v="3746.8603999999996"/>
    <n v="1903.3571999999997"/>
    <n v="0.50798722044728428"/>
    <n v="39.084662000000002"/>
  </r>
  <r>
    <s v="BATCH00580"/>
    <x v="3"/>
    <x v="2"/>
    <x v="1"/>
    <n v="586.91999999999996"/>
    <n v="15.6"/>
    <n v="39.01"/>
    <n v="2.5"/>
    <n v="1"/>
    <n v="28"/>
    <s v="C"/>
    <n v="8.18"/>
    <x v="2"/>
    <n v="71.239999999999995"/>
    <x v="2"/>
    <n v="7.29"/>
    <n v="10.41"/>
    <n v="4278.6467999999995"/>
    <n v="6109.8371999999999"/>
    <n v="1831.1904000000004"/>
    <n v="0.29971181556195975"/>
    <n v="48.010055999999992"/>
  </r>
  <r>
    <s v="BATCH00581"/>
    <x v="2"/>
    <x v="0"/>
    <x v="0"/>
    <n v="454.45"/>
    <n v="10.06"/>
    <n v="34.590000000000003"/>
    <n v="1.1000000000000001"/>
    <n v="0.8"/>
    <n v="27"/>
    <s v="B"/>
    <n v="8.44"/>
    <x v="1"/>
    <n v="99.62"/>
    <x v="2"/>
    <n v="9.44"/>
    <n v="7.93"/>
    <n v="4290.0079999999998"/>
    <n v="3603.7884999999997"/>
    <n v="-686.21950000000015"/>
    <n v="-0.19041614123581344"/>
    <n v="38.355579999999996"/>
  </r>
  <r>
    <s v="BATCH00582"/>
    <x v="1"/>
    <x v="2"/>
    <x v="1"/>
    <n v="411.08"/>
    <n v="15.09"/>
    <n v="21.04"/>
    <n v="2.8"/>
    <n v="0.9"/>
    <n v="14"/>
    <s v="C"/>
    <n v="5.99"/>
    <x v="0"/>
    <n v="87.02"/>
    <x v="1"/>
    <n v="3.78"/>
    <n v="11.89"/>
    <n v="1553.8824"/>
    <n v="4887.7412000000004"/>
    <n v="3333.8588000000004"/>
    <n v="0.6820857863751052"/>
    <n v="24.623692000000002"/>
  </r>
  <r>
    <s v="BATCH00583"/>
    <x v="3"/>
    <x v="2"/>
    <x v="0"/>
    <n v="595.53"/>
    <n v="8.2100000000000009"/>
    <n v="37.68"/>
    <n v="0.5"/>
    <n v="0.8"/>
    <n v="3"/>
    <s v="A"/>
    <n v="0.67"/>
    <x v="1"/>
    <n v="88.81"/>
    <x v="1"/>
    <n v="7.13"/>
    <n v="5"/>
    <n v="4246.1288999999997"/>
    <n v="2977.6499999999996"/>
    <n v="-1268.4789000000001"/>
    <n v="-0.4260000000000001"/>
    <n v="3.9900510000000002"/>
  </r>
  <r>
    <s v="BATCH00584"/>
    <x v="3"/>
    <x v="0"/>
    <x v="0"/>
    <n v="587.6"/>
    <n v="12.19"/>
    <n v="37.25"/>
    <n v="0.5"/>
    <n v="0.3"/>
    <n v="22"/>
    <s v="C"/>
    <n v="9.75"/>
    <x v="2"/>
    <n v="51.29"/>
    <x v="2"/>
    <n v="8.1"/>
    <n v="5.6"/>
    <n v="4759.5600000000004"/>
    <n v="3290.56"/>
    <n v="-1469.0000000000005"/>
    <n v="-0.44642857142857156"/>
    <n v="57.291000000000004"/>
  </r>
  <r>
    <s v="BATCH00585"/>
    <x v="0"/>
    <x v="2"/>
    <x v="1"/>
    <n v="647.27"/>
    <n v="15.76"/>
    <n v="28.87"/>
    <n v="0.4"/>
    <n v="0.3"/>
    <n v="28"/>
    <s v="A"/>
    <n v="4.99"/>
    <x v="1"/>
    <n v="74.87"/>
    <x v="2"/>
    <n v="3.5"/>
    <n v="9.33"/>
    <n v="2265.4449999999997"/>
    <n v="6039.0290999999997"/>
    <n v="3773.5841"/>
    <n v="0.62486602357984999"/>
    <n v="32.298773000000004"/>
  </r>
  <r>
    <s v="BATCH00586"/>
    <x v="3"/>
    <x v="2"/>
    <x v="1"/>
    <n v="439.6"/>
    <n v="11.39"/>
    <n v="31.72"/>
    <n v="0.9"/>
    <n v="0.1"/>
    <n v="23"/>
    <s v="C"/>
    <n v="4.24"/>
    <x v="0"/>
    <n v="76.42"/>
    <x v="1"/>
    <n v="3.16"/>
    <n v="14.58"/>
    <n v="1389.1360000000002"/>
    <n v="6409.3680000000004"/>
    <n v="5020.232"/>
    <n v="0.78326474622770914"/>
    <n v="18.639040000000001"/>
  </r>
  <r>
    <s v="BATCH00587"/>
    <x v="0"/>
    <x v="2"/>
    <x v="1"/>
    <n v="477.05"/>
    <n v="13.64"/>
    <n v="39.520000000000003"/>
    <n v="3.8"/>
    <n v="1.9"/>
    <n v="4"/>
    <s v="A"/>
    <n v="4.25"/>
    <x v="1"/>
    <n v="52.03"/>
    <x v="0"/>
    <n v="6.25"/>
    <n v="13.91"/>
    <n v="2981.5625"/>
    <n v="6635.7655000000004"/>
    <n v="3654.2030000000004"/>
    <n v="0.55068296189791521"/>
    <n v="20.274625"/>
  </r>
  <r>
    <s v="BATCH00588"/>
    <x v="1"/>
    <x v="2"/>
    <x v="0"/>
    <n v="336.05"/>
    <n v="10.050000000000001"/>
    <n v="30.65"/>
    <n v="3.5"/>
    <n v="1"/>
    <n v="1"/>
    <s v="C"/>
    <n v="4.53"/>
    <x v="0"/>
    <n v="65.61"/>
    <x v="1"/>
    <n v="8.5399999999999991"/>
    <n v="14.94"/>
    <n v="2869.8669999999997"/>
    <n v="5020.5870000000004"/>
    <n v="2150.7200000000007"/>
    <n v="0.4283801874163321"/>
    <n v="15.223065000000002"/>
  </r>
  <r>
    <s v="BATCH00589"/>
    <x v="2"/>
    <x v="0"/>
    <x v="1"/>
    <n v="460.75"/>
    <n v="15.42"/>
    <n v="38.11"/>
    <n v="1"/>
    <n v="0.2"/>
    <n v="23"/>
    <s v="A"/>
    <n v="2.8"/>
    <x v="2"/>
    <n v="97.78"/>
    <x v="1"/>
    <n v="4.13"/>
    <n v="9.17"/>
    <n v="1902.8975"/>
    <n v="4225.0775000000003"/>
    <n v="2322.1800000000003"/>
    <n v="0.54961832061068705"/>
    <n v="12.901"/>
  </r>
  <r>
    <s v="BATCH00590"/>
    <x v="2"/>
    <x v="2"/>
    <x v="0"/>
    <n v="599.66"/>
    <n v="8.52"/>
    <n v="21.66"/>
    <n v="1.8"/>
    <n v="0.2"/>
    <n v="28"/>
    <s v="A"/>
    <n v="3.61"/>
    <x v="2"/>
    <n v="71.31"/>
    <x v="1"/>
    <n v="8.86"/>
    <n v="5.47"/>
    <n v="5312.9875999999995"/>
    <n v="3280.1401999999998"/>
    <n v="-2032.8473999999997"/>
    <n v="-0.61974405850091396"/>
    <n v="21.647725999999999"/>
  </r>
  <r>
    <s v="BATCH00591"/>
    <x v="1"/>
    <x v="2"/>
    <x v="1"/>
    <n v="453.35"/>
    <n v="16.53"/>
    <n v="23.82"/>
    <n v="2.6"/>
    <n v="2.1"/>
    <n v="9"/>
    <s v="B"/>
    <n v="9.86"/>
    <x v="1"/>
    <n v="59.34"/>
    <x v="1"/>
    <n v="7.6"/>
    <n v="8.06"/>
    <n v="3445.46"/>
    <n v="3654.0010000000002"/>
    <n v="208.54100000000017"/>
    <n v="5.7071960297766795E-2"/>
    <n v="44.700310000000002"/>
  </r>
  <r>
    <s v="BATCH00592"/>
    <x v="2"/>
    <x v="0"/>
    <x v="0"/>
    <n v="564.04999999999995"/>
    <n v="9.98"/>
    <n v="28.82"/>
    <n v="0.6"/>
    <n v="1.4"/>
    <n v="17"/>
    <s v="C"/>
    <n v="4"/>
    <x v="2"/>
    <n v="75.67"/>
    <x v="1"/>
    <n v="5.33"/>
    <n v="11.76"/>
    <n v="3006.3864999999996"/>
    <n v="6633.2279999999992"/>
    <n v="3626.8414999999995"/>
    <n v="0.54676870748299322"/>
    <n v="22.561999999999998"/>
  </r>
  <r>
    <s v="BATCH00593"/>
    <x v="1"/>
    <x v="1"/>
    <x v="0"/>
    <n v="480.95"/>
    <n v="16.739999999999998"/>
    <n v="31.7"/>
    <n v="0.4"/>
    <n v="1.1000000000000001"/>
    <n v="14"/>
    <s v="A"/>
    <n v="5.5"/>
    <x v="1"/>
    <n v="51.69"/>
    <x v="1"/>
    <n v="6.61"/>
    <n v="6.35"/>
    <n v="3179.0795000000003"/>
    <n v="3054.0324999999998"/>
    <n v="-125.04700000000048"/>
    <n v="-4.0944881889763939E-2"/>
    <n v="26.452249999999999"/>
  </r>
  <r>
    <s v="BATCH00594"/>
    <x v="1"/>
    <x v="3"/>
    <x v="1"/>
    <n v="532.41"/>
    <n v="11.53"/>
    <n v="36.32"/>
    <n v="7.2"/>
    <n v="0.5"/>
    <n v="17"/>
    <s v="C"/>
    <n v="8.56"/>
    <x v="0"/>
    <n v="75.8"/>
    <x v="1"/>
    <n v="9.76"/>
    <n v="8"/>
    <n v="5196.3215999999993"/>
    <n v="4259.28"/>
    <n v="-937.04159999999956"/>
    <n v="-0.21999999999999992"/>
    <n v="45.574296000000004"/>
  </r>
  <r>
    <s v="BATCH00595"/>
    <x v="1"/>
    <x v="1"/>
    <x v="0"/>
    <n v="385.23"/>
    <n v="15.23"/>
    <n v="39.770000000000003"/>
    <n v="1.9"/>
    <n v="0.3"/>
    <n v="1"/>
    <s v="A"/>
    <n v="5.51"/>
    <x v="1"/>
    <n v="79.709999999999994"/>
    <x v="0"/>
    <n v="4.5199999999999996"/>
    <n v="5.56"/>
    <n v="1741.2395999999999"/>
    <n v="2141.8788"/>
    <n v="400.63920000000007"/>
    <n v="0.18705035971223025"/>
    <n v="21.226172999999999"/>
  </r>
  <r>
    <s v="BATCH00596"/>
    <x v="2"/>
    <x v="0"/>
    <x v="0"/>
    <n v="508.52"/>
    <n v="11.19"/>
    <n v="27.78"/>
    <n v="8"/>
    <n v="3.9"/>
    <n v="10"/>
    <s v="B"/>
    <n v="3.58"/>
    <x v="0"/>
    <n v="67.88"/>
    <x v="1"/>
    <n v="6.5"/>
    <n v="9.75"/>
    <n v="3305.38"/>
    <n v="4958.07"/>
    <n v="1652.6899999999996"/>
    <n v="0.33333333333333326"/>
    <n v="18.205016000000001"/>
  </r>
  <r>
    <s v="BATCH00597"/>
    <x v="0"/>
    <x v="3"/>
    <x v="1"/>
    <n v="200.89"/>
    <n v="17.059999999999999"/>
    <n v="20.95"/>
    <n v="0.8"/>
    <n v="1.6"/>
    <n v="23"/>
    <s v="B"/>
    <n v="5.48"/>
    <x v="2"/>
    <n v="88.13"/>
    <x v="2"/>
    <n v="7.37"/>
    <n v="7.09"/>
    <n v="1480.5592999999999"/>
    <n v="1424.3100999999999"/>
    <n v="-56.249199999999973"/>
    <n v="-3.9492242595204494E-2"/>
    <n v="11.008771999999999"/>
  </r>
  <r>
    <s v="BATCH00598"/>
    <x v="1"/>
    <x v="0"/>
    <x v="0"/>
    <n v="481.31"/>
    <n v="9.27"/>
    <n v="36.020000000000003"/>
    <n v="2.4"/>
    <n v="0.4"/>
    <n v="16"/>
    <s v="B"/>
    <n v="1.58"/>
    <x v="0"/>
    <n v="56.79"/>
    <x v="1"/>
    <n v="3.97"/>
    <n v="5.91"/>
    <n v="1910.8007"/>
    <n v="2844.5421000000001"/>
    <n v="933.74140000000011"/>
    <n v="0.32825719120135366"/>
    <n v="7.6046980000000008"/>
  </r>
  <r>
    <s v="BATCH00599"/>
    <x v="3"/>
    <x v="0"/>
    <x v="1"/>
    <n v="336.95"/>
    <n v="9.7899999999999991"/>
    <n v="32.090000000000003"/>
    <n v="0.5"/>
    <n v="1.9"/>
    <n v="27"/>
    <s v="B"/>
    <n v="1.74"/>
    <x v="0"/>
    <n v="93.91"/>
    <x v="0"/>
    <n v="3.3"/>
    <n v="9.11"/>
    <n v="1111.9349999999999"/>
    <n v="3069.6144999999997"/>
    <n v="1957.6794999999997"/>
    <n v="0.63776070252469808"/>
    <n v="5.8629300000000004"/>
  </r>
  <r>
    <s v="BATCH00600"/>
    <x v="2"/>
    <x v="2"/>
    <x v="1"/>
    <n v="620.6"/>
    <n v="12.93"/>
    <n v="23.97"/>
    <n v="0.6"/>
    <n v="1.4"/>
    <n v="25"/>
    <s v="A"/>
    <n v="7.09"/>
    <x v="0"/>
    <n v="97.77"/>
    <x v="2"/>
    <n v="3.09"/>
    <n v="8.51"/>
    <n v="1917.654"/>
    <n v="5281.3060000000005"/>
    <n v="3363.6520000000005"/>
    <n v="0.63689776733254999"/>
    <n v="44.000540000000001"/>
  </r>
  <r>
    <s v="BATCH00601"/>
    <x v="1"/>
    <x v="3"/>
    <x v="1"/>
    <n v="577.74"/>
    <n v="8.82"/>
    <n v="29.9"/>
    <n v="1.4"/>
    <n v="0.4"/>
    <n v="19"/>
    <s v="C"/>
    <n v="9.2200000000000006"/>
    <x v="0"/>
    <n v="50.06"/>
    <x v="1"/>
    <n v="5.27"/>
    <n v="10.38"/>
    <n v="3044.6897999999997"/>
    <n v="5996.9412000000002"/>
    <n v="2952.2514000000006"/>
    <n v="0.49229287090558776"/>
    <n v="53.267628000000002"/>
  </r>
  <r>
    <s v="BATCH00602"/>
    <x v="1"/>
    <x v="2"/>
    <x v="1"/>
    <n v="546.66999999999996"/>
    <n v="9.9600000000000009"/>
    <n v="34.85"/>
    <n v="0.8"/>
    <n v="0.6"/>
    <n v="24"/>
    <s v="B"/>
    <n v="7.39"/>
    <x v="0"/>
    <n v="92.14"/>
    <x v="1"/>
    <n v="3.52"/>
    <n v="12.49"/>
    <n v="1924.2783999999999"/>
    <n v="6827.9083000000001"/>
    <n v="4903.6298999999999"/>
    <n v="0.7181745396317053"/>
    <n v="40.398912999999993"/>
  </r>
  <r>
    <s v="BATCH00603"/>
    <x v="3"/>
    <x v="3"/>
    <x v="0"/>
    <n v="652.1"/>
    <n v="17.440000000000001"/>
    <n v="35.409999999999997"/>
    <n v="0.4"/>
    <n v="0.2"/>
    <n v="25"/>
    <s v="B"/>
    <n v="1.21"/>
    <x v="1"/>
    <n v="75.31"/>
    <x v="2"/>
    <n v="8.6300000000000008"/>
    <n v="6.13"/>
    <n v="5627.6230000000005"/>
    <n v="3997.373"/>
    <n v="-1630.2500000000005"/>
    <n v="-0.40783034257748785"/>
    <n v="7.8904100000000001"/>
  </r>
  <r>
    <s v="BATCH00604"/>
    <x v="0"/>
    <x v="0"/>
    <x v="0"/>
    <n v="405.11"/>
    <n v="17.760000000000002"/>
    <n v="29.99"/>
    <n v="0.6"/>
    <n v="0.1"/>
    <n v="3"/>
    <s v="B"/>
    <n v="4.33"/>
    <x v="0"/>
    <n v="73.069999999999993"/>
    <x v="1"/>
    <n v="9.98"/>
    <n v="12.91"/>
    <n v="4042.9978000000001"/>
    <n v="5229.9701000000005"/>
    <n v="1186.9723000000004"/>
    <n v="0.22695584817970571"/>
    <n v="17.541263000000001"/>
  </r>
  <r>
    <s v="BATCH00605"/>
    <x v="0"/>
    <x v="0"/>
    <x v="0"/>
    <n v="674.74"/>
    <n v="11.76"/>
    <n v="26.1"/>
    <n v="0.1"/>
    <n v="1.3"/>
    <n v="28"/>
    <s v="C"/>
    <n v="0.52"/>
    <x v="0"/>
    <n v="61.93"/>
    <x v="0"/>
    <n v="3.43"/>
    <n v="5.26"/>
    <n v="2314.3582000000001"/>
    <n v="3549.1324"/>
    <n v="1234.7741999999998"/>
    <n v="0.34790874524714827"/>
    <n v="3.508648"/>
  </r>
  <r>
    <s v="BATCH00606"/>
    <x v="0"/>
    <x v="1"/>
    <x v="1"/>
    <n v="593.22"/>
    <n v="17.23"/>
    <n v="39.47"/>
    <n v="2.4"/>
    <n v="0.3"/>
    <n v="12"/>
    <s v="A"/>
    <n v="5.36"/>
    <x v="0"/>
    <n v="72.37"/>
    <x v="1"/>
    <n v="6.03"/>
    <n v="9.43"/>
    <n v="3577.1166000000003"/>
    <n v="5594.0645999999997"/>
    <n v="2016.9479999999994"/>
    <n v="0.36055143160127245"/>
    <n v="31.796592000000004"/>
  </r>
  <r>
    <s v="BATCH00607"/>
    <x v="1"/>
    <x v="3"/>
    <x v="0"/>
    <n v="476.34"/>
    <n v="13.45"/>
    <n v="33.270000000000003"/>
    <n v="1.4"/>
    <n v="1.7"/>
    <n v="3"/>
    <s v="A"/>
    <n v="2.34"/>
    <x v="0"/>
    <n v="97.52"/>
    <x v="0"/>
    <n v="3.18"/>
    <n v="10.87"/>
    <n v="1514.7611999999999"/>
    <n v="5177.8157999999994"/>
    <n v="3663.0545999999995"/>
    <n v="0.70745170193192275"/>
    <n v="11.146355999999999"/>
  </r>
  <r>
    <s v="BATCH00608"/>
    <x v="1"/>
    <x v="2"/>
    <x v="0"/>
    <n v="613.55999999999995"/>
    <n v="10.7"/>
    <n v="28.16"/>
    <n v="0.2"/>
    <n v="5.4"/>
    <n v="15"/>
    <s v="A"/>
    <n v="8.75"/>
    <x v="0"/>
    <n v="60.54"/>
    <x v="1"/>
    <n v="3.94"/>
    <n v="14.57"/>
    <n v="2417.4263999999998"/>
    <n v="8939.5691999999999"/>
    <n v="6522.1427999999996"/>
    <n v="0.72958133150308846"/>
    <n v="53.686499999999995"/>
  </r>
  <r>
    <s v="BATCH00609"/>
    <x v="1"/>
    <x v="1"/>
    <x v="1"/>
    <n v="389.37"/>
    <n v="15.02"/>
    <n v="25.61"/>
    <n v="0.4"/>
    <n v="0.1"/>
    <n v="17"/>
    <s v="A"/>
    <n v="1.49"/>
    <x v="0"/>
    <n v="58.95"/>
    <x v="2"/>
    <n v="5.26"/>
    <n v="10.74"/>
    <n v="2048.0861999999997"/>
    <n v="4181.8338000000003"/>
    <n v="2133.7476000000006"/>
    <n v="0.5102420856610802"/>
    <n v="5.8016129999999997"/>
  </r>
  <r>
    <s v="BATCH00610"/>
    <x v="2"/>
    <x v="1"/>
    <x v="1"/>
    <n v="417.55"/>
    <n v="14.59"/>
    <n v="34.619999999999997"/>
    <n v="0.2"/>
    <n v="0.6"/>
    <n v="18"/>
    <s v="C"/>
    <n v="0.51"/>
    <x v="2"/>
    <n v="62.09"/>
    <x v="0"/>
    <n v="5.76"/>
    <n v="6.59"/>
    <n v="2405.0880000000002"/>
    <n v="2751.6545000000001"/>
    <n v="346.56649999999991"/>
    <n v="0.12594840667678298"/>
    <n v="2.129505"/>
  </r>
  <r>
    <s v="BATCH00611"/>
    <x v="3"/>
    <x v="1"/>
    <x v="0"/>
    <n v="439.14"/>
    <n v="17.89"/>
    <n v="24.84"/>
    <n v="1.9"/>
    <n v="1.6"/>
    <n v="7"/>
    <s v="C"/>
    <n v="4.79"/>
    <x v="1"/>
    <n v="77.59"/>
    <x v="1"/>
    <n v="9.58"/>
    <n v="10.18"/>
    <n v="4206.9611999999997"/>
    <n v="4470.4452000000001"/>
    <n v="263.48400000000038"/>
    <n v="5.8939096267190655E-2"/>
    <n v="21.034806"/>
  </r>
  <r>
    <s v="BATCH00612"/>
    <x v="1"/>
    <x v="2"/>
    <x v="1"/>
    <n v="447.1"/>
    <n v="10.65"/>
    <n v="23.43"/>
    <n v="0.2"/>
    <n v="1.6"/>
    <n v="19"/>
    <s v="C"/>
    <n v="1.98"/>
    <x v="0"/>
    <n v="96.51"/>
    <x v="1"/>
    <n v="5.77"/>
    <n v="8.9600000000000009"/>
    <n v="2579.7669999999998"/>
    <n v="4006.0160000000005"/>
    <n v="1426.2490000000007"/>
    <n v="0.35602678571428586"/>
    <n v="8.8525799999999997"/>
  </r>
  <r>
    <s v="BATCH00613"/>
    <x v="3"/>
    <x v="1"/>
    <x v="1"/>
    <n v="394.34"/>
    <n v="14.72"/>
    <n v="30.6"/>
    <n v="2.8"/>
    <n v="1.4"/>
    <n v="7"/>
    <s v="B"/>
    <n v="7.51"/>
    <x v="1"/>
    <n v="78.69"/>
    <x v="2"/>
    <n v="6.47"/>
    <n v="9.7899999999999991"/>
    <n v="2551.3797999999997"/>
    <n v="3860.5885999999996"/>
    <n v="1309.2087999999999"/>
    <n v="0.33912155260469867"/>
    <n v="29.614933999999998"/>
  </r>
  <r>
    <s v="BATCH00614"/>
    <x v="3"/>
    <x v="2"/>
    <x v="1"/>
    <n v="622.30999999999995"/>
    <n v="8.52"/>
    <n v="25.8"/>
    <n v="0"/>
    <n v="0.4"/>
    <n v="5"/>
    <s v="C"/>
    <n v="9.24"/>
    <x v="2"/>
    <n v="62.17"/>
    <x v="2"/>
    <n v="4.72"/>
    <n v="6.97"/>
    <n v="2937.3031999999994"/>
    <n v="4337.5006999999996"/>
    <n v="1400.1975000000002"/>
    <n v="0.32281205164992832"/>
    <n v="57.501443999999992"/>
  </r>
  <r>
    <s v="BATCH00615"/>
    <x v="0"/>
    <x v="1"/>
    <x v="1"/>
    <n v="474.11"/>
    <n v="9.14"/>
    <n v="32.58"/>
    <n v="0.6"/>
    <n v="0.6"/>
    <n v="26"/>
    <s v="A"/>
    <n v="0.9"/>
    <x v="2"/>
    <n v="72.02"/>
    <x v="0"/>
    <n v="3"/>
    <n v="10.01"/>
    <n v="1422.33"/>
    <n v="4745.8410999999996"/>
    <n v="3323.5110999999997"/>
    <n v="0.70029970029970035"/>
    <n v="4.2669899999999998"/>
  </r>
  <r>
    <s v="BATCH00616"/>
    <x v="2"/>
    <x v="2"/>
    <x v="0"/>
    <n v="535.25"/>
    <n v="8.0399999999999991"/>
    <n v="22.36"/>
    <n v="4.4000000000000004"/>
    <n v="0.9"/>
    <n v="8"/>
    <s v="C"/>
    <n v="4.26"/>
    <x v="0"/>
    <n v="69.52"/>
    <x v="0"/>
    <n v="9.3000000000000007"/>
    <n v="6.5"/>
    <n v="4977.8250000000007"/>
    <n v="3479.125"/>
    <n v="-1498.7000000000007"/>
    <n v="-0.43076923076923096"/>
    <n v="22.801649999999999"/>
  </r>
  <r>
    <s v="BATCH00617"/>
    <x v="1"/>
    <x v="0"/>
    <x v="1"/>
    <n v="442.96"/>
    <n v="17.989999999999998"/>
    <n v="33.1"/>
    <n v="2.5"/>
    <n v="3.6"/>
    <n v="21"/>
    <s v="B"/>
    <n v="9.9700000000000006"/>
    <x v="1"/>
    <n v="52.33"/>
    <x v="0"/>
    <n v="3.57"/>
    <n v="12.44"/>
    <n v="1581.3671999999999"/>
    <n v="5510.4223999999995"/>
    <n v="3929.0551999999998"/>
    <n v="0.71302250803858525"/>
    <n v="44.163111999999998"/>
  </r>
  <r>
    <s v="BATCH00618"/>
    <x v="0"/>
    <x v="0"/>
    <x v="1"/>
    <n v="317.94"/>
    <n v="16.02"/>
    <n v="25.67"/>
    <n v="0.2"/>
    <n v="0.4"/>
    <n v="16"/>
    <s v="A"/>
    <n v="7.46"/>
    <x v="0"/>
    <n v="75.53"/>
    <x v="1"/>
    <n v="9.75"/>
    <n v="10.94"/>
    <n v="3099.915"/>
    <n v="3478.2635999999998"/>
    <n v="378.34859999999981"/>
    <n v="0.10877513711151732"/>
    <n v="23.718323999999999"/>
  </r>
  <r>
    <s v="BATCH00619"/>
    <x v="0"/>
    <x v="0"/>
    <x v="1"/>
    <n v="527.01"/>
    <n v="15.87"/>
    <n v="20"/>
    <n v="3.4"/>
    <n v="2.6"/>
    <n v="16"/>
    <s v="C"/>
    <n v="9.56"/>
    <x v="2"/>
    <n v="56.3"/>
    <x v="1"/>
    <n v="3.92"/>
    <n v="5.79"/>
    <n v="2065.8791999999999"/>
    <n v="3051.3879000000002"/>
    <n v="985.50870000000032"/>
    <n v="0.32297063903281531"/>
    <n v="50.382156000000002"/>
  </r>
  <r>
    <s v="BATCH00620"/>
    <x v="1"/>
    <x v="0"/>
    <x v="1"/>
    <n v="308.77"/>
    <n v="13.1"/>
    <n v="22.54"/>
    <n v="1.4"/>
    <n v="0.3"/>
    <n v="19"/>
    <s v="A"/>
    <n v="2.06"/>
    <x v="2"/>
    <n v="92.11"/>
    <x v="0"/>
    <n v="7.23"/>
    <n v="13.9"/>
    <n v="2232.4070999999999"/>
    <n v="4291.9030000000002"/>
    <n v="2059.4959000000003"/>
    <n v="0.47985611510791371"/>
    <n v="6.3606619999999996"/>
  </r>
  <r>
    <s v="BATCH00621"/>
    <x v="3"/>
    <x v="0"/>
    <x v="1"/>
    <n v="493.14"/>
    <n v="11"/>
    <n v="38.67"/>
    <n v="3.8"/>
    <n v="4.5"/>
    <n v="25"/>
    <s v="A"/>
    <n v="2.6"/>
    <x v="1"/>
    <n v="77.45"/>
    <x v="1"/>
    <n v="10"/>
    <n v="11.16"/>
    <n v="4931.3999999999996"/>
    <n v="5503.4423999999999"/>
    <n v="572.04240000000027"/>
    <n v="0.10394265232974916"/>
    <n v="12.82164"/>
  </r>
  <r>
    <s v="BATCH00622"/>
    <x v="0"/>
    <x v="1"/>
    <x v="1"/>
    <n v="363.17"/>
    <n v="9.51"/>
    <n v="37.35"/>
    <n v="1.8"/>
    <n v="1.1000000000000001"/>
    <n v="15"/>
    <s v="C"/>
    <n v="1.97"/>
    <x v="0"/>
    <n v="92.23"/>
    <x v="2"/>
    <n v="3.97"/>
    <n v="8.16"/>
    <n v="1441.7849000000001"/>
    <n v="2963.4672"/>
    <n v="1521.6822999999999"/>
    <n v="0.5134803921568627"/>
    <n v="7.1544490000000005"/>
  </r>
  <r>
    <s v="BATCH00623"/>
    <x v="3"/>
    <x v="1"/>
    <x v="1"/>
    <n v="698.73"/>
    <n v="10.85"/>
    <n v="24.67"/>
    <n v="2.2999999999999998"/>
    <n v="0.6"/>
    <n v="7"/>
    <s v="C"/>
    <n v="3.37"/>
    <x v="1"/>
    <n v="97.8"/>
    <x v="1"/>
    <n v="5.97"/>
    <n v="5.46"/>
    <n v="4171.4180999999999"/>
    <n v="3815.0657999999999"/>
    <n v="-356.35230000000001"/>
    <n v="-9.3406593406593408E-2"/>
    <n v="23.547201000000001"/>
  </r>
  <r>
    <s v="BATCH00624"/>
    <x v="2"/>
    <x v="1"/>
    <x v="1"/>
    <n v="591.14"/>
    <n v="11.76"/>
    <n v="35.57"/>
    <n v="10.1"/>
    <n v="1"/>
    <n v="5"/>
    <s v="B"/>
    <n v="7.38"/>
    <x v="1"/>
    <n v="97.16"/>
    <x v="0"/>
    <n v="8.4600000000000009"/>
    <n v="11.32"/>
    <n v="5001.0444000000007"/>
    <n v="6691.7048000000004"/>
    <n v="1690.6603999999998"/>
    <n v="0.25265017667844519"/>
    <n v="43.626131999999998"/>
  </r>
  <r>
    <s v="BATCH00625"/>
    <x v="3"/>
    <x v="2"/>
    <x v="0"/>
    <n v="510.58"/>
    <n v="15.56"/>
    <n v="32.17"/>
    <n v="0.5"/>
    <n v="0.3"/>
    <n v="23"/>
    <s v="C"/>
    <n v="2.0699999999999998"/>
    <x v="2"/>
    <n v="55.02"/>
    <x v="1"/>
    <n v="3.23"/>
    <n v="8.73"/>
    <n v="1649.1733999999999"/>
    <n v="4457.3634000000002"/>
    <n v="2808.1900000000005"/>
    <n v="0.63001145475372289"/>
    <n v="10.569006"/>
  </r>
  <r>
    <s v="BATCH00626"/>
    <x v="2"/>
    <x v="2"/>
    <x v="1"/>
    <n v="626.37"/>
    <n v="13.4"/>
    <n v="39.42"/>
    <n v="2"/>
    <n v="0.3"/>
    <n v="11"/>
    <s v="C"/>
    <n v="5.48"/>
    <x v="1"/>
    <n v="97.24"/>
    <x v="2"/>
    <n v="7.83"/>
    <n v="14.08"/>
    <n v="4904.4771000000001"/>
    <n v="8819.2896000000001"/>
    <n v="3914.8125"/>
    <n v="0.44389204545454547"/>
    <n v="34.325076000000003"/>
  </r>
  <r>
    <s v="BATCH00627"/>
    <x v="3"/>
    <x v="2"/>
    <x v="0"/>
    <n v="415.37"/>
    <n v="8.77"/>
    <n v="27.47"/>
    <n v="1.2"/>
    <n v="0.1"/>
    <n v="10"/>
    <s v="C"/>
    <n v="3.06"/>
    <x v="2"/>
    <n v="89.79"/>
    <x v="0"/>
    <n v="3.56"/>
    <n v="5.35"/>
    <n v="1478.7172"/>
    <n v="2222.2294999999999"/>
    <n v="743.51229999999987"/>
    <n v="0.33457943925233641"/>
    <n v="12.710322000000001"/>
  </r>
  <r>
    <s v="BATCH00628"/>
    <x v="0"/>
    <x v="2"/>
    <x v="1"/>
    <n v="554.35"/>
    <n v="8.18"/>
    <n v="33.630000000000003"/>
    <n v="0.1"/>
    <n v="0.1"/>
    <n v="25"/>
    <s v="A"/>
    <n v="8.3800000000000008"/>
    <x v="0"/>
    <n v="88.88"/>
    <x v="0"/>
    <n v="4.66"/>
    <n v="5.39"/>
    <n v="2583.2710000000002"/>
    <n v="2987.9465"/>
    <n v="404.67549999999983"/>
    <n v="0.13543599257884967"/>
    <n v="46.454530000000005"/>
  </r>
  <r>
    <s v="BATCH00629"/>
    <x v="0"/>
    <x v="0"/>
    <x v="1"/>
    <n v="519.98"/>
    <n v="9.02"/>
    <n v="21.27"/>
    <n v="0"/>
    <n v="0.4"/>
    <n v="21"/>
    <s v="B"/>
    <n v="0.56000000000000005"/>
    <x v="1"/>
    <n v="54.51"/>
    <x v="0"/>
    <n v="4.12"/>
    <n v="14.49"/>
    <n v="2142.3176000000003"/>
    <n v="7534.5102000000006"/>
    <n v="5392.1926000000003"/>
    <n v="0.71566597653554176"/>
    <n v="2.9118880000000003"/>
  </r>
  <r>
    <s v="BATCH00630"/>
    <x v="2"/>
    <x v="0"/>
    <x v="1"/>
    <n v="526.4"/>
    <n v="12.1"/>
    <n v="27.92"/>
    <n v="0.3"/>
    <n v="1.4"/>
    <n v="23"/>
    <s v="A"/>
    <n v="2.62"/>
    <x v="1"/>
    <n v="58.98"/>
    <x v="0"/>
    <n v="9.35"/>
    <n v="14.65"/>
    <n v="4921.8399999999992"/>
    <n v="7711.76"/>
    <n v="2789.920000000001"/>
    <n v="0.36177474402730386"/>
    <n v="13.791679999999999"/>
  </r>
  <r>
    <s v="BATCH00631"/>
    <x v="1"/>
    <x v="0"/>
    <x v="1"/>
    <n v="627.24"/>
    <n v="17.329999999999998"/>
    <n v="39.28"/>
    <n v="2.1"/>
    <n v="0.9"/>
    <n v="27"/>
    <s v="C"/>
    <n v="6.25"/>
    <x v="0"/>
    <n v="98.76"/>
    <x v="1"/>
    <n v="4.26"/>
    <n v="5.28"/>
    <n v="2672.0423999999998"/>
    <n v="3311.8272000000002"/>
    <n v="639.78480000000036"/>
    <n v="0.19318181818181829"/>
    <n v="39.202500000000001"/>
  </r>
  <r>
    <s v="BATCH00632"/>
    <x v="2"/>
    <x v="3"/>
    <x v="0"/>
    <n v="573.25"/>
    <n v="14.37"/>
    <n v="30.78"/>
    <n v="1.7"/>
    <n v="0.1"/>
    <n v="9"/>
    <s v="B"/>
    <n v="1.42"/>
    <x v="1"/>
    <n v="60.67"/>
    <x v="2"/>
    <n v="3.28"/>
    <n v="12.16"/>
    <n v="1880.26"/>
    <n v="6970.72"/>
    <n v="5090.46"/>
    <n v="0.73026315789473684"/>
    <n v="8.1401500000000002"/>
  </r>
  <r>
    <s v="BATCH00633"/>
    <x v="2"/>
    <x v="1"/>
    <x v="1"/>
    <n v="528.87"/>
    <n v="16.02"/>
    <n v="25.76"/>
    <n v="1.6"/>
    <n v="1.9"/>
    <n v="1"/>
    <s v="C"/>
    <n v="4.93"/>
    <x v="0"/>
    <n v="58.45"/>
    <x v="1"/>
    <n v="7.11"/>
    <n v="7.21"/>
    <n v="3760.2657000000004"/>
    <n v="3813.1527000000001"/>
    <n v="52.886999999999716"/>
    <n v="1.3869625520110881E-2"/>
    <n v="26.073290999999998"/>
  </r>
  <r>
    <s v="BATCH00634"/>
    <x v="3"/>
    <x v="2"/>
    <x v="1"/>
    <n v="334.51"/>
    <n v="12.66"/>
    <n v="22.41"/>
    <n v="0.1"/>
    <n v="0.9"/>
    <n v="20"/>
    <s v="A"/>
    <n v="4.6399999999999997"/>
    <x v="2"/>
    <n v="68.12"/>
    <x v="1"/>
    <n v="5.42"/>
    <n v="12.01"/>
    <n v="1813.0441999999998"/>
    <n v="4017.4650999999999"/>
    <n v="2204.4209000000001"/>
    <n v="0.54870940882597841"/>
    <n v="15.521263999999999"/>
  </r>
  <r>
    <s v="BATCH00635"/>
    <x v="3"/>
    <x v="2"/>
    <x v="0"/>
    <n v="404"/>
    <n v="11.62"/>
    <n v="34.07"/>
    <n v="1.3"/>
    <n v="3.2"/>
    <n v="1"/>
    <s v="A"/>
    <n v="8.6"/>
    <x v="2"/>
    <n v="95.67"/>
    <x v="0"/>
    <n v="5.84"/>
    <n v="13.69"/>
    <n v="2359.36"/>
    <n v="5530.76"/>
    <n v="3171.4"/>
    <n v="0.57341124908692476"/>
    <n v="34.744"/>
  </r>
  <r>
    <s v="BATCH00636"/>
    <x v="2"/>
    <x v="0"/>
    <x v="0"/>
    <n v="487.73"/>
    <n v="9.08"/>
    <n v="32.9"/>
    <n v="5.2"/>
    <n v="1.1000000000000001"/>
    <n v="8"/>
    <s v="C"/>
    <n v="6.44"/>
    <x v="1"/>
    <n v="73.81"/>
    <x v="2"/>
    <n v="3.83"/>
    <n v="6.01"/>
    <n v="1868.0059000000001"/>
    <n v="2931.2573000000002"/>
    <n v="1063.2514000000001"/>
    <n v="0.36272878535773712"/>
    <n v="31.409812000000002"/>
  </r>
  <r>
    <s v="BATCH00637"/>
    <x v="0"/>
    <x v="2"/>
    <x v="1"/>
    <n v="509.34"/>
    <n v="16.760000000000002"/>
    <n v="27.48"/>
    <n v="1"/>
    <n v="0.2"/>
    <n v="3"/>
    <s v="B"/>
    <n v="6.58"/>
    <x v="2"/>
    <n v="96.03"/>
    <x v="1"/>
    <n v="8.24"/>
    <n v="7.39"/>
    <n v="4196.9615999999996"/>
    <n v="3764.0225999999998"/>
    <n v="-432.93899999999985"/>
    <n v="-0.11502029769959402"/>
    <n v="33.514572000000001"/>
  </r>
  <r>
    <s v="BATCH00638"/>
    <x v="3"/>
    <x v="2"/>
    <x v="0"/>
    <n v="386.98"/>
    <n v="15.83"/>
    <n v="39.020000000000003"/>
    <n v="2"/>
    <n v="0.6"/>
    <n v="2"/>
    <s v="A"/>
    <n v="9.5399999999999991"/>
    <x v="2"/>
    <n v="66.72"/>
    <x v="2"/>
    <n v="7.21"/>
    <n v="5.24"/>
    <n v="2790.1258000000003"/>
    <n v="2027.7752000000003"/>
    <n v="-762.35059999999999"/>
    <n v="-0.37595419847328237"/>
    <n v="36.917891999999995"/>
  </r>
  <r>
    <s v="BATCH00639"/>
    <x v="1"/>
    <x v="1"/>
    <x v="0"/>
    <n v="741.17"/>
    <n v="9.68"/>
    <n v="20.440000000000001"/>
    <n v="3"/>
    <n v="1"/>
    <n v="4"/>
    <s v="C"/>
    <n v="9.83"/>
    <x v="0"/>
    <n v="61.33"/>
    <x v="2"/>
    <n v="5.55"/>
    <n v="5.44"/>
    <n v="4113.4934999999996"/>
    <n v="4031.9648000000002"/>
    <n v="-81.52869999999939"/>
    <n v="-2.0220588235293966E-2"/>
    <n v="72.857011"/>
  </r>
  <r>
    <s v="BATCH00640"/>
    <x v="3"/>
    <x v="0"/>
    <x v="0"/>
    <n v="651.64"/>
    <n v="13.12"/>
    <n v="26.07"/>
    <n v="3.1"/>
    <n v="0"/>
    <n v="27"/>
    <s v="C"/>
    <n v="6.71"/>
    <x v="2"/>
    <n v="74.760000000000005"/>
    <x v="2"/>
    <n v="4.2"/>
    <n v="5.3"/>
    <n v="2736.8879999999999"/>
    <n v="3453.692"/>
    <n v="716.80400000000009"/>
    <n v="0.20754716981132079"/>
    <n v="43.725043999999997"/>
  </r>
  <r>
    <s v="BATCH00641"/>
    <x v="3"/>
    <x v="1"/>
    <x v="1"/>
    <n v="560.21"/>
    <n v="12.87"/>
    <n v="38.42"/>
    <n v="1.5"/>
    <n v="0"/>
    <n v="19"/>
    <s v="C"/>
    <n v="5.46"/>
    <x v="2"/>
    <n v="80.77"/>
    <x v="2"/>
    <n v="7.15"/>
    <n v="13.01"/>
    <n v="4005.5015000000003"/>
    <n v="7288.3321000000005"/>
    <n v="3282.8306000000002"/>
    <n v="0.45042275172943891"/>
    <n v="30.587466000000003"/>
  </r>
  <r>
    <s v="BATCH00642"/>
    <x v="1"/>
    <x v="3"/>
    <x v="1"/>
    <n v="507.2"/>
    <n v="14.25"/>
    <n v="26.42"/>
    <n v="3.9"/>
    <n v="0.1"/>
    <n v="11"/>
    <s v="B"/>
    <n v="6.28"/>
    <x v="2"/>
    <n v="69.569999999999993"/>
    <x v="1"/>
    <n v="8.4499999999999993"/>
    <n v="7.98"/>
    <n v="4285.8399999999992"/>
    <n v="4047.4560000000001"/>
    <n v="-238.38399999999911"/>
    <n v="-5.8897243107769198E-2"/>
    <n v="31.852159999999998"/>
  </r>
  <r>
    <s v="BATCH00643"/>
    <x v="2"/>
    <x v="3"/>
    <x v="1"/>
    <n v="478.78"/>
    <n v="17.46"/>
    <n v="25.05"/>
    <n v="1"/>
    <n v="0.3"/>
    <n v="5"/>
    <s v="C"/>
    <n v="4.13"/>
    <x v="0"/>
    <n v="67.3"/>
    <x v="2"/>
    <n v="5.19"/>
    <n v="9.93"/>
    <n v="2484.8681999999999"/>
    <n v="4754.2853999999998"/>
    <n v="2269.4171999999999"/>
    <n v="0.4773413897280967"/>
    <n v="19.773613999999998"/>
  </r>
  <r>
    <s v="BATCH00644"/>
    <x v="1"/>
    <x v="3"/>
    <x v="0"/>
    <n v="404.81"/>
    <n v="13.8"/>
    <n v="30.68"/>
    <n v="4.4000000000000004"/>
    <n v="0.6"/>
    <n v="29"/>
    <s v="C"/>
    <n v="9.8800000000000008"/>
    <x v="1"/>
    <n v="60.9"/>
    <x v="1"/>
    <n v="3.18"/>
    <n v="12.88"/>
    <n v="1287.2958000000001"/>
    <n v="5213.9528"/>
    <n v="3926.6570000000002"/>
    <n v="0.75310559006211186"/>
    <n v="39.995228000000004"/>
  </r>
  <r>
    <s v="BATCH00645"/>
    <x v="2"/>
    <x v="0"/>
    <x v="1"/>
    <n v="507.75"/>
    <n v="13.4"/>
    <n v="36.479999999999997"/>
    <n v="0.5"/>
    <n v="0.7"/>
    <n v="24"/>
    <s v="A"/>
    <n v="7.2"/>
    <x v="0"/>
    <n v="63.75"/>
    <x v="2"/>
    <n v="4.5"/>
    <n v="9.9499999999999993"/>
    <n v="2284.875"/>
    <n v="5052.1124999999993"/>
    <n v="2767.2374999999993"/>
    <n v="0.54773869346733661"/>
    <n v="36.558"/>
  </r>
  <r>
    <s v="BATCH00646"/>
    <x v="2"/>
    <x v="2"/>
    <x v="0"/>
    <n v="525.78"/>
    <n v="8.5"/>
    <n v="22.06"/>
    <n v="0.7"/>
    <n v="0.1"/>
    <n v="10"/>
    <s v="C"/>
    <n v="3.26"/>
    <x v="1"/>
    <n v="83.66"/>
    <x v="2"/>
    <n v="7.78"/>
    <n v="9.2899999999999991"/>
    <n v="4090.5684000000001"/>
    <n v="4884.4961999999996"/>
    <n v="793.92779999999948"/>
    <n v="0.16254036598492994"/>
    <n v="17.140427999999996"/>
  </r>
  <r>
    <s v="BATCH00647"/>
    <x v="2"/>
    <x v="0"/>
    <x v="1"/>
    <n v="375.82"/>
    <n v="8.6300000000000008"/>
    <n v="38.86"/>
    <n v="0.1"/>
    <n v="1.1000000000000001"/>
    <n v="24"/>
    <s v="B"/>
    <n v="1.05"/>
    <x v="1"/>
    <n v="68.489999999999995"/>
    <x v="1"/>
    <n v="9.92"/>
    <n v="5.12"/>
    <n v="3728.1343999999999"/>
    <n v="1924.1984"/>
    <n v="-1803.9359999999999"/>
    <n v="-0.9375"/>
    <n v="3.94611"/>
  </r>
  <r>
    <s v="BATCH00648"/>
    <x v="1"/>
    <x v="0"/>
    <x v="1"/>
    <n v="533.41999999999996"/>
    <n v="9.8699999999999992"/>
    <n v="35.9"/>
    <n v="3.2"/>
    <n v="0.9"/>
    <n v="27"/>
    <s v="C"/>
    <n v="0.92"/>
    <x v="2"/>
    <n v="53.99"/>
    <x v="0"/>
    <n v="3.09"/>
    <n v="10.68"/>
    <n v="1648.2677999999999"/>
    <n v="5696.9255999999996"/>
    <n v="4048.6578"/>
    <n v="0.7106741573033708"/>
    <n v="4.907464"/>
  </r>
  <r>
    <s v="BATCH00649"/>
    <x v="2"/>
    <x v="2"/>
    <x v="0"/>
    <n v="484.47"/>
    <n v="8.32"/>
    <n v="23.63"/>
    <n v="1.1000000000000001"/>
    <n v="0.3"/>
    <n v="23"/>
    <s v="B"/>
    <n v="2.4500000000000002"/>
    <x v="2"/>
    <n v="56.91"/>
    <x v="1"/>
    <n v="5.14"/>
    <n v="6.25"/>
    <n v="2490.1758"/>
    <n v="3027.9375"/>
    <n v="537.76170000000002"/>
    <n v="0.17760000000000001"/>
    <n v="11.869515000000002"/>
  </r>
  <r>
    <s v="BATCH00650"/>
    <x v="0"/>
    <x v="1"/>
    <x v="1"/>
    <n v="309.22000000000003"/>
    <n v="15.43"/>
    <n v="34.24"/>
    <n v="0.5"/>
    <n v="0"/>
    <n v="8"/>
    <s v="C"/>
    <n v="2.71"/>
    <x v="0"/>
    <n v="68.62"/>
    <x v="2"/>
    <n v="3.43"/>
    <n v="12.65"/>
    <n v="1060.6246000000001"/>
    <n v="3911.6330000000003"/>
    <n v="2851.0084000000002"/>
    <n v="0.72885375494071147"/>
    <n v="8.379862000000001"/>
  </r>
  <r>
    <s v="BATCH00651"/>
    <x v="1"/>
    <x v="3"/>
    <x v="0"/>
    <n v="413.96"/>
    <n v="15.23"/>
    <n v="27.7"/>
    <n v="0.5"/>
    <n v="0.1"/>
    <n v="13"/>
    <s v="C"/>
    <n v="4.4400000000000004"/>
    <x v="0"/>
    <n v="96.23"/>
    <x v="1"/>
    <n v="5.21"/>
    <n v="7.58"/>
    <n v="2156.7316000000001"/>
    <n v="3137.8168000000001"/>
    <n v="981.08519999999999"/>
    <n v="0.31266490765171501"/>
    <n v="18.379823999999999"/>
  </r>
  <r>
    <s v="BATCH00652"/>
    <x v="0"/>
    <x v="1"/>
    <x v="0"/>
    <n v="458.64"/>
    <n v="9.36"/>
    <n v="28.05"/>
    <n v="4.5999999999999996"/>
    <n v="0.5"/>
    <n v="29"/>
    <s v="C"/>
    <n v="2.54"/>
    <x v="0"/>
    <n v="68.95"/>
    <x v="2"/>
    <n v="5.84"/>
    <n v="11.74"/>
    <n v="2678.4575999999997"/>
    <n v="5384.4336000000003"/>
    <n v="2705.9760000000006"/>
    <n v="0.5025553662691653"/>
    <n v="11.649456000000001"/>
  </r>
  <r>
    <s v="BATCH00653"/>
    <x v="2"/>
    <x v="3"/>
    <x v="1"/>
    <n v="688.77"/>
    <n v="16.36"/>
    <n v="35.67"/>
    <n v="3.6"/>
    <n v="0.2"/>
    <n v="5"/>
    <s v="B"/>
    <n v="6.49"/>
    <x v="2"/>
    <n v="53.03"/>
    <x v="1"/>
    <n v="9.4499999999999993"/>
    <n v="11.46"/>
    <n v="6508.8764999999994"/>
    <n v="7893.3042000000005"/>
    <n v="1384.4277000000011"/>
    <n v="0.17539267015706819"/>
    <n v="44.701172999999997"/>
  </r>
  <r>
    <s v="BATCH00654"/>
    <x v="3"/>
    <x v="0"/>
    <x v="0"/>
    <n v="555.66"/>
    <n v="9.5500000000000007"/>
    <n v="39.26"/>
    <n v="1.6"/>
    <n v="0.5"/>
    <n v="26"/>
    <s v="A"/>
    <n v="2.5099999999999998"/>
    <x v="1"/>
    <n v="70.900000000000006"/>
    <x v="1"/>
    <n v="3.56"/>
    <n v="11.17"/>
    <n v="1978.1496"/>
    <n v="6206.7221999999992"/>
    <n v="4228.5725999999995"/>
    <n v="0.68128916741271262"/>
    <n v="13.947065999999998"/>
  </r>
  <r>
    <s v="BATCH00655"/>
    <x v="2"/>
    <x v="3"/>
    <x v="1"/>
    <n v="366.45"/>
    <n v="11.01"/>
    <n v="22.53"/>
    <n v="1.9"/>
    <n v="1"/>
    <n v="26"/>
    <s v="B"/>
    <n v="2.2799999999999998"/>
    <x v="0"/>
    <n v="83.44"/>
    <x v="1"/>
    <n v="8.44"/>
    <n v="7.67"/>
    <n v="3092.8379999999997"/>
    <n v="2810.6714999999999"/>
    <n v="-282.16649999999981"/>
    <n v="-0.10039113428943931"/>
    <n v="8.3550599999999982"/>
  </r>
  <r>
    <s v="BATCH00656"/>
    <x v="0"/>
    <x v="0"/>
    <x v="1"/>
    <n v="548.6"/>
    <n v="10.49"/>
    <n v="28.41"/>
    <n v="1.3"/>
    <n v="0.8"/>
    <n v="27"/>
    <s v="A"/>
    <n v="4.9800000000000004"/>
    <x v="1"/>
    <n v="79.680000000000007"/>
    <x v="0"/>
    <n v="5.77"/>
    <n v="7.67"/>
    <n v="3165.422"/>
    <n v="4207.7619999999997"/>
    <n v="1042.3399999999997"/>
    <n v="0.24771838331160359"/>
    <n v="27.320280000000004"/>
  </r>
  <r>
    <s v="BATCH00657"/>
    <x v="0"/>
    <x v="1"/>
    <x v="0"/>
    <n v="345.27"/>
    <n v="11.72"/>
    <n v="29.62"/>
    <n v="1"/>
    <n v="0.3"/>
    <n v="12"/>
    <s v="B"/>
    <n v="8.94"/>
    <x v="2"/>
    <n v="63.94"/>
    <x v="1"/>
    <n v="8.68"/>
    <n v="13.63"/>
    <n v="2996.9435999999996"/>
    <n v="4706.0300999999999"/>
    <n v="1709.0865000000003"/>
    <n v="0.36316947909024216"/>
    <n v="30.867137999999997"/>
  </r>
  <r>
    <s v="BATCH00658"/>
    <x v="1"/>
    <x v="0"/>
    <x v="1"/>
    <n v="608.27"/>
    <n v="10.55"/>
    <n v="27.53"/>
    <n v="4.9000000000000004"/>
    <n v="0.4"/>
    <n v="27"/>
    <s v="C"/>
    <n v="4.95"/>
    <x v="2"/>
    <n v="84.4"/>
    <x v="1"/>
    <n v="6.59"/>
    <n v="5.13"/>
    <n v="4008.4992999999999"/>
    <n v="3120.4250999999999"/>
    <n v="-888.07420000000002"/>
    <n v="-0.2846003898635478"/>
    <n v="30.109364999999997"/>
  </r>
  <r>
    <s v="BATCH00659"/>
    <x v="3"/>
    <x v="1"/>
    <x v="0"/>
    <n v="452.89"/>
    <n v="12.89"/>
    <n v="27.26"/>
    <n v="0.3"/>
    <n v="1"/>
    <n v="13"/>
    <s v="C"/>
    <n v="4.43"/>
    <x v="2"/>
    <n v="81.53"/>
    <x v="0"/>
    <n v="3.27"/>
    <n v="6.82"/>
    <n v="1480.9503"/>
    <n v="3088.7098000000001"/>
    <n v="1607.7595000000001"/>
    <n v="0.52052785923753664"/>
    <n v="20.063026999999998"/>
  </r>
  <r>
    <s v="BATCH00660"/>
    <x v="1"/>
    <x v="2"/>
    <x v="1"/>
    <n v="490.64"/>
    <n v="12.07"/>
    <n v="21.05"/>
    <n v="1.1000000000000001"/>
    <n v="2"/>
    <n v="22"/>
    <s v="A"/>
    <n v="5.99"/>
    <x v="2"/>
    <n v="58.61"/>
    <x v="0"/>
    <n v="9.6199999999999992"/>
    <n v="11.1"/>
    <n v="4719.9567999999999"/>
    <n v="5446.1039999999994"/>
    <n v="726.14719999999943"/>
    <n v="0.13333333333333325"/>
    <n v="29.389336"/>
  </r>
  <r>
    <s v="BATCH00661"/>
    <x v="0"/>
    <x v="2"/>
    <x v="1"/>
    <n v="632.58000000000004"/>
    <n v="17.87"/>
    <n v="33.71"/>
    <n v="0.8"/>
    <n v="1.4"/>
    <n v="8"/>
    <s v="A"/>
    <n v="2.94"/>
    <x v="1"/>
    <n v="58.11"/>
    <x v="2"/>
    <n v="3.58"/>
    <n v="13.17"/>
    <n v="2264.6364000000003"/>
    <n v="8331.0786000000007"/>
    <n v="6066.4422000000004"/>
    <n v="0.72817008352315871"/>
    <n v="18.597852"/>
  </r>
  <r>
    <s v="BATCH00662"/>
    <x v="2"/>
    <x v="2"/>
    <x v="1"/>
    <n v="371.28"/>
    <n v="8.56"/>
    <n v="28.72"/>
    <n v="1.4"/>
    <n v="0.8"/>
    <n v="15"/>
    <s v="B"/>
    <n v="3.86"/>
    <x v="1"/>
    <n v="77.36"/>
    <x v="2"/>
    <n v="7.18"/>
    <n v="8.58"/>
    <n v="2665.7903999999999"/>
    <n v="3185.5823999999998"/>
    <n v="519.79199999999992"/>
    <n v="0.16317016317016317"/>
    <n v="14.331408"/>
  </r>
  <r>
    <s v="BATCH00663"/>
    <x v="3"/>
    <x v="0"/>
    <x v="1"/>
    <n v="360.29"/>
    <n v="9.42"/>
    <n v="23.9"/>
    <n v="1.2"/>
    <n v="0.4"/>
    <n v="13"/>
    <s v="B"/>
    <n v="2.5299999999999998"/>
    <x v="0"/>
    <n v="82.97"/>
    <x v="1"/>
    <n v="9.14"/>
    <n v="11.53"/>
    <n v="3293.0506000000005"/>
    <n v="4154.1436999999996"/>
    <n v="861.09309999999914"/>
    <n v="0.20728534258456183"/>
    <n v="9.1153370000000002"/>
  </r>
  <r>
    <s v="BATCH00664"/>
    <x v="2"/>
    <x v="2"/>
    <x v="1"/>
    <n v="441.64"/>
    <n v="8.5299999999999994"/>
    <n v="36.32"/>
    <n v="1.5"/>
    <n v="0.5"/>
    <n v="1"/>
    <s v="A"/>
    <n v="5.93"/>
    <x v="1"/>
    <n v="98.1"/>
    <x v="2"/>
    <n v="3.56"/>
    <n v="10.57"/>
    <n v="1572.2384"/>
    <n v="4668.1347999999998"/>
    <n v="3095.8963999999996"/>
    <n v="0.6631977294228949"/>
    <n v="26.189251999999996"/>
  </r>
  <r>
    <s v="BATCH00665"/>
    <x v="2"/>
    <x v="3"/>
    <x v="0"/>
    <n v="603.84"/>
    <n v="14.26"/>
    <n v="36.049999999999997"/>
    <n v="0.3"/>
    <n v="2.1"/>
    <n v="22"/>
    <s v="A"/>
    <n v="7.13"/>
    <x v="1"/>
    <n v="71.099999999999994"/>
    <x v="1"/>
    <n v="6.88"/>
    <n v="5.65"/>
    <n v="4154.4192000000003"/>
    <n v="3411.6960000000004"/>
    <n v="-742.72319999999991"/>
    <n v="-0.21769911504424774"/>
    <n v="43.053792000000001"/>
  </r>
  <r>
    <s v="BATCH00666"/>
    <x v="3"/>
    <x v="1"/>
    <x v="0"/>
    <n v="348.07"/>
    <n v="8.5500000000000007"/>
    <n v="29.73"/>
    <n v="1.4"/>
    <n v="0"/>
    <n v="6"/>
    <s v="B"/>
    <n v="6.9"/>
    <x v="1"/>
    <n v="88.25"/>
    <x v="0"/>
    <n v="8.77"/>
    <n v="11.22"/>
    <n v="3052.5738999999999"/>
    <n v="3905.3454000000002"/>
    <n v="852.77150000000029"/>
    <n v="0.21836007130124785"/>
    <n v="24.016829999999999"/>
  </r>
  <r>
    <s v="BATCH00667"/>
    <x v="1"/>
    <x v="1"/>
    <x v="0"/>
    <n v="216.78"/>
    <n v="16.36"/>
    <n v="25.97"/>
    <n v="0.6"/>
    <n v="4.4000000000000004"/>
    <n v="11"/>
    <s v="A"/>
    <n v="2.92"/>
    <x v="0"/>
    <n v="55.83"/>
    <x v="0"/>
    <n v="9.9"/>
    <n v="13.14"/>
    <n v="2146.1220000000003"/>
    <n v="2848.4892"/>
    <n v="702.36719999999968"/>
    <n v="0.24657534246575333"/>
    <n v="6.3299760000000003"/>
  </r>
  <r>
    <s v="BATCH00668"/>
    <x v="2"/>
    <x v="3"/>
    <x v="0"/>
    <n v="454.88"/>
    <n v="13.12"/>
    <n v="32.76"/>
    <n v="0.4"/>
    <n v="1.1000000000000001"/>
    <n v="13"/>
    <s v="A"/>
    <n v="7.91"/>
    <x v="1"/>
    <n v="94.48"/>
    <x v="1"/>
    <n v="8.07"/>
    <n v="14.92"/>
    <n v="3670.8816000000002"/>
    <n v="6786.8095999999996"/>
    <n v="3115.9279999999994"/>
    <n v="0.4591152815013404"/>
    <n v="35.981008000000003"/>
  </r>
  <r>
    <s v="BATCH00669"/>
    <x v="0"/>
    <x v="0"/>
    <x v="0"/>
    <n v="555.16999999999996"/>
    <n v="13.27"/>
    <n v="25.76"/>
    <n v="0.1"/>
    <n v="1.1000000000000001"/>
    <n v="21"/>
    <s v="A"/>
    <n v="2.93"/>
    <x v="1"/>
    <n v="81.66"/>
    <x v="2"/>
    <n v="4.95"/>
    <n v="5.3"/>
    <n v="2748.0915"/>
    <n v="2942.4009999999998"/>
    <n v="194.30949999999984"/>
    <n v="6.6037735849056547E-2"/>
    <n v="16.266480999999999"/>
  </r>
  <r>
    <s v="BATCH00670"/>
    <x v="2"/>
    <x v="0"/>
    <x v="0"/>
    <n v="620.03"/>
    <n v="13.62"/>
    <n v="24.72"/>
    <n v="2.9"/>
    <n v="0"/>
    <n v="20"/>
    <s v="A"/>
    <n v="1.93"/>
    <x v="1"/>
    <n v="81.45"/>
    <x v="2"/>
    <n v="7.9"/>
    <n v="11.6"/>
    <n v="4898.2370000000001"/>
    <n v="7192.347999999999"/>
    <n v="2294.110999999999"/>
    <n v="0.31896551724137923"/>
    <n v="11.966578999999999"/>
  </r>
  <r>
    <s v="BATCH00671"/>
    <x v="3"/>
    <x v="1"/>
    <x v="1"/>
    <n v="453.68"/>
    <n v="9.7100000000000009"/>
    <n v="34.61"/>
    <n v="1.1000000000000001"/>
    <n v="0.9"/>
    <n v="1"/>
    <s v="C"/>
    <n v="3.82"/>
    <x v="2"/>
    <n v="57.12"/>
    <x v="2"/>
    <n v="7.94"/>
    <n v="9.15"/>
    <n v="3602.2192000000005"/>
    <n v="4151.1720000000005"/>
    <n v="548.95280000000002"/>
    <n v="0.13224043715846995"/>
    <n v="17.330575999999997"/>
  </r>
  <r>
    <s v="BATCH00672"/>
    <x v="3"/>
    <x v="2"/>
    <x v="1"/>
    <n v="458.86"/>
    <n v="9.98"/>
    <n v="20.81"/>
    <n v="2"/>
    <n v="0.7"/>
    <n v="11"/>
    <s v="C"/>
    <n v="6.18"/>
    <x v="1"/>
    <n v="51.98"/>
    <x v="1"/>
    <n v="7.9"/>
    <n v="5.0999999999999996"/>
    <n v="3624.9940000000001"/>
    <n v="2340.1859999999997"/>
    <n v="-1284.8080000000004"/>
    <n v="-0.54901960784313752"/>
    <n v="28.357548000000001"/>
  </r>
  <r>
    <s v="BATCH00673"/>
    <x v="3"/>
    <x v="0"/>
    <x v="0"/>
    <n v="615.39"/>
    <n v="11.19"/>
    <n v="21.9"/>
    <n v="2.6"/>
    <n v="0.1"/>
    <n v="26"/>
    <s v="A"/>
    <n v="1.85"/>
    <x v="0"/>
    <n v="85.07"/>
    <x v="2"/>
    <n v="8.98"/>
    <n v="11.14"/>
    <n v="5526.2021999999997"/>
    <n v="6855.4445999999998"/>
    <n v="1329.2424000000001"/>
    <n v="0.19389587073608619"/>
    <n v="11.384715000000002"/>
  </r>
  <r>
    <s v="BATCH00674"/>
    <x v="1"/>
    <x v="0"/>
    <x v="0"/>
    <n v="313.02999999999997"/>
    <n v="13.93"/>
    <n v="20.14"/>
    <n v="2.2999999999999998"/>
    <n v="0.3"/>
    <n v="11"/>
    <s v="B"/>
    <n v="6.66"/>
    <x v="0"/>
    <n v="55.85"/>
    <x v="0"/>
    <n v="3.61"/>
    <n v="6.22"/>
    <n v="1130.0382999999999"/>
    <n v="1947.0465999999997"/>
    <n v="817.00829999999974"/>
    <n v="0.41961414790996776"/>
    <n v="20.847797999999997"/>
  </r>
  <r>
    <s v="BATCH00675"/>
    <x v="2"/>
    <x v="3"/>
    <x v="1"/>
    <n v="461.15"/>
    <n v="10.1"/>
    <n v="23.06"/>
    <n v="1.3"/>
    <n v="2.2000000000000002"/>
    <n v="8"/>
    <s v="C"/>
    <n v="8.6999999999999993"/>
    <x v="0"/>
    <n v="56.35"/>
    <x v="0"/>
    <n v="3.76"/>
    <n v="8.7899999999999991"/>
    <n v="1733.9239999999998"/>
    <n v="4053.5084999999995"/>
    <n v="2319.5844999999999"/>
    <n v="0.57224118316268491"/>
    <n v="40.120049999999999"/>
  </r>
  <r>
    <s v="BATCH00676"/>
    <x v="1"/>
    <x v="3"/>
    <x v="1"/>
    <n v="519.04"/>
    <n v="9.16"/>
    <n v="21.38"/>
    <n v="1"/>
    <n v="0.8"/>
    <n v="22"/>
    <s v="B"/>
    <n v="3.28"/>
    <x v="0"/>
    <n v="59.38"/>
    <x v="0"/>
    <n v="7.48"/>
    <n v="7.61"/>
    <n v="3882.4191999999998"/>
    <n v="3949.8943999999997"/>
    <n v="67.475199999999859"/>
    <n v="1.7082785808147139E-2"/>
    <n v="17.024511999999998"/>
  </r>
  <r>
    <s v="BATCH00677"/>
    <x v="1"/>
    <x v="2"/>
    <x v="1"/>
    <n v="544.91999999999996"/>
    <n v="17.7"/>
    <n v="39.92"/>
    <n v="0.9"/>
    <n v="0.5"/>
    <n v="3"/>
    <s v="B"/>
    <n v="4.78"/>
    <x v="2"/>
    <n v="54.89"/>
    <x v="0"/>
    <n v="9.68"/>
    <n v="8.61"/>
    <n v="5274.8255999999992"/>
    <n v="4691.761199999999"/>
    <n v="-583.06440000000021"/>
    <n v="-0.12427409988385606"/>
    <n v="26.047176"/>
  </r>
  <r>
    <s v="BATCH00678"/>
    <x v="3"/>
    <x v="0"/>
    <x v="0"/>
    <n v="449.02"/>
    <n v="8.2200000000000006"/>
    <n v="25.78"/>
    <n v="2"/>
    <n v="0.1"/>
    <n v="28"/>
    <s v="C"/>
    <n v="2.67"/>
    <x v="0"/>
    <n v="81.27"/>
    <x v="0"/>
    <n v="6.26"/>
    <n v="9.93"/>
    <n v="2810.8651999999997"/>
    <n v="4458.7685999999994"/>
    <n v="1647.9033999999997"/>
    <n v="0.36958710976837861"/>
    <n v="11.988833999999999"/>
  </r>
  <r>
    <s v="BATCH00679"/>
    <x v="3"/>
    <x v="0"/>
    <x v="0"/>
    <n v="503.44"/>
    <n v="16.03"/>
    <n v="22.99"/>
    <n v="1.4"/>
    <n v="1.3"/>
    <n v="19"/>
    <s v="B"/>
    <n v="3.93"/>
    <x v="2"/>
    <n v="71.099999999999994"/>
    <x v="0"/>
    <n v="9.7200000000000006"/>
    <n v="8.59"/>
    <n v="4893.4368000000004"/>
    <n v="4324.5496000000003"/>
    <n v="-568.88720000000012"/>
    <n v="-0.13154831199068687"/>
    <n v="19.785192000000002"/>
  </r>
  <r>
    <s v="BATCH00680"/>
    <x v="1"/>
    <x v="3"/>
    <x v="0"/>
    <n v="251.17"/>
    <n v="15.88"/>
    <n v="24.82"/>
    <n v="3.8"/>
    <n v="1.2"/>
    <n v="12"/>
    <s v="B"/>
    <n v="0.71"/>
    <x v="2"/>
    <n v="63.3"/>
    <x v="0"/>
    <n v="9.57"/>
    <n v="10.53"/>
    <n v="2403.6968999999999"/>
    <n v="2644.8200999999999"/>
    <n v="241.1232"/>
    <n v="9.1168091168091173E-2"/>
    <n v="1.7833069999999998"/>
  </r>
  <r>
    <s v="BATCH00681"/>
    <x v="2"/>
    <x v="0"/>
    <x v="1"/>
    <n v="434.18"/>
    <n v="10.97"/>
    <n v="38.72"/>
    <n v="4.2"/>
    <n v="1"/>
    <n v="6"/>
    <s v="A"/>
    <n v="9.56"/>
    <x v="2"/>
    <n v="72.040000000000006"/>
    <x v="0"/>
    <n v="9.32"/>
    <n v="7.39"/>
    <n v="4046.5576000000001"/>
    <n v="3208.5902000000001"/>
    <n v="-837.9674"/>
    <n v="-0.26116373477672528"/>
    <n v="41.507607999999998"/>
  </r>
  <r>
    <s v="BATCH00682"/>
    <x v="0"/>
    <x v="1"/>
    <x v="1"/>
    <n v="545.35"/>
    <n v="9.36"/>
    <n v="30.4"/>
    <n v="0.4"/>
    <n v="0.7"/>
    <n v="28"/>
    <s v="A"/>
    <n v="4.45"/>
    <x v="0"/>
    <n v="92.21"/>
    <x v="0"/>
    <n v="9.3699999999999992"/>
    <n v="11.35"/>
    <n v="5109.9295000000002"/>
    <n v="6189.7224999999999"/>
    <n v="1079.7929999999997"/>
    <n v="0.17444933920704842"/>
    <n v="24.268075000000003"/>
  </r>
  <r>
    <s v="BATCH00683"/>
    <x v="1"/>
    <x v="3"/>
    <x v="0"/>
    <n v="401.77"/>
    <n v="9.4600000000000009"/>
    <n v="27.3"/>
    <n v="0.3"/>
    <n v="0.6"/>
    <n v="23"/>
    <s v="A"/>
    <n v="7.99"/>
    <x v="0"/>
    <n v="96.35"/>
    <x v="1"/>
    <n v="9.2899999999999991"/>
    <n v="13.54"/>
    <n v="3732.4432999999995"/>
    <n v="5439.965799999999"/>
    <n v="1707.5224999999996"/>
    <n v="0.31388478581979318"/>
    <n v="32.101422999999997"/>
  </r>
  <r>
    <s v="BATCH00684"/>
    <x v="2"/>
    <x v="2"/>
    <x v="0"/>
    <n v="505.9"/>
    <n v="14.97"/>
    <n v="37.47"/>
    <n v="2"/>
    <n v="0.9"/>
    <n v="8"/>
    <s v="C"/>
    <n v="1.86"/>
    <x v="2"/>
    <n v="74.37"/>
    <x v="1"/>
    <n v="8.74"/>
    <n v="7.24"/>
    <n v="4421.5659999999998"/>
    <n v="3662.7159999999999"/>
    <n v="-758.84999999999991"/>
    <n v="-0.20718232044198892"/>
    <n v="9.4097400000000011"/>
  </r>
  <r>
    <s v="BATCH00685"/>
    <x v="3"/>
    <x v="3"/>
    <x v="1"/>
    <n v="544.69000000000005"/>
    <n v="14.43"/>
    <n v="27.9"/>
    <n v="0.7"/>
    <n v="0.3"/>
    <n v="5"/>
    <s v="A"/>
    <n v="8.2200000000000006"/>
    <x v="2"/>
    <n v="78.34"/>
    <x v="0"/>
    <n v="7.86"/>
    <n v="10.08"/>
    <n v="4281.2634000000007"/>
    <n v="5490.4752000000008"/>
    <n v="1209.2118"/>
    <n v="0.22023809523809521"/>
    <n v="44.773518000000003"/>
  </r>
  <r>
    <s v="BATCH00686"/>
    <x v="3"/>
    <x v="0"/>
    <x v="1"/>
    <n v="465.75"/>
    <n v="15.83"/>
    <n v="26.7"/>
    <n v="0"/>
    <n v="2.8"/>
    <n v="10"/>
    <s v="B"/>
    <n v="8.67"/>
    <x v="0"/>
    <n v="62.86"/>
    <x v="0"/>
    <n v="3.17"/>
    <n v="11.49"/>
    <n v="1476.4275"/>
    <n v="5351.4674999999997"/>
    <n v="3875.04"/>
    <n v="0.72410791993037427"/>
    <n v="40.380524999999999"/>
  </r>
  <r>
    <s v="BATCH00687"/>
    <x v="2"/>
    <x v="2"/>
    <x v="1"/>
    <n v="517.04999999999995"/>
    <n v="17.37"/>
    <n v="24.15"/>
    <n v="4.4000000000000004"/>
    <n v="0.9"/>
    <n v="22"/>
    <s v="B"/>
    <n v="7.3"/>
    <x v="1"/>
    <n v="75.680000000000007"/>
    <x v="0"/>
    <n v="3.93"/>
    <n v="10.65"/>
    <n v="2032.0065"/>
    <n v="5506.5824999999995"/>
    <n v="3474.5759999999996"/>
    <n v="0.63098591549295768"/>
    <n v="37.74465"/>
  </r>
  <r>
    <s v="BATCH00688"/>
    <x v="0"/>
    <x v="3"/>
    <x v="1"/>
    <n v="403.73"/>
    <n v="14.92"/>
    <n v="27.56"/>
    <n v="0.5"/>
    <n v="0.4"/>
    <n v="16"/>
    <s v="B"/>
    <n v="9.08"/>
    <x v="1"/>
    <n v="87.41"/>
    <x v="2"/>
    <n v="3.94"/>
    <n v="8.66"/>
    <n v="1590.6962000000001"/>
    <n v="3496.3018000000002"/>
    <n v="1905.6056000000001"/>
    <n v="0.54503464203233254"/>
    <n v="36.658684000000001"/>
  </r>
  <r>
    <s v="BATCH00689"/>
    <x v="3"/>
    <x v="1"/>
    <x v="0"/>
    <n v="479.34"/>
    <n v="9.56"/>
    <n v="26.33"/>
    <n v="5.3"/>
    <n v="0.6"/>
    <n v="12"/>
    <s v="B"/>
    <n v="2.09"/>
    <x v="1"/>
    <n v="74.61"/>
    <x v="1"/>
    <n v="3.16"/>
    <n v="11.42"/>
    <n v="1514.7144000000001"/>
    <n v="5474.0627999999997"/>
    <n v="3959.3483999999999"/>
    <n v="0.72329246935201408"/>
    <n v="10.018205999999999"/>
  </r>
  <r>
    <s v="BATCH00690"/>
    <x v="3"/>
    <x v="1"/>
    <x v="1"/>
    <n v="561.02"/>
    <n v="10.43"/>
    <n v="33.549999999999997"/>
    <n v="2.5"/>
    <n v="1.6"/>
    <n v="17"/>
    <s v="B"/>
    <n v="5.03"/>
    <x v="0"/>
    <n v="65.099999999999994"/>
    <x v="0"/>
    <n v="3.82"/>
    <n v="5.28"/>
    <n v="2143.0963999999999"/>
    <n v="2962.1856000000002"/>
    <n v="819.08920000000035"/>
    <n v="0.2765151515151516"/>
    <n v="28.219306000000003"/>
  </r>
  <r>
    <s v="BATCH00691"/>
    <x v="3"/>
    <x v="3"/>
    <x v="1"/>
    <n v="515.70000000000005"/>
    <n v="16.420000000000002"/>
    <n v="25.79"/>
    <n v="2.9"/>
    <n v="0.2"/>
    <n v="6"/>
    <s v="C"/>
    <n v="6.39"/>
    <x v="0"/>
    <n v="79.099999999999994"/>
    <x v="1"/>
    <n v="9.44"/>
    <n v="8.6999999999999993"/>
    <n v="4868.2080000000005"/>
    <n v="4486.59"/>
    <n v="-381.61800000000039"/>
    <n v="-8.5057471264367898E-2"/>
    <n v="32.953230000000005"/>
  </r>
  <r>
    <s v="BATCH00692"/>
    <x v="2"/>
    <x v="1"/>
    <x v="1"/>
    <n v="441.35"/>
    <n v="10.09"/>
    <n v="31.54"/>
    <n v="0.4"/>
    <n v="0.3"/>
    <n v="9"/>
    <s v="B"/>
    <n v="6.16"/>
    <x v="2"/>
    <n v="97.33"/>
    <x v="0"/>
    <n v="7.65"/>
    <n v="10.33"/>
    <n v="3376.3275000000003"/>
    <n v="4559.1455000000005"/>
    <n v="1182.8180000000002"/>
    <n v="0.25943852855759925"/>
    <n v="27.187160000000002"/>
  </r>
  <r>
    <s v="BATCH00693"/>
    <x v="1"/>
    <x v="1"/>
    <x v="0"/>
    <n v="522.41999999999996"/>
    <n v="8.73"/>
    <n v="21.32"/>
    <n v="0.5"/>
    <n v="1.1000000000000001"/>
    <n v="10"/>
    <s v="C"/>
    <n v="8.68"/>
    <x v="0"/>
    <n v="94.4"/>
    <x v="2"/>
    <n v="5.18"/>
    <n v="5.21"/>
    <n v="2706.1355999999996"/>
    <n v="2721.8081999999999"/>
    <n v="15.67260000000033"/>
    <n v="5.7581573896354375E-3"/>
    <n v="45.346055999999997"/>
  </r>
  <r>
    <s v="BATCH00694"/>
    <x v="3"/>
    <x v="1"/>
    <x v="0"/>
    <n v="571.46"/>
    <n v="15.03"/>
    <n v="23.83"/>
    <n v="1.5"/>
    <n v="0.4"/>
    <n v="20"/>
    <s v="B"/>
    <n v="2.5499999999999998"/>
    <x v="0"/>
    <n v="88.46"/>
    <x v="0"/>
    <n v="8.5500000000000007"/>
    <n v="10.08"/>
    <n v="4885.9830000000011"/>
    <n v="5760.3168000000005"/>
    <n v="874.33379999999943"/>
    <n v="0.15178571428571416"/>
    <n v="14.572229999999999"/>
  </r>
  <r>
    <s v="BATCH00695"/>
    <x v="1"/>
    <x v="2"/>
    <x v="1"/>
    <n v="295.01"/>
    <n v="12.03"/>
    <n v="28.15"/>
    <n v="0.4"/>
    <n v="1.6"/>
    <n v="14"/>
    <s v="C"/>
    <n v="2.17"/>
    <x v="0"/>
    <n v="63.81"/>
    <x v="1"/>
    <n v="6.42"/>
    <n v="11.54"/>
    <n v="1893.9641999999999"/>
    <n v="3404.4153999999999"/>
    <n v="1510.4512"/>
    <n v="0.44367417677642984"/>
    <n v="6.4017169999999997"/>
  </r>
  <r>
    <s v="BATCH00696"/>
    <x v="0"/>
    <x v="1"/>
    <x v="1"/>
    <n v="615.91"/>
    <n v="17.2"/>
    <n v="38.74"/>
    <n v="0.7"/>
    <n v="0.1"/>
    <n v="14"/>
    <s v="C"/>
    <n v="2.91"/>
    <x v="2"/>
    <n v="62.08"/>
    <x v="1"/>
    <n v="3.99"/>
    <n v="12.59"/>
    <n v="2457.4809"/>
    <n v="7754.3068999999996"/>
    <n v="5296.8259999999991"/>
    <n v="0.68308181096108012"/>
    <n v="17.922981"/>
  </r>
  <r>
    <s v="BATCH00697"/>
    <x v="3"/>
    <x v="1"/>
    <x v="1"/>
    <n v="466.37"/>
    <n v="14.5"/>
    <n v="27.55"/>
    <n v="0.8"/>
    <n v="1.4"/>
    <n v="26"/>
    <s v="B"/>
    <n v="8.9700000000000006"/>
    <x v="2"/>
    <n v="91.93"/>
    <x v="1"/>
    <n v="9.19"/>
    <n v="6.13"/>
    <n v="4285.9403000000002"/>
    <n v="2858.8481000000002"/>
    <n v="-1427.0922"/>
    <n v="-0.49918433931484502"/>
    <n v="41.833389000000004"/>
  </r>
  <r>
    <s v="BATCH00698"/>
    <x v="3"/>
    <x v="1"/>
    <x v="0"/>
    <n v="542.54999999999995"/>
    <n v="8.9"/>
    <n v="33.28"/>
    <n v="0.3"/>
    <n v="0.1"/>
    <n v="29"/>
    <s v="B"/>
    <n v="9.44"/>
    <x v="1"/>
    <n v="59.07"/>
    <x v="1"/>
    <n v="5.37"/>
    <n v="14.91"/>
    <n v="2913.4935"/>
    <n v="8089.4204999999993"/>
    <n v="5175.9269999999997"/>
    <n v="0.63983903420523136"/>
    <n v="51.216719999999995"/>
  </r>
  <r>
    <s v="BATCH00699"/>
    <x v="0"/>
    <x v="2"/>
    <x v="0"/>
    <n v="619.72"/>
    <n v="17.48"/>
    <n v="25.1"/>
    <n v="0.5"/>
    <n v="0"/>
    <n v="17"/>
    <s v="B"/>
    <n v="5.91"/>
    <x v="1"/>
    <n v="80.28"/>
    <x v="0"/>
    <n v="7.89"/>
    <n v="11.06"/>
    <n v="4889.5907999999999"/>
    <n v="6854.1032000000005"/>
    <n v="1964.5124000000005"/>
    <n v="0.28661844484629301"/>
    <n v="36.625452000000003"/>
  </r>
  <r>
    <s v="BATCH00700"/>
    <x v="3"/>
    <x v="3"/>
    <x v="0"/>
    <n v="362.83"/>
    <n v="10.59"/>
    <n v="22.54"/>
    <n v="3.1"/>
    <n v="2.2999999999999998"/>
    <n v="27"/>
    <s v="B"/>
    <n v="5.26"/>
    <x v="0"/>
    <n v="71.95"/>
    <x v="2"/>
    <n v="5.03"/>
    <n v="8.6300000000000008"/>
    <n v="1825.0349000000001"/>
    <n v="3131.2229000000002"/>
    <n v="1306.1880000000001"/>
    <n v="0.41714947856315182"/>
    <n v="19.084858000000001"/>
  </r>
  <r>
    <s v="BATCH00701"/>
    <x v="1"/>
    <x v="0"/>
    <x v="1"/>
    <n v="429.06"/>
    <n v="11.37"/>
    <n v="21.17"/>
    <n v="0.4"/>
    <n v="0.9"/>
    <n v="25"/>
    <s v="A"/>
    <n v="6.25"/>
    <x v="0"/>
    <n v="73.400000000000006"/>
    <x v="2"/>
    <n v="6.5"/>
    <n v="7.49"/>
    <n v="2788.89"/>
    <n v="3213.6594"/>
    <n v="424.76940000000013"/>
    <n v="0.13217623497997333"/>
    <n v="26.81625"/>
  </r>
  <r>
    <s v="BATCH00702"/>
    <x v="2"/>
    <x v="1"/>
    <x v="0"/>
    <n v="471.15"/>
    <n v="12.02"/>
    <n v="26.11"/>
    <n v="0.1"/>
    <n v="0.4"/>
    <n v="16"/>
    <s v="A"/>
    <n v="6.35"/>
    <x v="2"/>
    <n v="72.73"/>
    <x v="0"/>
    <n v="8.7100000000000009"/>
    <n v="10.73"/>
    <n v="4103.7165000000005"/>
    <n v="5055.4395000000004"/>
    <n v="951.72299999999996"/>
    <n v="0.18825722273998133"/>
    <n v="29.918024999999997"/>
  </r>
  <r>
    <s v="BATCH00703"/>
    <x v="1"/>
    <x v="3"/>
    <x v="1"/>
    <n v="421.62"/>
    <n v="8.51"/>
    <n v="23.15"/>
    <n v="2"/>
    <n v="0.3"/>
    <n v="4"/>
    <s v="C"/>
    <n v="2.12"/>
    <x v="1"/>
    <n v="95"/>
    <x v="0"/>
    <n v="4.0999999999999996"/>
    <n v="13.82"/>
    <n v="1728.6419999999998"/>
    <n v="5826.7884000000004"/>
    <n v="4098.1464000000005"/>
    <n v="0.70332850940665703"/>
    <n v="8.9383440000000007"/>
  </r>
  <r>
    <s v="BATCH00704"/>
    <x v="2"/>
    <x v="1"/>
    <x v="1"/>
    <n v="673.49"/>
    <n v="12.97"/>
    <n v="23.48"/>
    <n v="7.5"/>
    <n v="1"/>
    <n v="2"/>
    <s v="C"/>
    <n v="7.02"/>
    <x v="1"/>
    <n v="54.35"/>
    <x v="1"/>
    <n v="9.84"/>
    <n v="10.210000000000001"/>
    <n v="6627.1415999999999"/>
    <n v="6876.3329000000003"/>
    <n v="249.19130000000041"/>
    <n v="3.6238981390793401E-2"/>
    <n v="47.278998000000001"/>
  </r>
  <r>
    <s v="BATCH00705"/>
    <x v="2"/>
    <x v="2"/>
    <x v="1"/>
    <n v="414.32"/>
    <n v="9.23"/>
    <n v="35.22"/>
    <n v="0.8"/>
    <n v="0.7"/>
    <n v="16"/>
    <s v="A"/>
    <n v="4.8"/>
    <x v="1"/>
    <n v="89.15"/>
    <x v="0"/>
    <n v="3.49"/>
    <n v="11.61"/>
    <n v="1445.9768000000001"/>
    <n v="4810.2551999999996"/>
    <n v="3364.2783999999992"/>
    <n v="0.69939707149009467"/>
    <n v="19.887359999999997"/>
  </r>
  <r>
    <s v="BATCH00706"/>
    <x v="1"/>
    <x v="3"/>
    <x v="0"/>
    <n v="444.45"/>
    <n v="12.01"/>
    <n v="20.32"/>
    <n v="0.3"/>
    <n v="4.8"/>
    <n v="1"/>
    <s v="C"/>
    <n v="5.42"/>
    <x v="0"/>
    <n v="91.75"/>
    <x v="2"/>
    <n v="6.74"/>
    <n v="8.58"/>
    <n v="2995.5929999999998"/>
    <n v="3813.3809999999999"/>
    <n v="817.78800000000001"/>
    <n v="0.21445221445221446"/>
    <n v="24.089189999999999"/>
  </r>
  <r>
    <s v="BATCH00707"/>
    <x v="1"/>
    <x v="2"/>
    <x v="1"/>
    <n v="520.44000000000005"/>
    <n v="11.51"/>
    <n v="31.16"/>
    <n v="1.7"/>
    <n v="4.0999999999999996"/>
    <n v="3"/>
    <s v="B"/>
    <n v="0.79"/>
    <x v="0"/>
    <n v="97.14"/>
    <x v="0"/>
    <n v="9.41"/>
    <n v="8.8800000000000008"/>
    <n v="4897.340400000001"/>
    <n v="4621.5072000000009"/>
    <n v="-275.83320000000003"/>
    <n v="-5.9684684684684679E-2"/>
    <n v="4.1114760000000006"/>
  </r>
  <r>
    <s v="BATCH00708"/>
    <x v="1"/>
    <x v="1"/>
    <x v="0"/>
    <n v="379.79"/>
    <n v="15.73"/>
    <n v="27.59"/>
    <n v="4.7"/>
    <n v="1"/>
    <n v="23"/>
    <s v="C"/>
    <n v="7.76"/>
    <x v="0"/>
    <n v="72.63"/>
    <x v="0"/>
    <n v="9.6199999999999992"/>
    <n v="7.86"/>
    <n v="3653.5798"/>
    <n v="2985.1494000000002"/>
    <n v="-668.43039999999974"/>
    <n v="-0.22391857506361312"/>
    <n v="29.471703999999999"/>
  </r>
  <r>
    <s v="BATCH00709"/>
    <x v="1"/>
    <x v="1"/>
    <x v="0"/>
    <n v="460.43"/>
    <n v="16.03"/>
    <n v="30.13"/>
    <n v="3.1"/>
    <n v="0.6"/>
    <n v="11"/>
    <s v="C"/>
    <n v="8.44"/>
    <x v="2"/>
    <n v="75"/>
    <x v="2"/>
    <n v="4.62"/>
    <n v="12.06"/>
    <n v="2127.1866"/>
    <n v="5552.7858000000006"/>
    <n v="3425.5992000000006"/>
    <n v="0.61691542288557222"/>
    <n v="38.860292000000001"/>
  </r>
  <r>
    <s v="BATCH00710"/>
    <x v="0"/>
    <x v="2"/>
    <x v="1"/>
    <n v="531.75"/>
    <n v="9.5299999999999994"/>
    <n v="31.26"/>
    <n v="1.9"/>
    <n v="0.7"/>
    <n v="16"/>
    <s v="C"/>
    <n v="6.38"/>
    <x v="1"/>
    <n v="98.06"/>
    <x v="2"/>
    <n v="4.01"/>
    <n v="8.59"/>
    <n v="2132.3175000000001"/>
    <n v="4567.7325000000001"/>
    <n v="2435.415"/>
    <n v="0.53317811408614668"/>
    <n v="33.925649999999997"/>
  </r>
  <r>
    <s v="BATCH00711"/>
    <x v="3"/>
    <x v="0"/>
    <x v="1"/>
    <n v="466.71"/>
    <n v="11.67"/>
    <n v="26.27"/>
    <n v="0.8"/>
    <n v="1.1000000000000001"/>
    <n v="26"/>
    <s v="A"/>
    <n v="7.61"/>
    <x v="2"/>
    <n v="72.92"/>
    <x v="0"/>
    <n v="8.07"/>
    <n v="6.91"/>
    <n v="3766.3496999999998"/>
    <n v="3224.9661000000001"/>
    <n v="-541.38359999999966"/>
    <n v="-0.16787264833574519"/>
    <n v="35.516631000000004"/>
  </r>
  <r>
    <s v="BATCH00712"/>
    <x v="2"/>
    <x v="2"/>
    <x v="0"/>
    <n v="490.66"/>
    <n v="11.73"/>
    <n v="25.9"/>
    <n v="1.6"/>
    <n v="0.1"/>
    <n v="18"/>
    <s v="A"/>
    <n v="5.47"/>
    <x v="1"/>
    <n v="75.180000000000007"/>
    <x v="1"/>
    <n v="3.29"/>
    <n v="8.69"/>
    <n v="1614.2714000000001"/>
    <n v="4263.8353999999999"/>
    <n v="2649.5639999999999"/>
    <n v="0.62140391254315297"/>
    <n v="26.839101999999997"/>
  </r>
  <r>
    <s v="BATCH00713"/>
    <x v="1"/>
    <x v="1"/>
    <x v="1"/>
    <n v="447.07"/>
    <n v="9.51"/>
    <n v="34.67"/>
    <n v="0.2"/>
    <n v="0.4"/>
    <n v="15"/>
    <s v="C"/>
    <n v="6.37"/>
    <x v="0"/>
    <n v="66.61"/>
    <x v="1"/>
    <n v="6.4"/>
    <n v="13.54"/>
    <n v="2861.248"/>
    <n v="6053.3277999999991"/>
    <n v="3192.0797999999991"/>
    <n v="0.5273264401772525"/>
    <n v="28.478359000000001"/>
  </r>
  <r>
    <s v="BATCH00714"/>
    <x v="1"/>
    <x v="2"/>
    <x v="0"/>
    <n v="348.55"/>
    <n v="15.98"/>
    <n v="37.43"/>
    <n v="2.2999999999999998"/>
    <n v="0.1"/>
    <n v="9"/>
    <s v="B"/>
    <n v="4.25"/>
    <x v="2"/>
    <n v="51.58"/>
    <x v="1"/>
    <n v="8.57"/>
    <n v="12.38"/>
    <n v="2987.0735000000004"/>
    <n v="4315.049"/>
    <n v="1327.9754999999996"/>
    <n v="0.30775444264943447"/>
    <n v="14.813375000000001"/>
  </r>
  <r>
    <s v="BATCH00715"/>
    <x v="1"/>
    <x v="0"/>
    <x v="1"/>
    <n v="532.16"/>
    <n v="15.07"/>
    <n v="23.85"/>
    <n v="2.6"/>
    <n v="0.1"/>
    <n v="12"/>
    <s v="C"/>
    <n v="8.02"/>
    <x v="2"/>
    <n v="71.650000000000006"/>
    <x v="2"/>
    <n v="6.92"/>
    <n v="8.35"/>
    <n v="3682.5471999999995"/>
    <n v="4443.5359999999991"/>
    <n v="760.98879999999963"/>
    <n v="0.17125748502994007"/>
    <n v="42.679231999999992"/>
  </r>
  <r>
    <s v="BATCH00716"/>
    <x v="0"/>
    <x v="2"/>
    <x v="0"/>
    <n v="675.49"/>
    <n v="9.9"/>
    <n v="21.95"/>
    <n v="6.7"/>
    <n v="0.2"/>
    <n v="29"/>
    <s v="A"/>
    <n v="4.95"/>
    <x v="0"/>
    <n v="82.75"/>
    <x v="2"/>
    <n v="4.32"/>
    <n v="14.07"/>
    <n v="2918.1168000000002"/>
    <n v="9504.1442999999999"/>
    <n v="6586.0275000000001"/>
    <n v="0.69296375266524524"/>
    <n v="33.436755000000005"/>
  </r>
  <r>
    <s v="BATCH00717"/>
    <x v="1"/>
    <x v="0"/>
    <x v="0"/>
    <n v="501.84"/>
    <n v="11.67"/>
    <n v="37.96"/>
    <n v="0.6"/>
    <n v="0.7"/>
    <n v="27"/>
    <s v="B"/>
    <n v="6.96"/>
    <x v="1"/>
    <n v="84.5"/>
    <x v="1"/>
    <n v="6.41"/>
    <n v="5.75"/>
    <n v="3216.7943999999998"/>
    <n v="2885.58"/>
    <n v="-331.21439999999984"/>
    <n v="-0.11478260869565213"/>
    <n v="34.928063999999999"/>
  </r>
  <r>
    <s v="BATCH00718"/>
    <x v="1"/>
    <x v="0"/>
    <x v="0"/>
    <n v="522.53"/>
    <n v="9.06"/>
    <n v="27"/>
    <n v="0"/>
    <n v="1.5"/>
    <n v="18"/>
    <s v="C"/>
    <n v="6.4"/>
    <x v="1"/>
    <n v="50.33"/>
    <x v="0"/>
    <n v="9.4499999999999993"/>
    <n v="5.5"/>
    <n v="4937.9084999999995"/>
    <n v="2873.915"/>
    <n v="-2063.9934999999996"/>
    <n v="-0.71818181818181803"/>
    <n v="33.441920000000003"/>
  </r>
  <r>
    <s v="BATCH00719"/>
    <x v="1"/>
    <x v="2"/>
    <x v="0"/>
    <n v="569.27"/>
    <n v="14.28"/>
    <n v="31.03"/>
    <n v="1.6"/>
    <n v="0.7"/>
    <n v="5"/>
    <s v="A"/>
    <n v="7.17"/>
    <x v="1"/>
    <n v="90.05"/>
    <x v="0"/>
    <n v="7.32"/>
    <n v="6.27"/>
    <n v="4167.0564000000004"/>
    <n v="3569.3228999999997"/>
    <n v="-597.73350000000073"/>
    <n v="-0.16746411483253609"/>
    <n v="40.816659000000001"/>
  </r>
  <r>
    <s v="BATCH00720"/>
    <x v="3"/>
    <x v="2"/>
    <x v="1"/>
    <n v="373.07"/>
    <n v="9.2100000000000009"/>
    <n v="27.19"/>
    <n v="2.5"/>
    <n v="0.4"/>
    <n v="24"/>
    <s v="B"/>
    <n v="7.96"/>
    <x v="1"/>
    <n v="74.62"/>
    <x v="0"/>
    <n v="8.0500000000000007"/>
    <n v="6.16"/>
    <n v="3003.2135000000003"/>
    <n v="2298.1111999999998"/>
    <n v="-705.10230000000047"/>
    <n v="-0.30681818181818205"/>
    <n v="29.696372"/>
  </r>
  <r>
    <s v="BATCH00721"/>
    <x v="0"/>
    <x v="3"/>
    <x v="1"/>
    <n v="670.25"/>
    <n v="17.86"/>
    <n v="22.52"/>
    <n v="3.1"/>
    <n v="0.1"/>
    <n v="29"/>
    <s v="C"/>
    <n v="5.37"/>
    <x v="0"/>
    <n v="76.040000000000006"/>
    <x v="2"/>
    <n v="5.35"/>
    <n v="5.88"/>
    <n v="3585.8374999999996"/>
    <n v="3941.0699999999997"/>
    <n v="355.23250000000007"/>
    <n v="9.0136054421768738E-2"/>
    <n v="35.992425000000004"/>
  </r>
  <r>
    <s v="BATCH00722"/>
    <x v="1"/>
    <x v="1"/>
    <x v="0"/>
    <n v="520.23"/>
    <n v="15.81"/>
    <n v="31.79"/>
    <n v="0.4"/>
    <n v="0.8"/>
    <n v="29"/>
    <s v="A"/>
    <n v="8.2200000000000006"/>
    <x v="0"/>
    <n v="98.09"/>
    <x v="2"/>
    <n v="4.32"/>
    <n v="11.61"/>
    <n v="2247.3936000000003"/>
    <n v="6039.8702999999996"/>
    <n v="3792.4766999999993"/>
    <n v="0.62790697674418594"/>
    <n v="42.762906000000001"/>
  </r>
  <r>
    <s v="BATCH00723"/>
    <x v="2"/>
    <x v="0"/>
    <x v="0"/>
    <n v="663.19"/>
    <n v="11.9"/>
    <n v="30.5"/>
    <n v="0.6"/>
    <n v="0.3"/>
    <n v="28"/>
    <s v="B"/>
    <n v="5.22"/>
    <x v="0"/>
    <n v="64.22"/>
    <x v="1"/>
    <n v="4.79"/>
    <n v="11.01"/>
    <n v="3176.6801000000005"/>
    <n v="7301.7219000000005"/>
    <n v="4125.0418"/>
    <n v="0.56494096276112626"/>
    <n v="34.618518000000002"/>
  </r>
  <r>
    <s v="BATCH00724"/>
    <x v="2"/>
    <x v="3"/>
    <x v="1"/>
    <n v="426.7"/>
    <n v="13.79"/>
    <n v="24.06"/>
    <n v="1.4"/>
    <n v="1"/>
    <n v="26"/>
    <s v="C"/>
    <n v="9.59"/>
    <x v="0"/>
    <n v="88.08"/>
    <x v="0"/>
    <n v="6.73"/>
    <n v="11.48"/>
    <n v="2871.6910000000003"/>
    <n v="4898.5159999999996"/>
    <n v="2026.8249999999994"/>
    <n v="0.41376306620209047"/>
    <n v="40.920529999999999"/>
  </r>
  <r>
    <s v="BATCH00725"/>
    <x v="2"/>
    <x v="2"/>
    <x v="1"/>
    <n v="681.81"/>
    <n v="17.11"/>
    <n v="29.04"/>
    <n v="0.8"/>
    <n v="3.8"/>
    <n v="8"/>
    <s v="B"/>
    <n v="7.65"/>
    <x v="2"/>
    <n v="78.739999999999995"/>
    <x v="2"/>
    <n v="4.96"/>
    <n v="11.88"/>
    <n v="3381.7775999999999"/>
    <n v="8099.9027999999998"/>
    <n v="4718.1252000000004"/>
    <n v="0.5824915824915825"/>
    <n v="52.158465"/>
  </r>
  <r>
    <s v="BATCH00726"/>
    <x v="0"/>
    <x v="1"/>
    <x v="1"/>
    <n v="577.52"/>
    <n v="13.54"/>
    <n v="35.94"/>
    <n v="3.9"/>
    <n v="0.1"/>
    <n v="3"/>
    <s v="B"/>
    <n v="2.13"/>
    <x v="2"/>
    <n v="85.04"/>
    <x v="2"/>
    <n v="6.79"/>
    <n v="12.57"/>
    <n v="3921.3607999999999"/>
    <n v="7259.4264000000003"/>
    <n v="3338.0656000000004"/>
    <n v="0.45982498011137635"/>
    <n v="12.301175999999998"/>
  </r>
  <r>
    <s v="BATCH00727"/>
    <x v="0"/>
    <x v="3"/>
    <x v="1"/>
    <n v="555.29999999999995"/>
    <n v="9.74"/>
    <n v="31.81"/>
    <n v="1.3"/>
    <n v="0.2"/>
    <n v="2"/>
    <s v="B"/>
    <n v="8.3800000000000008"/>
    <x v="2"/>
    <n v="70.89"/>
    <x v="1"/>
    <n v="7.95"/>
    <n v="7.07"/>
    <n v="4414.6349999999993"/>
    <n v="3925.971"/>
    <n v="-488.66399999999931"/>
    <n v="-0.1244695898161243"/>
    <n v="46.534140000000001"/>
  </r>
  <r>
    <s v="BATCH00728"/>
    <x v="2"/>
    <x v="0"/>
    <x v="1"/>
    <n v="523.4"/>
    <n v="11.79"/>
    <n v="21.94"/>
    <n v="3.2"/>
    <n v="0.6"/>
    <n v="25"/>
    <s v="A"/>
    <n v="5.74"/>
    <x v="0"/>
    <n v="63.96"/>
    <x v="0"/>
    <n v="8.14"/>
    <n v="11.22"/>
    <n v="4260.4759999999997"/>
    <n v="5872.5479999999998"/>
    <n v="1612.0720000000001"/>
    <n v="0.27450980392156865"/>
    <n v="30.043159999999997"/>
  </r>
  <r>
    <s v="BATCH00729"/>
    <x v="1"/>
    <x v="3"/>
    <x v="1"/>
    <n v="475.15"/>
    <n v="16.43"/>
    <n v="30.96"/>
    <n v="1.7"/>
    <n v="3.5"/>
    <n v="19"/>
    <s v="C"/>
    <n v="9.85"/>
    <x v="1"/>
    <n v="77.31"/>
    <x v="2"/>
    <n v="4.1500000000000004"/>
    <n v="10.8"/>
    <n v="1971.8725000000002"/>
    <n v="5131.62"/>
    <n v="3159.7474999999995"/>
    <n v="0.6157407407407407"/>
    <n v="46.802275000000002"/>
  </r>
  <r>
    <s v="BATCH00730"/>
    <x v="0"/>
    <x v="0"/>
    <x v="0"/>
    <n v="620.04999999999995"/>
    <n v="14.44"/>
    <n v="34.049999999999997"/>
    <n v="3"/>
    <n v="1.5"/>
    <n v="8"/>
    <s v="B"/>
    <n v="7.33"/>
    <x v="2"/>
    <n v="68.75"/>
    <x v="2"/>
    <n v="8.25"/>
    <n v="14.44"/>
    <n v="5115.4124999999995"/>
    <n v="8953.521999999999"/>
    <n v="3838.1094999999996"/>
    <n v="0.42867036011080334"/>
    <n v="45.449664999999996"/>
  </r>
  <r>
    <s v="BATCH00731"/>
    <x v="2"/>
    <x v="2"/>
    <x v="1"/>
    <n v="514.04"/>
    <n v="14.51"/>
    <n v="35.85"/>
    <n v="0.8"/>
    <n v="2.2999999999999998"/>
    <n v="2"/>
    <s v="B"/>
    <n v="1.3"/>
    <x v="2"/>
    <n v="61.15"/>
    <x v="2"/>
    <n v="7.71"/>
    <n v="7.32"/>
    <n v="3963.2483999999995"/>
    <n v="3762.7727999999997"/>
    <n v="-200.47559999999976"/>
    <n v="-5.3278688524590105E-2"/>
    <n v="6.6825199999999993"/>
  </r>
  <r>
    <s v="BATCH00732"/>
    <x v="2"/>
    <x v="1"/>
    <x v="1"/>
    <n v="303.29000000000002"/>
    <n v="16.670000000000002"/>
    <n v="32.58"/>
    <n v="3.6"/>
    <n v="0.4"/>
    <n v="19"/>
    <s v="B"/>
    <n v="4.25"/>
    <x v="0"/>
    <n v="91.96"/>
    <x v="2"/>
    <n v="3.08"/>
    <n v="5.59"/>
    <n v="934.1332000000001"/>
    <n v="1695.3911000000001"/>
    <n v="761.25789999999995"/>
    <n v="0.44901610017889082"/>
    <n v="12.889825"/>
  </r>
  <r>
    <s v="BATCH00733"/>
    <x v="1"/>
    <x v="1"/>
    <x v="0"/>
    <n v="388.28"/>
    <n v="16.940000000000001"/>
    <n v="23.05"/>
    <n v="0.6"/>
    <n v="4.8"/>
    <n v="1"/>
    <s v="A"/>
    <n v="5.41"/>
    <x v="1"/>
    <n v="73.790000000000006"/>
    <x v="0"/>
    <n v="3.41"/>
    <n v="11.53"/>
    <n v="1324.0347999999999"/>
    <n v="4476.8683999999994"/>
    <n v="3152.8335999999995"/>
    <n v="0.70424978317432785"/>
    <n v="21.005948"/>
  </r>
  <r>
    <s v="BATCH00734"/>
    <x v="3"/>
    <x v="1"/>
    <x v="1"/>
    <n v="481.42"/>
    <n v="17.2"/>
    <n v="34.200000000000003"/>
    <n v="1.6"/>
    <n v="0.1"/>
    <n v="27"/>
    <s v="B"/>
    <n v="8.4700000000000006"/>
    <x v="1"/>
    <n v="92.37"/>
    <x v="1"/>
    <n v="7.52"/>
    <n v="12.4"/>
    <n v="3620.2783999999997"/>
    <n v="5969.6080000000002"/>
    <n v="2349.3296000000005"/>
    <n v="0.39354838709677425"/>
    <n v="40.776274000000001"/>
  </r>
  <r>
    <s v="BATCH00735"/>
    <x v="0"/>
    <x v="2"/>
    <x v="1"/>
    <n v="531"/>
    <n v="8.9499999999999993"/>
    <n v="33.549999999999997"/>
    <n v="0.5"/>
    <n v="0.1"/>
    <n v="22"/>
    <s v="A"/>
    <n v="7.43"/>
    <x v="1"/>
    <n v="73.7"/>
    <x v="0"/>
    <n v="5.69"/>
    <n v="7.83"/>
    <n v="3021.3900000000003"/>
    <n v="4157.7300000000005"/>
    <n v="1136.3400000000001"/>
    <n v="0.27330779054916987"/>
    <n v="39.453299999999999"/>
  </r>
  <r>
    <s v="BATCH00736"/>
    <x v="1"/>
    <x v="0"/>
    <x v="1"/>
    <n v="494.34"/>
    <n v="13.44"/>
    <n v="20.49"/>
    <n v="1.3"/>
    <n v="1.9"/>
    <n v="13"/>
    <s v="A"/>
    <n v="4.01"/>
    <x v="0"/>
    <n v="77.84"/>
    <x v="1"/>
    <n v="4.0199999999999996"/>
    <n v="10.71"/>
    <n v="1987.2467999999997"/>
    <n v="5294.3814000000002"/>
    <n v="3307.1346000000003"/>
    <n v="0.62464985994397759"/>
    <n v="19.823033999999996"/>
  </r>
  <r>
    <s v="BATCH00737"/>
    <x v="2"/>
    <x v="2"/>
    <x v="1"/>
    <n v="621.9"/>
    <n v="15.41"/>
    <n v="28.23"/>
    <n v="0.8"/>
    <n v="2.6"/>
    <n v="23"/>
    <s v="B"/>
    <n v="6.71"/>
    <x v="1"/>
    <n v="99.76"/>
    <x v="2"/>
    <n v="3.31"/>
    <n v="5.6"/>
    <n v="2058.489"/>
    <n v="3482.64"/>
    <n v="1424.1509999999998"/>
    <n v="0.40892857142857142"/>
    <n v="41.729489999999998"/>
  </r>
  <r>
    <s v="BATCH00738"/>
    <x v="2"/>
    <x v="1"/>
    <x v="1"/>
    <n v="304.89"/>
    <n v="15.57"/>
    <n v="26.66"/>
    <n v="0.6"/>
    <n v="0.1"/>
    <n v="20"/>
    <s v="B"/>
    <n v="5.98"/>
    <x v="2"/>
    <n v="97.58"/>
    <x v="0"/>
    <n v="4.12"/>
    <n v="14.6"/>
    <n v="1256.1468"/>
    <n v="4451.3939999999993"/>
    <n v="3195.2471999999993"/>
    <n v="0.71780821917808213"/>
    <n v="18.232422"/>
  </r>
  <r>
    <s v="BATCH00739"/>
    <x v="1"/>
    <x v="2"/>
    <x v="0"/>
    <n v="514.36"/>
    <n v="14.07"/>
    <n v="33.39"/>
    <n v="6.8"/>
    <n v="0.1"/>
    <n v="17"/>
    <s v="A"/>
    <n v="1.7"/>
    <x v="2"/>
    <n v="63.58"/>
    <x v="1"/>
    <n v="9.6999999999999993"/>
    <n v="6.1"/>
    <n v="4989.2919999999995"/>
    <n v="3137.596"/>
    <n v="-1851.6959999999995"/>
    <n v="-0.59016393442622939"/>
    <n v="8.7441200000000006"/>
  </r>
  <r>
    <s v="BATCH00740"/>
    <x v="0"/>
    <x v="2"/>
    <x v="1"/>
    <n v="318.2"/>
    <n v="9.67"/>
    <n v="24.32"/>
    <n v="0.3"/>
    <n v="0"/>
    <n v="3"/>
    <s v="A"/>
    <n v="2.73"/>
    <x v="2"/>
    <n v="93.43"/>
    <x v="1"/>
    <n v="8.09"/>
    <n v="5.68"/>
    <n v="2574.2379999999998"/>
    <n v="1807.3759999999997"/>
    <n v="-766.86200000000008"/>
    <n v="-0.42429577464788742"/>
    <n v="8.6868599999999994"/>
  </r>
  <r>
    <s v="BATCH00741"/>
    <x v="3"/>
    <x v="2"/>
    <x v="0"/>
    <n v="575.97"/>
    <n v="15.97"/>
    <n v="31.82"/>
    <n v="3.1"/>
    <n v="0.1"/>
    <n v="9"/>
    <s v="B"/>
    <n v="3.74"/>
    <x v="0"/>
    <n v="69.52"/>
    <x v="2"/>
    <n v="6.69"/>
    <n v="5.44"/>
    <n v="3853.2393000000002"/>
    <n v="3133.2768000000005"/>
    <n v="-719.96249999999964"/>
    <n v="-0.22977941176470573"/>
    <n v="21.541278000000002"/>
  </r>
  <r>
    <s v="BATCH00742"/>
    <x v="3"/>
    <x v="0"/>
    <x v="0"/>
    <n v="490.55"/>
    <n v="15.2"/>
    <n v="38.26"/>
    <n v="8.3000000000000007"/>
    <n v="0.2"/>
    <n v="5"/>
    <s v="A"/>
    <n v="2.36"/>
    <x v="1"/>
    <n v="53.56"/>
    <x v="1"/>
    <n v="9.59"/>
    <n v="9.27"/>
    <n v="4704.3744999999999"/>
    <n v="4547.3985000000002"/>
    <n v="-156.97599999999966"/>
    <n v="-3.4519956850053858E-2"/>
    <n v="11.576979999999999"/>
  </r>
  <r>
    <s v="BATCH00743"/>
    <x v="2"/>
    <x v="3"/>
    <x v="1"/>
    <n v="541.96"/>
    <n v="8.86"/>
    <n v="35.96"/>
    <n v="0"/>
    <n v="3.5"/>
    <n v="6"/>
    <s v="A"/>
    <n v="1.93"/>
    <x v="0"/>
    <n v="78.790000000000006"/>
    <x v="1"/>
    <n v="7.33"/>
    <n v="5.97"/>
    <n v="3972.5668000000005"/>
    <n v="3235.5012000000002"/>
    <n v="-737.06560000000036"/>
    <n v="-0.22780569514237867"/>
    <n v="10.459828"/>
  </r>
  <r>
    <s v="BATCH00744"/>
    <x v="0"/>
    <x v="3"/>
    <x v="0"/>
    <n v="413.61"/>
    <n v="12.64"/>
    <n v="38.43"/>
    <n v="2.4"/>
    <n v="1.1000000000000001"/>
    <n v="4"/>
    <s v="B"/>
    <n v="1.05"/>
    <x v="1"/>
    <n v="98.85"/>
    <x v="1"/>
    <n v="8.08"/>
    <n v="12.45"/>
    <n v="3341.9688000000001"/>
    <n v="5149.4444999999996"/>
    <n v="1807.4756999999995"/>
    <n v="0.35100401606425696"/>
    <n v="4.342905"/>
  </r>
  <r>
    <s v="BATCH00745"/>
    <x v="3"/>
    <x v="2"/>
    <x v="1"/>
    <n v="627.95000000000005"/>
    <n v="9.74"/>
    <n v="39.57"/>
    <n v="0.6"/>
    <n v="1.5"/>
    <n v="17"/>
    <s v="B"/>
    <n v="8.7899999999999991"/>
    <x v="0"/>
    <n v="98.72"/>
    <x v="2"/>
    <n v="4.9800000000000004"/>
    <n v="13.99"/>
    <n v="3127.1910000000007"/>
    <n v="8785.0205000000005"/>
    <n v="5657.8294999999998"/>
    <n v="0.64403145103645454"/>
    <n v="55.196804999999998"/>
  </r>
  <r>
    <s v="BATCH00746"/>
    <x v="0"/>
    <x v="3"/>
    <x v="0"/>
    <n v="604.16999999999996"/>
    <n v="11.37"/>
    <n v="20.21"/>
    <n v="0.1"/>
    <n v="1.5"/>
    <n v="21"/>
    <s v="C"/>
    <n v="3.24"/>
    <x v="2"/>
    <n v="56.32"/>
    <x v="0"/>
    <n v="7.12"/>
    <n v="7.6"/>
    <n v="4301.6903999999995"/>
    <n v="4591.6919999999991"/>
    <n v="290.0015999999996"/>
    <n v="6.3157894736842024E-2"/>
    <n v="19.575108"/>
  </r>
  <r>
    <s v="BATCH00747"/>
    <x v="0"/>
    <x v="3"/>
    <x v="0"/>
    <n v="558.35"/>
    <n v="8.18"/>
    <n v="32.450000000000003"/>
    <n v="1"/>
    <n v="0.8"/>
    <n v="21"/>
    <s v="B"/>
    <n v="3.26"/>
    <x v="0"/>
    <n v="88.56"/>
    <x v="2"/>
    <n v="4"/>
    <n v="11.29"/>
    <n v="2233.4"/>
    <n v="6303.7714999999998"/>
    <n v="4070.3714999999997"/>
    <n v="0.64570416297608502"/>
    <n v="18.202210000000001"/>
  </r>
  <r>
    <s v="BATCH00748"/>
    <x v="2"/>
    <x v="2"/>
    <x v="1"/>
    <n v="487.05"/>
    <n v="12"/>
    <n v="28.26"/>
    <n v="5.5"/>
    <n v="1.6"/>
    <n v="21"/>
    <s v="B"/>
    <n v="2.46"/>
    <x v="0"/>
    <n v="90.14"/>
    <x v="1"/>
    <n v="5.83"/>
    <n v="5.42"/>
    <n v="2839.5015000000003"/>
    <n v="2639.8110000000001"/>
    <n v="-199.69050000000016"/>
    <n v="-7.5645756457564634E-2"/>
    <n v="11.98143"/>
  </r>
  <r>
    <s v="BATCH00749"/>
    <x v="3"/>
    <x v="2"/>
    <x v="1"/>
    <n v="557.99"/>
    <n v="13.5"/>
    <n v="37.200000000000003"/>
    <n v="0"/>
    <n v="0.9"/>
    <n v="16"/>
    <s v="B"/>
    <n v="5.0199999999999996"/>
    <x v="0"/>
    <n v="68.44"/>
    <x v="1"/>
    <n v="3.23"/>
    <n v="8.8699999999999992"/>
    <n v="1802.3077000000001"/>
    <n v="4949.3712999999998"/>
    <n v="3147.0635999999995"/>
    <n v="0.63585118376550165"/>
    <n v="28.011097999999997"/>
  </r>
  <r>
    <s v="BATCH00750"/>
    <x v="1"/>
    <x v="1"/>
    <x v="1"/>
    <n v="429.31"/>
    <n v="14.2"/>
    <n v="25.04"/>
    <n v="1.8"/>
    <n v="0.4"/>
    <n v="16"/>
    <s v="C"/>
    <n v="5.39"/>
    <x v="2"/>
    <n v="82.93"/>
    <x v="0"/>
    <n v="4.5199999999999996"/>
    <n v="7.93"/>
    <n v="1940.4811999999997"/>
    <n v="3404.4283"/>
    <n v="1463.9471000000003"/>
    <n v="0.43001261034047927"/>
    <n v="23.139809"/>
  </r>
  <r>
    <s v="BATCH00751"/>
    <x v="2"/>
    <x v="3"/>
    <x v="1"/>
    <n v="585.55999999999995"/>
    <n v="14.63"/>
    <n v="39.619999999999997"/>
    <n v="1.4"/>
    <n v="0.8"/>
    <n v="22"/>
    <s v="A"/>
    <n v="2.48"/>
    <x v="0"/>
    <n v="74.41"/>
    <x v="1"/>
    <n v="3.52"/>
    <n v="7.29"/>
    <n v="2061.1711999999998"/>
    <n v="4268.7323999999999"/>
    <n v="2207.5612000000001"/>
    <n v="0.51714677640603568"/>
    <n v="14.521887999999999"/>
  </r>
  <r>
    <s v="BATCH00752"/>
    <x v="3"/>
    <x v="0"/>
    <x v="1"/>
    <n v="664.95"/>
    <n v="16.36"/>
    <n v="32.270000000000003"/>
    <n v="4.0999999999999996"/>
    <n v="0.8"/>
    <n v="11"/>
    <s v="B"/>
    <n v="6.28"/>
    <x v="0"/>
    <n v="61.39"/>
    <x v="0"/>
    <n v="5.71"/>
    <n v="11.45"/>
    <n v="3796.8645000000001"/>
    <n v="7613.6774999999998"/>
    <n v="3816.8129999999996"/>
    <n v="0.50131004366812226"/>
    <n v="41.758860000000006"/>
  </r>
  <r>
    <s v="BATCH00753"/>
    <x v="3"/>
    <x v="2"/>
    <x v="0"/>
    <n v="607.05999999999995"/>
    <n v="10.15"/>
    <n v="35.869999999999997"/>
    <n v="0.2"/>
    <n v="1.7"/>
    <n v="2"/>
    <s v="B"/>
    <n v="7.37"/>
    <x v="2"/>
    <n v="88.06"/>
    <x v="1"/>
    <n v="8.9"/>
    <n v="6.3"/>
    <n v="5402.8339999999998"/>
    <n v="3824.4779999999996"/>
    <n v="-1578.3560000000002"/>
    <n v="-0.41269841269841279"/>
    <n v="44.740321999999999"/>
  </r>
  <r>
    <s v="BATCH00754"/>
    <x v="3"/>
    <x v="1"/>
    <x v="0"/>
    <n v="427.04"/>
    <n v="9.1999999999999993"/>
    <n v="21.71"/>
    <n v="2.2999999999999998"/>
    <n v="4"/>
    <n v="17"/>
    <s v="C"/>
    <n v="4.05"/>
    <x v="1"/>
    <n v="63.14"/>
    <x v="1"/>
    <n v="5.65"/>
    <n v="13.61"/>
    <n v="2412.7760000000003"/>
    <n v="5812.0144"/>
    <n v="3399.2383999999997"/>
    <n v="0.58486407053637024"/>
    <n v="17.295120000000001"/>
  </r>
  <r>
    <s v="BATCH00755"/>
    <x v="3"/>
    <x v="0"/>
    <x v="0"/>
    <n v="536.14"/>
    <n v="16.52"/>
    <n v="23.67"/>
    <n v="2.2999999999999998"/>
    <n v="0.5"/>
    <n v="15"/>
    <s v="C"/>
    <n v="6.06"/>
    <x v="0"/>
    <n v="67.02"/>
    <x v="2"/>
    <n v="8.82"/>
    <n v="11.65"/>
    <n v="4728.7547999999997"/>
    <n v="6246.0309999999999"/>
    <n v="1517.2762000000002"/>
    <n v="0.24291845493562236"/>
    <n v="32.490083999999996"/>
  </r>
  <r>
    <s v="BATCH00756"/>
    <x v="3"/>
    <x v="3"/>
    <x v="0"/>
    <n v="370.69"/>
    <n v="9.57"/>
    <n v="35.17"/>
    <n v="2.2000000000000002"/>
    <n v="1.4"/>
    <n v="18"/>
    <s v="C"/>
    <n v="5.27"/>
    <x v="2"/>
    <n v="59.5"/>
    <x v="2"/>
    <n v="7.6"/>
    <n v="12.11"/>
    <n v="2817.2439999999997"/>
    <n v="4489.0558999999994"/>
    <n v="1671.8118999999997"/>
    <n v="0.37241948802642444"/>
    <n v="19.535362999999997"/>
  </r>
  <r>
    <s v="BATCH00757"/>
    <x v="0"/>
    <x v="1"/>
    <x v="0"/>
    <n v="557.24"/>
    <n v="17.75"/>
    <n v="20.440000000000001"/>
    <n v="5.7"/>
    <n v="0.1"/>
    <n v="29"/>
    <s v="A"/>
    <n v="2.36"/>
    <x v="0"/>
    <n v="85.96"/>
    <x v="0"/>
    <n v="6.57"/>
    <n v="14.35"/>
    <n v="3661.0668000000001"/>
    <n v="7996.3940000000002"/>
    <n v="4335.3271999999997"/>
    <n v="0.54216027874564454"/>
    <n v="13.150863999999999"/>
  </r>
  <r>
    <s v="BATCH00758"/>
    <x v="2"/>
    <x v="2"/>
    <x v="0"/>
    <n v="545.05999999999995"/>
    <n v="16.43"/>
    <n v="36.340000000000003"/>
    <n v="3.5"/>
    <n v="1.5"/>
    <n v="10"/>
    <s v="C"/>
    <n v="7.44"/>
    <x v="2"/>
    <n v="72.94"/>
    <x v="2"/>
    <n v="4.66"/>
    <n v="14.42"/>
    <n v="2539.9795999999997"/>
    <n v="7859.7651999999989"/>
    <n v="5319.7855999999992"/>
    <n v="0.67683772538141473"/>
    <n v="40.552464000000001"/>
  </r>
  <r>
    <s v="BATCH00759"/>
    <x v="0"/>
    <x v="0"/>
    <x v="0"/>
    <n v="313.02"/>
    <n v="13.01"/>
    <n v="20.28"/>
    <n v="0.1"/>
    <n v="0.5"/>
    <n v="6"/>
    <s v="A"/>
    <n v="8.11"/>
    <x v="1"/>
    <n v="72.17"/>
    <x v="0"/>
    <n v="9.4600000000000009"/>
    <n v="10.52"/>
    <n v="2961.1692000000003"/>
    <n v="3292.9703999999997"/>
    <n v="331.80119999999943"/>
    <n v="0.10076045627376409"/>
    <n v="25.385921999999997"/>
  </r>
  <r>
    <s v="BATCH00760"/>
    <x v="1"/>
    <x v="2"/>
    <x v="1"/>
    <n v="383.82"/>
    <n v="17.809999999999999"/>
    <n v="33.14"/>
    <n v="1.3"/>
    <n v="0"/>
    <n v="21"/>
    <s v="B"/>
    <n v="6.66"/>
    <x v="1"/>
    <n v="80.23"/>
    <x v="2"/>
    <n v="3.38"/>
    <n v="9.9499999999999993"/>
    <n v="1297.3116"/>
    <n v="3819.0089999999996"/>
    <n v="2521.6973999999996"/>
    <n v="0.66030150753768835"/>
    <n v="25.562411999999998"/>
  </r>
  <r>
    <s v="BATCH00761"/>
    <x v="3"/>
    <x v="3"/>
    <x v="1"/>
    <n v="471.69"/>
    <n v="8.9700000000000006"/>
    <n v="27.3"/>
    <n v="1"/>
    <n v="0.5"/>
    <n v="16"/>
    <s v="B"/>
    <n v="3.58"/>
    <x v="0"/>
    <n v="57.86"/>
    <x v="0"/>
    <n v="7.82"/>
    <n v="8.35"/>
    <n v="3688.6158"/>
    <n v="3938.6115"/>
    <n v="249.99569999999994"/>
    <n v="6.3473053892215553E-2"/>
    <n v="16.886502"/>
  </r>
  <r>
    <s v="BATCH00762"/>
    <x v="2"/>
    <x v="0"/>
    <x v="0"/>
    <n v="469.91"/>
    <n v="11.03"/>
    <n v="32.229999999999997"/>
    <n v="0.7"/>
    <n v="0.9"/>
    <n v="5"/>
    <s v="B"/>
    <n v="9.3000000000000007"/>
    <x v="2"/>
    <n v="94.91"/>
    <x v="1"/>
    <n v="7.35"/>
    <n v="12.16"/>
    <n v="3453.8384999999998"/>
    <n v="5714.1056000000008"/>
    <n v="2260.2671000000009"/>
    <n v="0.39555921052631587"/>
    <n v="43.701630000000002"/>
  </r>
  <r>
    <s v="BATCH00763"/>
    <x v="3"/>
    <x v="3"/>
    <x v="0"/>
    <n v="379.05"/>
    <n v="14.38"/>
    <n v="33.92"/>
    <n v="1.2"/>
    <n v="0.1"/>
    <n v="12"/>
    <s v="C"/>
    <n v="4.83"/>
    <x v="1"/>
    <n v="73.260000000000005"/>
    <x v="0"/>
    <n v="6.09"/>
    <n v="10.38"/>
    <n v="2308.4144999999999"/>
    <n v="3934.5390000000002"/>
    <n v="1626.1245000000004"/>
    <n v="0.41329479768786131"/>
    <n v="18.308115000000001"/>
  </r>
  <r>
    <s v="BATCH00764"/>
    <x v="2"/>
    <x v="3"/>
    <x v="1"/>
    <n v="538.9"/>
    <n v="11.5"/>
    <n v="26.85"/>
    <n v="1"/>
    <n v="2.6"/>
    <n v="28"/>
    <s v="B"/>
    <n v="3.03"/>
    <x v="1"/>
    <n v="68.33"/>
    <x v="2"/>
    <n v="4.68"/>
    <n v="14.33"/>
    <n v="2522.0519999999997"/>
    <n v="7722.4369999999999"/>
    <n v="5200.3850000000002"/>
    <n v="0.67341242149337055"/>
    <n v="16.328669999999999"/>
  </r>
  <r>
    <s v="BATCH00765"/>
    <x v="0"/>
    <x v="1"/>
    <x v="1"/>
    <n v="525.15"/>
    <n v="17.28"/>
    <n v="22.16"/>
    <n v="1.1000000000000001"/>
    <n v="0.1"/>
    <n v="6"/>
    <s v="C"/>
    <n v="4.38"/>
    <x v="2"/>
    <n v="56.33"/>
    <x v="0"/>
    <n v="6.01"/>
    <n v="7.39"/>
    <n v="3156.1514999999999"/>
    <n v="3880.8584999999998"/>
    <n v="724.70699999999988"/>
    <n v="0.18673883626522325"/>
    <n v="23.001569999999997"/>
  </r>
  <r>
    <s v="BATCH00766"/>
    <x v="2"/>
    <x v="2"/>
    <x v="1"/>
    <n v="480.57"/>
    <n v="8.66"/>
    <n v="21.39"/>
    <n v="7.8"/>
    <n v="2.7"/>
    <n v="14"/>
    <s v="A"/>
    <n v="7.07"/>
    <x v="0"/>
    <n v="58.4"/>
    <x v="2"/>
    <n v="9.11"/>
    <n v="8.1"/>
    <n v="4377.9926999999998"/>
    <n v="3892.6169999999997"/>
    <n v="-485.37570000000005"/>
    <n v="-0.12469135802469138"/>
    <n v="33.976298999999997"/>
  </r>
  <r>
    <s v="BATCH00767"/>
    <x v="1"/>
    <x v="0"/>
    <x v="1"/>
    <n v="424.42"/>
    <n v="13.49"/>
    <n v="31.78"/>
    <n v="0.2"/>
    <n v="1.2"/>
    <n v="26"/>
    <s v="B"/>
    <n v="8.5399999999999991"/>
    <x v="1"/>
    <n v="96.02"/>
    <x v="1"/>
    <n v="8.86"/>
    <n v="8.16"/>
    <n v="3760.3611999999998"/>
    <n v="3463.2672000000002"/>
    <n v="-297.0939999999996"/>
    <n v="-8.5784313725490072E-2"/>
    <n v="36.245467999999995"/>
  </r>
  <r>
    <s v="BATCH00768"/>
    <x v="1"/>
    <x v="3"/>
    <x v="0"/>
    <n v="604.87"/>
    <n v="13.91"/>
    <n v="30.41"/>
    <n v="5.0999999999999996"/>
    <n v="0.4"/>
    <n v="23"/>
    <s v="A"/>
    <n v="3.89"/>
    <x v="1"/>
    <n v="72.83"/>
    <x v="2"/>
    <n v="9.59"/>
    <n v="13.06"/>
    <n v="5800.7033000000001"/>
    <n v="7899.6022000000003"/>
    <n v="2098.8989000000001"/>
    <n v="0.26569678407350689"/>
    <n v="23.529443000000001"/>
  </r>
  <r>
    <s v="BATCH00769"/>
    <x v="2"/>
    <x v="3"/>
    <x v="1"/>
    <n v="665.54"/>
    <n v="14.53"/>
    <n v="34.840000000000003"/>
    <n v="1.3"/>
    <n v="0.5"/>
    <n v="16"/>
    <s v="C"/>
    <n v="2.71"/>
    <x v="1"/>
    <n v="86.11"/>
    <x v="1"/>
    <n v="5.15"/>
    <n v="5.99"/>
    <n v="3427.5309999999999"/>
    <n v="3986.5846000000001"/>
    <n v="559.05360000000019"/>
    <n v="0.14023372287145247"/>
    <n v="18.036134000000001"/>
  </r>
  <r>
    <s v="BATCH00770"/>
    <x v="2"/>
    <x v="0"/>
    <x v="0"/>
    <n v="451.64"/>
    <n v="10.56"/>
    <n v="30.19"/>
    <n v="2"/>
    <n v="1.4"/>
    <n v="25"/>
    <s v="C"/>
    <n v="6.45"/>
    <x v="0"/>
    <n v="54.03"/>
    <x v="1"/>
    <n v="5.71"/>
    <n v="9.56"/>
    <n v="2578.8643999999999"/>
    <n v="4317.6783999999998"/>
    <n v="1738.8139999999999"/>
    <n v="0.40271966527196651"/>
    <n v="29.130780000000001"/>
  </r>
  <r>
    <s v="BATCH00771"/>
    <x v="2"/>
    <x v="3"/>
    <x v="0"/>
    <n v="438.78"/>
    <n v="11.65"/>
    <n v="28.45"/>
    <n v="3.5"/>
    <n v="0.9"/>
    <n v="7"/>
    <s v="B"/>
    <n v="9.25"/>
    <x v="1"/>
    <n v="82.17"/>
    <x v="2"/>
    <n v="3.13"/>
    <n v="9.2799999999999994"/>
    <n v="1373.3813999999998"/>
    <n v="4071.8783999999996"/>
    <n v="2698.4969999999998"/>
    <n v="0.66271551724137934"/>
    <n v="40.587149999999994"/>
  </r>
  <r>
    <s v="BATCH00772"/>
    <x v="2"/>
    <x v="1"/>
    <x v="0"/>
    <n v="549.12"/>
    <n v="16.440000000000001"/>
    <n v="27.96"/>
    <n v="0.9"/>
    <n v="1.1000000000000001"/>
    <n v="2"/>
    <s v="B"/>
    <n v="2.2400000000000002"/>
    <x v="2"/>
    <n v="96.08"/>
    <x v="1"/>
    <n v="9.6"/>
    <n v="5.73"/>
    <n v="5271.5519999999997"/>
    <n v="3146.4576000000002"/>
    <n v="-2125.0943999999995"/>
    <n v="-0.67539267015706783"/>
    <n v="12.300288"/>
  </r>
  <r>
    <s v="BATCH00773"/>
    <x v="1"/>
    <x v="1"/>
    <x v="1"/>
    <n v="464.2"/>
    <n v="9.9499999999999993"/>
    <n v="20.53"/>
    <n v="1.1000000000000001"/>
    <n v="0.5"/>
    <n v="6"/>
    <s v="C"/>
    <n v="8.1300000000000008"/>
    <x v="0"/>
    <n v="65"/>
    <x v="2"/>
    <n v="5.31"/>
    <n v="9.11"/>
    <n v="2464.9019999999996"/>
    <n v="4228.8620000000001"/>
    <n v="1763.9600000000005"/>
    <n v="0.41712403951701438"/>
    <n v="37.739460000000001"/>
  </r>
  <r>
    <s v="BATCH00774"/>
    <x v="3"/>
    <x v="1"/>
    <x v="1"/>
    <n v="486.06"/>
    <n v="16.27"/>
    <n v="26.71"/>
    <n v="1.1000000000000001"/>
    <n v="0.7"/>
    <n v="9"/>
    <s v="B"/>
    <n v="5.03"/>
    <x v="1"/>
    <n v="78.959999999999994"/>
    <x v="0"/>
    <n v="5.83"/>
    <n v="10.130000000000001"/>
    <n v="2833.7298000000001"/>
    <n v="4923.7878000000001"/>
    <n v="2090.058"/>
    <n v="0.42448173741362288"/>
    <n v="24.448818000000003"/>
  </r>
  <r>
    <s v="BATCH00775"/>
    <x v="2"/>
    <x v="1"/>
    <x v="0"/>
    <n v="573.97"/>
    <n v="13.63"/>
    <n v="39.520000000000003"/>
    <n v="0.9"/>
    <n v="4.5999999999999996"/>
    <n v="7"/>
    <s v="B"/>
    <n v="8.1"/>
    <x v="2"/>
    <n v="97.01"/>
    <x v="1"/>
    <n v="9.35"/>
    <n v="5.65"/>
    <n v="5366.6194999999998"/>
    <n v="3242.9305000000004"/>
    <n v="-2123.6889999999994"/>
    <n v="-0.65486725663716783"/>
    <n v="46.491570000000003"/>
  </r>
  <r>
    <s v="BATCH00776"/>
    <x v="2"/>
    <x v="3"/>
    <x v="0"/>
    <n v="309.06"/>
    <n v="15.62"/>
    <n v="37.47"/>
    <n v="5.2"/>
    <n v="0.2"/>
    <n v="2"/>
    <s v="A"/>
    <n v="5.3"/>
    <x v="2"/>
    <n v="85.97"/>
    <x v="0"/>
    <n v="6.69"/>
    <n v="10.1"/>
    <n v="2067.6114000000002"/>
    <n v="3121.5059999999999"/>
    <n v="1053.8945999999996"/>
    <n v="0.33762376237623754"/>
    <n v="16.380179999999999"/>
  </r>
  <r>
    <s v="BATCH00777"/>
    <x v="1"/>
    <x v="0"/>
    <x v="0"/>
    <n v="631.83000000000004"/>
    <n v="15.14"/>
    <n v="26.59"/>
    <n v="3.5"/>
    <n v="0.5"/>
    <n v="19"/>
    <s v="C"/>
    <n v="4.08"/>
    <x v="0"/>
    <n v="53.12"/>
    <x v="0"/>
    <n v="6.96"/>
    <n v="14.59"/>
    <n v="4397.5367999999999"/>
    <n v="9218.3996999999999"/>
    <n v="4820.8629000000001"/>
    <n v="0.52296093214530504"/>
    <n v="25.778664000000003"/>
  </r>
  <r>
    <s v="BATCH00778"/>
    <x v="1"/>
    <x v="0"/>
    <x v="1"/>
    <n v="507.27"/>
    <n v="10.08"/>
    <n v="31.76"/>
    <n v="0.2"/>
    <n v="0.3"/>
    <n v="8"/>
    <s v="A"/>
    <n v="7.12"/>
    <x v="2"/>
    <n v="68.94"/>
    <x v="2"/>
    <n v="4.2300000000000004"/>
    <n v="14.79"/>
    <n v="2145.7521000000002"/>
    <n v="7502.5232999999989"/>
    <n v="5356.7711999999992"/>
    <n v="0.71399594320486814"/>
    <n v="36.117623999999999"/>
  </r>
  <r>
    <s v="BATCH00779"/>
    <x v="0"/>
    <x v="0"/>
    <x v="0"/>
    <n v="458.85"/>
    <n v="13.69"/>
    <n v="36.950000000000003"/>
    <n v="0.2"/>
    <n v="1.4"/>
    <n v="11"/>
    <s v="B"/>
    <n v="9.06"/>
    <x v="0"/>
    <n v="54.29"/>
    <x v="2"/>
    <n v="6.49"/>
    <n v="10.32"/>
    <n v="2977.9365000000003"/>
    <n v="4735.3320000000003"/>
    <n v="1757.3955000000001"/>
    <n v="0.37112403100775193"/>
    <n v="41.571810000000006"/>
  </r>
  <r>
    <s v="BATCH00780"/>
    <x v="2"/>
    <x v="0"/>
    <x v="1"/>
    <n v="491.08"/>
    <n v="16.68"/>
    <n v="28.83"/>
    <n v="1.1000000000000001"/>
    <n v="1.4"/>
    <n v="25"/>
    <s v="A"/>
    <n v="3.54"/>
    <x v="0"/>
    <n v="93.07"/>
    <x v="1"/>
    <n v="9.43"/>
    <n v="10.15"/>
    <n v="4630.8843999999999"/>
    <n v="4984.4620000000004"/>
    <n v="353.57760000000053"/>
    <n v="7.0935960591133107E-2"/>
    <n v="17.384232000000001"/>
  </r>
  <r>
    <s v="BATCH00781"/>
    <x v="0"/>
    <x v="2"/>
    <x v="0"/>
    <n v="496.24"/>
    <n v="12.32"/>
    <n v="20.36"/>
    <n v="0.2"/>
    <n v="0.3"/>
    <n v="4"/>
    <s v="C"/>
    <n v="4.88"/>
    <x v="0"/>
    <n v="81.08"/>
    <x v="2"/>
    <n v="6.91"/>
    <n v="7.86"/>
    <n v="3429.0183999999999"/>
    <n v="3900.4464000000003"/>
    <n v="471.42800000000034"/>
    <n v="0.1208651399491095"/>
    <n v="24.216511999999998"/>
  </r>
  <r>
    <s v="BATCH00782"/>
    <x v="1"/>
    <x v="0"/>
    <x v="0"/>
    <n v="326.88"/>
    <n v="17.670000000000002"/>
    <n v="21.49"/>
    <n v="1.9"/>
    <n v="0.1"/>
    <n v="16"/>
    <s v="A"/>
    <n v="2.68"/>
    <x v="2"/>
    <n v="97.82"/>
    <x v="0"/>
    <n v="4.79"/>
    <n v="14.97"/>
    <n v="1565.7552000000001"/>
    <n v="4893.3936000000003"/>
    <n v="3327.6384000000003"/>
    <n v="0.68002672010688048"/>
    <n v="8.7603840000000002"/>
  </r>
  <r>
    <s v="BATCH00783"/>
    <x v="1"/>
    <x v="2"/>
    <x v="0"/>
    <n v="649.49"/>
    <n v="12.52"/>
    <n v="30.21"/>
    <n v="0.3"/>
    <n v="0"/>
    <n v="25"/>
    <s v="A"/>
    <n v="2.2400000000000002"/>
    <x v="0"/>
    <n v="50.99"/>
    <x v="0"/>
    <n v="3.22"/>
    <n v="7.74"/>
    <n v="2091.3578000000002"/>
    <n v="5027.0526"/>
    <n v="2935.6947999999998"/>
    <n v="0.58397932816537468"/>
    <n v="14.548576000000001"/>
  </r>
  <r>
    <s v="BATCH00784"/>
    <x v="3"/>
    <x v="2"/>
    <x v="1"/>
    <n v="504.13"/>
    <n v="9.43"/>
    <n v="39.39"/>
    <n v="1.5"/>
    <n v="0.6"/>
    <n v="18"/>
    <s v="B"/>
    <n v="7.89"/>
    <x v="0"/>
    <n v="71.150000000000006"/>
    <x v="0"/>
    <n v="5.35"/>
    <n v="9.5299999999999994"/>
    <n v="2697.0954999999999"/>
    <n v="4804.3588999999993"/>
    <n v="2107.2633999999994"/>
    <n v="0.43861490031479533"/>
    <n v="39.775856999999995"/>
  </r>
  <r>
    <s v="BATCH00785"/>
    <x v="2"/>
    <x v="1"/>
    <x v="1"/>
    <n v="544.29999999999995"/>
    <n v="11.89"/>
    <n v="33.86"/>
    <n v="0"/>
    <n v="0.5"/>
    <n v="13"/>
    <s v="C"/>
    <n v="2.41"/>
    <x v="2"/>
    <n v="55.22"/>
    <x v="1"/>
    <n v="7.01"/>
    <n v="5.03"/>
    <n v="3815.5429999999997"/>
    <n v="2737.8289999999997"/>
    <n v="-1077.7139999999999"/>
    <n v="-0.3936381709741551"/>
    <n v="13.117629999999998"/>
  </r>
  <r>
    <s v="BATCH00786"/>
    <x v="0"/>
    <x v="2"/>
    <x v="0"/>
    <n v="595.15"/>
    <n v="17.52"/>
    <n v="21.42"/>
    <n v="0.8"/>
    <n v="4.5"/>
    <n v="27"/>
    <s v="B"/>
    <n v="8.0399999999999991"/>
    <x v="0"/>
    <n v="67.52"/>
    <x v="2"/>
    <n v="3.3"/>
    <n v="8.49"/>
    <n v="1963.9949999999999"/>
    <n v="5052.8234999999995"/>
    <n v="3088.8284999999996"/>
    <n v="0.61130742049469966"/>
    <n v="47.850059999999992"/>
  </r>
  <r>
    <s v="BATCH00787"/>
    <x v="1"/>
    <x v="3"/>
    <x v="1"/>
    <n v="397.88"/>
    <n v="11.2"/>
    <n v="23.79"/>
    <n v="2.2999999999999998"/>
    <n v="0.6"/>
    <n v="5"/>
    <s v="B"/>
    <n v="4.58"/>
    <x v="1"/>
    <n v="58.09"/>
    <x v="0"/>
    <n v="7.27"/>
    <n v="5.71"/>
    <n v="2892.5875999999998"/>
    <n v="2271.8948"/>
    <n v="-620.69279999999981"/>
    <n v="-0.27320490367775824"/>
    <n v="18.222904"/>
  </r>
  <r>
    <s v="BATCH00788"/>
    <x v="1"/>
    <x v="2"/>
    <x v="0"/>
    <n v="547.35"/>
    <n v="16.68"/>
    <n v="35.43"/>
    <n v="1.3"/>
    <n v="0.3"/>
    <n v="27"/>
    <s v="C"/>
    <n v="9.9499999999999993"/>
    <x v="2"/>
    <n v="66.44"/>
    <x v="1"/>
    <n v="6.66"/>
    <n v="12.44"/>
    <n v="3645.3510000000001"/>
    <n v="6809.0339999999997"/>
    <n v="3163.6829999999995"/>
    <n v="0.46463022508038582"/>
    <n v="54.461324999999995"/>
  </r>
  <r>
    <s v="BATCH00789"/>
    <x v="0"/>
    <x v="1"/>
    <x v="1"/>
    <n v="473.24"/>
    <n v="16.809999999999999"/>
    <n v="36.83"/>
    <n v="7.7"/>
    <n v="2.2000000000000002"/>
    <n v="2"/>
    <s v="A"/>
    <n v="2.37"/>
    <x v="2"/>
    <n v="90.96"/>
    <x v="2"/>
    <n v="8.48"/>
    <n v="10.61"/>
    <n v="4013.0752000000002"/>
    <n v="5021.0763999999999"/>
    <n v="1008.0011999999997"/>
    <n v="0.20075400565504237"/>
    <n v="11.215788"/>
  </r>
  <r>
    <s v="BATCH00790"/>
    <x v="3"/>
    <x v="2"/>
    <x v="1"/>
    <n v="584.67999999999995"/>
    <n v="11.5"/>
    <n v="32.35"/>
    <n v="4.0999999999999996"/>
    <n v="0.7"/>
    <n v="11"/>
    <s v="B"/>
    <n v="1.38"/>
    <x v="2"/>
    <n v="58.03"/>
    <x v="2"/>
    <n v="3.2"/>
    <n v="10.72"/>
    <n v="1870.9759999999999"/>
    <n v="6267.7695999999996"/>
    <n v="4396.7936"/>
    <n v="0.70149253731343286"/>
    <n v="8.0685839999999978"/>
  </r>
  <r>
    <s v="BATCH00791"/>
    <x v="1"/>
    <x v="3"/>
    <x v="1"/>
    <n v="287.27999999999997"/>
    <n v="8.83"/>
    <n v="32.89"/>
    <n v="0.9"/>
    <n v="0.9"/>
    <n v="1"/>
    <s v="A"/>
    <n v="1.22"/>
    <x v="1"/>
    <n v="73.680000000000007"/>
    <x v="0"/>
    <n v="8.4700000000000006"/>
    <n v="7.87"/>
    <n v="2433.2615999999998"/>
    <n v="2260.8935999999999"/>
    <n v="-172.36799999999994"/>
    <n v="-7.6238881829733138E-2"/>
    <n v="3.5048159999999995"/>
  </r>
  <r>
    <s v="BATCH00792"/>
    <x v="2"/>
    <x v="3"/>
    <x v="0"/>
    <n v="490.09"/>
    <n v="15.25"/>
    <n v="20.57"/>
    <n v="0.1"/>
    <n v="0.1"/>
    <n v="13"/>
    <s v="C"/>
    <n v="8.44"/>
    <x v="0"/>
    <n v="96.08"/>
    <x v="1"/>
    <n v="6.65"/>
    <n v="13.15"/>
    <n v="3259.0985000000001"/>
    <n v="6444.6835000000001"/>
    <n v="3185.585"/>
    <n v="0.49429657794676807"/>
    <n v="41.363596000000001"/>
  </r>
  <r>
    <s v="BATCH00793"/>
    <x v="1"/>
    <x v="3"/>
    <x v="1"/>
    <n v="439.72"/>
    <n v="11.12"/>
    <n v="36.57"/>
    <n v="3.7"/>
    <n v="0.5"/>
    <n v="5"/>
    <s v="B"/>
    <n v="4.66"/>
    <x v="2"/>
    <n v="99.94"/>
    <x v="0"/>
    <n v="5.59"/>
    <n v="5.03"/>
    <n v="2458.0347999999999"/>
    <n v="2211.7916000000005"/>
    <n v="-246.24319999999943"/>
    <n v="-0.111332007952286"/>
    <n v="20.490952000000004"/>
  </r>
  <r>
    <s v="BATCH00794"/>
    <x v="2"/>
    <x v="1"/>
    <x v="1"/>
    <n v="543.23"/>
    <n v="15.83"/>
    <n v="35.770000000000003"/>
    <n v="4.8"/>
    <n v="2.9"/>
    <n v="18"/>
    <s v="A"/>
    <n v="0.53"/>
    <x v="2"/>
    <n v="62.53"/>
    <x v="0"/>
    <n v="9.76"/>
    <n v="8.34"/>
    <n v="5301.9247999999998"/>
    <n v="4530.5382"/>
    <n v="-771.38659999999982"/>
    <n v="-0.17026378896882491"/>
    <n v="2.8791190000000002"/>
  </r>
  <r>
    <s v="BATCH00795"/>
    <x v="0"/>
    <x v="1"/>
    <x v="0"/>
    <n v="547"/>
    <n v="12.43"/>
    <n v="25.18"/>
    <n v="3.4"/>
    <n v="0.9"/>
    <n v="14"/>
    <s v="A"/>
    <n v="8.81"/>
    <x v="2"/>
    <n v="96.78"/>
    <x v="1"/>
    <n v="4.12"/>
    <n v="11.59"/>
    <n v="2253.64"/>
    <n v="6339.73"/>
    <n v="4086.0899999999997"/>
    <n v="0.6445211389128559"/>
    <n v="48.190700000000007"/>
  </r>
  <r>
    <s v="BATCH00796"/>
    <x v="2"/>
    <x v="0"/>
    <x v="0"/>
    <n v="429.24"/>
    <n v="12.85"/>
    <n v="34.17"/>
    <n v="0.3"/>
    <n v="0.4"/>
    <n v="13"/>
    <s v="B"/>
    <n v="8.83"/>
    <x v="1"/>
    <n v="63.07"/>
    <x v="0"/>
    <n v="6.79"/>
    <n v="14.08"/>
    <n v="2914.5396000000001"/>
    <n v="6043.6992"/>
    <n v="3129.1596"/>
    <n v="0.51775568181818177"/>
    <n v="37.901892000000004"/>
  </r>
  <r>
    <s v="BATCH00797"/>
    <x v="0"/>
    <x v="1"/>
    <x v="0"/>
    <n v="428.78"/>
    <n v="15.78"/>
    <n v="24.3"/>
    <n v="12.3"/>
    <n v="1"/>
    <n v="7"/>
    <s v="C"/>
    <n v="8.16"/>
    <x v="1"/>
    <n v="70.680000000000007"/>
    <x v="1"/>
    <n v="5.25"/>
    <n v="7.35"/>
    <n v="2251.0949999999998"/>
    <n v="3151.5329999999994"/>
    <n v="900.43799999999965"/>
    <n v="0.28571428571428564"/>
    <n v="34.988447999999998"/>
  </r>
  <r>
    <s v="BATCH00798"/>
    <x v="2"/>
    <x v="3"/>
    <x v="0"/>
    <n v="488.93"/>
    <n v="11.82"/>
    <n v="20.81"/>
    <n v="0.6"/>
    <n v="2.4"/>
    <n v="8"/>
    <s v="A"/>
    <n v="2.86"/>
    <x v="1"/>
    <n v="93.9"/>
    <x v="1"/>
    <n v="6.69"/>
    <n v="10.41"/>
    <n v="3270.9417000000003"/>
    <n v="5089.7613000000001"/>
    <n v="1818.8195999999998"/>
    <n v="0.35734870317002876"/>
    <n v="13.983397999999999"/>
  </r>
  <r>
    <s v="BATCH00799"/>
    <x v="0"/>
    <x v="3"/>
    <x v="1"/>
    <n v="410.34"/>
    <n v="12.43"/>
    <n v="24.02"/>
    <n v="2.6"/>
    <n v="0.3"/>
    <n v="18"/>
    <s v="C"/>
    <n v="4.04"/>
    <x v="0"/>
    <n v="89.31"/>
    <x v="0"/>
    <n v="6.87"/>
    <n v="10.38"/>
    <n v="2819.0357999999997"/>
    <n v="4259.3292000000001"/>
    <n v="1440.2934000000005"/>
    <n v="0.33815028901734112"/>
    <n v="16.577736000000002"/>
  </r>
  <r>
    <s v="BATCH00800"/>
    <x v="2"/>
    <x v="1"/>
    <x v="1"/>
    <n v="584.20000000000005"/>
    <n v="11.76"/>
    <n v="23.57"/>
    <n v="4.8"/>
    <n v="0.7"/>
    <n v="7"/>
    <s v="B"/>
    <n v="7.58"/>
    <x v="0"/>
    <n v="92.87"/>
    <x v="0"/>
    <n v="3.63"/>
    <n v="13.74"/>
    <n v="2120.6460000000002"/>
    <n v="8026.9080000000004"/>
    <n v="5906.2620000000006"/>
    <n v="0.73580786026200873"/>
    <n v="44.282360000000011"/>
  </r>
  <r>
    <s v="BATCH00801"/>
    <x v="3"/>
    <x v="2"/>
    <x v="1"/>
    <n v="463.08"/>
    <n v="11.67"/>
    <n v="26.75"/>
    <n v="0.5"/>
    <n v="3.2"/>
    <n v="20"/>
    <s v="A"/>
    <n v="5.15"/>
    <x v="1"/>
    <n v="90.01"/>
    <x v="2"/>
    <n v="7.63"/>
    <n v="5.51"/>
    <n v="3533.3003999999996"/>
    <n v="2551.5708"/>
    <n v="-981.72959999999966"/>
    <n v="-0.38475499092558973"/>
    <n v="23.84862"/>
  </r>
  <r>
    <s v="BATCH00802"/>
    <x v="2"/>
    <x v="1"/>
    <x v="1"/>
    <n v="209.3"/>
    <n v="13.26"/>
    <n v="28.37"/>
    <n v="4.8"/>
    <n v="0.2"/>
    <n v="17"/>
    <s v="A"/>
    <n v="1.96"/>
    <x v="0"/>
    <n v="61.75"/>
    <x v="2"/>
    <n v="7.44"/>
    <n v="9.24"/>
    <n v="1557.1920000000002"/>
    <n v="1933.9320000000002"/>
    <n v="376.74"/>
    <n v="0.19480519480519479"/>
    <n v="4.1022800000000004"/>
  </r>
  <r>
    <s v="BATCH00803"/>
    <x v="2"/>
    <x v="1"/>
    <x v="1"/>
    <n v="462.52"/>
    <n v="16.09"/>
    <n v="30.17"/>
    <n v="0.7"/>
    <n v="1.3"/>
    <n v="16"/>
    <s v="A"/>
    <n v="2.81"/>
    <x v="1"/>
    <n v="77.94"/>
    <x v="1"/>
    <n v="8.39"/>
    <n v="6.82"/>
    <n v="3880.5428000000002"/>
    <n v="3154.3863999999999"/>
    <n v="-726.1564000000003"/>
    <n v="-0.23020527859237547"/>
    <n v="12.996812"/>
  </r>
  <r>
    <s v="BATCH00804"/>
    <x v="3"/>
    <x v="3"/>
    <x v="0"/>
    <n v="396.15"/>
    <n v="11.62"/>
    <n v="29.54"/>
    <n v="7.5"/>
    <n v="1"/>
    <n v="11"/>
    <s v="C"/>
    <n v="9.74"/>
    <x v="0"/>
    <n v="69.260000000000005"/>
    <x v="1"/>
    <n v="3.63"/>
    <n v="5.22"/>
    <n v="1438.0244999999998"/>
    <n v="2067.9029999999998"/>
    <n v="629.87850000000003"/>
    <n v="0.30459770114942536"/>
    <n v="38.585009999999997"/>
  </r>
  <r>
    <s v="BATCH00805"/>
    <x v="1"/>
    <x v="0"/>
    <x v="1"/>
    <n v="336.87"/>
    <n v="13.24"/>
    <n v="25.41"/>
    <n v="0.7"/>
    <n v="1.1000000000000001"/>
    <n v="19"/>
    <s v="A"/>
    <n v="1.93"/>
    <x v="0"/>
    <n v="72.989999999999995"/>
    <x v="1"/>
    <n v="5.08"/>
    <n v="6.47"/>
    <n v="1711.2996000000001"/>
    <n v="2179.5488999999998"/>
    <n v="468.24929999999972"/>
    <n v="0.21483771251931982"/>
    <n v="6.5015909999999995"/>
  </r>
  <r>
    <s v="BATCH00806"/>
    <x v="1"/>
    <x v="3"/>
    <x v="1"/>
    <n v="376.26"/>
    <n v="14.71"/>
    <n v="20.58"/>
    <n v="6.1"/>
    <n v="0.4"/>
    <n v="27"/>
    <s v="A"/>
    <n v="7.4"/>
    <x v="1"/>
    <n v="57.7"/>
    <x v="2"/>
    <n v="7.55"/>
    <n v="14.76"/>
    <n v="2840.7629999999999"/>
    <n v="5553.5976000000001"/>
    <n v="2712.8346000000001"/>
    <n v="0.48848238482384826"/>
    <n v="27.843240000000002"/>
  </r>
  <r>
    <s v="BATCH00807"/>
    <x v="2"/>
    <x v="0"/>
    <x v="1"/>
    <n v="510.94"/>
    <n v="10.69"/>
    <n v="32.1"/>
    <n v="0.1"/>
    <n v="0.4"/>
    <n v="28"/>
    <s v="B"/>
    <n v="5.04"/>
    <x v="2"/>
    <n v="65.790000000000006"/>
    <x v="0"/>
    <n v="3.96"/>
    <n v="7.15"/>
    <n v="2023.3224"/>
    <n v="3653.221"/>
    <n v="1629.8986"/>
    <n v="0.44615384615384612"/>
    <n v="25.751376"/>
  </r>
  <r>
    <s v="BATCH00808"/>
    <x v="3"/>
    <x v="3"/>
    <x v="0"/>
    <n v="632.86"/>
    <n v="10.78"/>
    <n v="27.91"/>
    <n v="2.5"/>
    <n v="1.2"/>
    <n v="1"/>
    <s v="A"/>
    <n v="7.61"/>
    <x v="2"/>
    <n v="92.88"/>
    <x v="0"/>
    <n v="7.74"/>
    <n v="14.35"/>
    <n v="4898.3364000000001"/>
    <n v="9081.5409999999993"/>
    <n v="4183.2045999999991"/>
    <n v="0.46062717770034839"/>
    <n v="48.160646000000007"/>
  </r>
  <r>
    <s v="BATCH00809"/>
    <x v="2"/>
    <x v="1"/>
    <x v="0"/>
    <n v="531.32000000000005"/>
    <n v="17.329999999999998"/>
    <n v="25.97"/>
    <n v="1.5"/>
    <n v="0.2"/>
    <n v="21"/>
    <s v="C"/>
    <n v="6.78"/>
    <x v="0"/>
    <n v="94.88"/>
    <x v="2"/>
    <n v="3.41"/>
    <n v="7.05"/>
    <n v="1811.8012000000003"/>
    <n v="3745.806"/>
    <n v="1934.0047999999997"/>
    <n v="0.51631205673758862"/>
    <n v="36.023496000000002"/>
  </r>
  <r>
    <s v="BATCH00810"/>
    <x v="0"/>
    <x v="3"/>
    <x v="1"/>
    <n v="439.35"/>
    <n v="15.24"/>
    <n v="37.340000000000003"/>
    <n v="1.3"/>
    <n v="0.5"/>
    <n v="29"/>
    <s v="B"/>
    <n v="4.67"/>
    <x v="0"/>
    <n v="80.510000000000005"/>
    <x v="0"/>
    <n v="5.34"/>
    <n v="14.31"/>
    <n v="2346.1289999999999"/>
    <n v="6287.098500000001"/>
    <n v="3940.9695000000011"/>
    <n v="0.62683438155136273"/>
    <n v="20.517645000000002"/>
  </r>
  <r>
    <s v="BATCH00811"/>
    <x v="0"/>
    <x v="3"/>
    <x v="0"/>
    <n v="545.59"/>
    <n v="13.77"/>
    <n v="34.93"/>
    <n v="0.5"/>
    <n v="0.2"/>
    <n v="8"/>
    <s v="B"/>
    <n v="3.86"/>
    <x v="0"/>
    <n v="74.91"/>
    <x v="0"/>
    <n v="8.93"/>
    <n v="11.55"/>
    <n v="4872.1187"/>
    <n v="6301.5645000000004"/>
    <n v="1429.4458000000004"/>
    <n v="0.2268398268398269"/>
    <n v="21.059774000000001"/>
  </r>
  <r>
    <s v="BATCH00812"/>
    <x v="2"/>
    <x v="3"/>
    <x v="0"/>
    <n v="454.09"/>
    <n v="14.48"/>
    <n v="37.159999999999997"/>
    <n v="2.4"/>
    <n v="0"/>
    <n v="1"/>
    <s v="A"/>
    <n v="7.67"/>
    <x v="0"/>
    <n v="85.64"/>
    <x v="0"/>
    <n v="8.42"/>
    <n v="6.13"/>
    <n v="3823.4377999999997"/>
    <n v="2783.5717"/>
    <n v="-1039.8660999999997"/>
    <n v="-0.37357259380097868"/>
    <n v="34.828702999999997"/>
  </r>
  <r>
    <s v="BATCH00813"/>
    <x v="1"/>
    <x v="1"/>
    <x v="0"/>
    <n v="430.54"/>
    <n v="8.2899999999999991"/>
    <n v="29.9"/>
    <n v="0.4"/>
    <n v="3.5"/>
    <n v="9"/>
    <s v="B"/>
    <n v="3.57"/>
    <x v="0"/>
    <n v="80.44"/>
    <x v="2"/>
    <n v="7.51"/>
    <n v="10.82"/>
    <n v="3233.3553999999999"/>
    <n v="4658.4428000000007"/>
    <n v="1425.0874000000008"/>
    <n v="0.30591497227356756"/>
    <n v="15.370278000000001"/>
  </r>
  <r>
    <s v="BATCH00814"/>
    <x v="1"/>
    <x v="1"/>
    <x v="0"/>
    <n v="384.56"/>
    <n v="14.18"/>
    <n v="22.62"/>
    <n v="1.6"/>
    <n v="0.6"/>
    <n v="19"/>
    <s v="A"/>
    <n v="7.98"/>
    <x v="0"/>
    <n v="99.18"/>
    <x v="1"/>
    <n v="9.09"/>
    <n v="8.19"/>
    <n v="3495.6504"/>
    <n v="3149.5463999999997"/>
    <n v="-346.10400000000027"/>
    <n v="-0.10989010989010999"/>
    <n v="30.687888000000001"/>
  </r>
  <r>
    <s v="BATCH00815"/>
    <x v="2"/>
    <x v="1"/>
    <x v="0"/>
    <n v="324.82"/>
    <n v="13.1"/>
    <n v="33.92"/>
    <n v="0.6"/>
    <n v="3.5"/>
    <n v="21"/>
    <s v="B"/>
    <n v="6.96"/>
    <x v="1"/>
    <n v="59.5"/>
    <x v="0"/>
    <n v="7.96"/>
    <n v="8.83"/>
    <n v="2585.5672"/>
    <n v="2868.1606000000002"/>
    <n v="282.5934000000002"/>
    <n v="9.8527746319365866E-2"/>
    <n v="22.607471999999998"/>
  </r>
  <r>
    <s v="BATCH00816"/>
    <x v="2"/>
    <x v="1"/>
    <x v="0"/>
    <n v="461.01"/>
    <n v="13.46"/>
    <n v="24.12"/>
    <n v="6.2"/>
    <n v="0.2"/>
    <n v="9"/>
    <s v="C"/>
    <n v="5.99"/>
    <x v="2"/>
    <n v="72.45"/>
    <x v="0"/>
    <n v="6.64"/>
    <n v="9.4"/>
    <n v="3061.1063999999997"/>
    <n v="4333.4939999999997"/>
    <n v="1272.3876"/>
    <n v="0.29361702127659578"/>
    <n v="27.614499000000002"/>
  </r>
  <r>
    <s v="BATCH00817"/>
    <x v="0"/>
    <x v="0"/>
    <x v="0"/>
    <n v="515.80999999999995"/>
    <n v="11.59"/>
    <n v="28.82"/>
    <n v="0.1"/>
    <n v="0.9"/>
    <n v="21"/>
    <s v="A"/>
    <n v="4"/>
    <x v="2"/>
    <n v="95.91"/>
    <x v="1"/>
    <n v="9.86"/>
    <n v="9.23"/>
    <n v="5085.8865999999989"/>
    <n v="4760.9263000000001"/>
    <n v="-324.96029999999882"/>
    <n v="-6.8255687973997586E-2"/>
    <n v="20.632399999999997"/>
  </r>
  <r>
    <s v="BATCH00818"/>
    <x v="1"/>
    <x v="0"/>
    <x v="1"/>
    <n v="490.34"/>
    <n v="8.81"/>
    <n v="21.3"/>
    <n v="0.4"/>
    <n v="0.2"/>
    <n v="25"/>
    <s v="C"/>
    <n v="2.4500000000000002"/>
    <x v="1"/>
    <n v="95.74"/>
    <x v="0"/>
    <n v="7.86"/>
    <n v="11.64"/>
    <n v="3854.0724"/>
    <n v="5707.5576000000001"/>
    <n v="1853.4852000000001"/>
    <n v="0.32474226804123713"/>
    <n v="12.013330000000002"/>
  </r>
  <r>
    <s v="BATCH00819"/>
    <x v="2"/>
    <x v="2"/>
    <x v="1"/>
    <n v="458.4"/>
    <n v="9.93"/>
    <n v="36.51"/>
    <n v="0.6"/>
    <n v="1.6"/>
    <n v="10"/>
    <s v="A"/>
    <n v="7.25"/>
    <x v="1"/>
    <n v="74.77"/>
    <x v="0"/>
    <n v="7.21"/>
    <n v="12.68"/>
    <n v="3305.0639999999999"/>
    <n v="5812.5119999999997"/>
    <n v="2507.4479999999999"/>
    <n v="0.43138801261829651"/>
    <n v="33.233999999999995"/>
  </r>
  <r>
    <s v="BATCH00820"/>
    <x v="0"/>
    <x v="1"/>
    <x v="0"/>
    <n v="405.43"/>
    <n v="17.510000000000002"/>
    <n v="22.52"/>
    <n v="1.1000000000000001"/>
    <n v="1.5"/>
    <n v="24"/>
    <s v="C"/>
    <n v="1.37"/>
    <x v="2"/>
    <n v="56.74"/>
    <x v="1"/>
    <n v="5.86"/>
    <n v="8.2899999999999991"/>
    <n v="2375.8198000000002"/>
    <n v="3361.0146999999997"/>
    <n v="985.19489999999951"/>
    <n v="0.29312424607961385"/>
    <n v="5.5543910000000007"/>
  </r>
  <r>
    <s v="BATCH00821"/>
    <x v="1"/>
    <x v="0"/>
    <x v="1"/>
    <n v="560.82000000000005"/>
    <n v="12.09"/>
    <n v="38.06"/>
    <n v="0.5"/>
    <n v="0.1"/>
    <n v="23"/>
    <s v="C"/>
    <n v="9.7200000000000006"/>
    <x v="2"/>
    <n v="90.75"/>
    <x v="2"/>
    <n v="9.32"/>
    <n v="14.24"/>
    <n v="5226.8424000000005"/>
    <n v="7986.0768000000007"/>
    <n v="2759.2344000000003"/>
    <n v="0.3455056179775281"/>
    <n v="54.511704000000009"/>
  </r>
  <r>
    <s v="BATCH00822"/>
    <x v="3"/>
    <x v="3"/>
    <x v="1"/>
    <n v="368.29"/>
    <n v="12.67"/>
    <n v="37.28"/>
    <n v="1.4"/>
    <n v="2.4"/>
    <n v="11"/>
    <s v="B"/>
    <n v="9.8000000000000007"/>
    <x v="0"/>
    <n v="79.260000000000005"/>
    <x v="2"/>
    <n v="5.07"/>
    <n v="14.38"/>
    <n v="1867.2303000000002"/>
    <n v="5296.0102000000006"/>
    <n v="3428.7799000000005"/>
    <n v="0.64742698191933246"/>
    <n v="36.092420000000004"/>
  </r>
  <r>
    <s v="BATCH00823"/>
    <x v="0"/>
    <x v="1"/>
    <x v="0"/>
    <n v="577.6"/>
    <n v="8.5299999999999994"/>
    <n v="29.29"/>
    <n v="4.0999999999999996"/>
    <n v="0.2"/>
    <n v="1"/>
    <s v="A"/>
    <n v="1.74"/>
    <x v="2"/>
    <n v="88.66"/>
    <x v="0"/>
    <n v="3.06"/>
    <n v="5.41"/>
    <n v="1767.4560000000001"/>
    <n v="3124.8160000000003"/>
    <n v="1357.3600000000001"/>
    <n v="0.43438077634011091"/>
    <n v="10.050240000000001"/>
  </r>
  <r>
    <s v="BATCH00824"/>
    <x v="1"/>
    <x v="2"/>
    <x v="1"/>
    <n v="399.78"/>
    <n v="8.3800000000000008"/>
    <n v="34.89"/>
    <n v="2.5"/>
    <n v="0.9"/>
    <n v="20"/>
    <s v="B"/>
    <n v="1.49"/>
    <x v="0"/>
    <n v="73.13"/>
    <x v="0"/>
    <n v="4.38"/>
    <n v="5.15"/>
    <n v="1751.0363999999997"/>
    <n v="2058.8670000000002"/>
    <n v="307.83060000000046"/>
    <n v="0.14951456310679634"/>
    <n v="5.9567220000000001"/>
  </r>
  <r>
    <s v="BATCH00825"/>
    <x v="1"/>
    <x v="2"/>
    <x v="0"/>
    <n v="424.76"/>
    <n v="15.17"/>
    <n v="32.39"/>
    <n v="1.7"/>
    <n v="4.2"/>
    <n v="25"/>
    <s v="C"/>
    <n v="4.42"/>
    <x v="0"/>
    <n v="60.19"/>
    <x v="1"/>
    <n v="3.77"/>
    <n v="9.25"/>
    <n v="1601.3452"/>
    <n v="3929.0299999999997"/>
    <n v="2327.6848"/>
    <n v="0.59243243243243249"/>
    <n v="18.774391999999999"/>
  </r>
  <r>
    <s v="BATCH00826"/>
    <x v="0"/>
    <x v="2"/>
    <x v="0"/>
    <n v="353.32"/>
    <n v="13.38"/>
    <n v="36.06"/>
    <n v="0.2"/>
    <n v="2.1"/>
    <n v="26"/>
    <s v="A"/>
    <n v="9.65"/>
    <x v="2"/>
    <n v="51.2"/>
    <x v="1"/>
    <n v="5.23"/>
    <n v="10.91"/>
    <n v="1847.8636000000001"/>
    <n v="3854.7212"/>
    <n v="2006.8575999999998"/>
    <n v="0.52062328139321723"/>
    <n v="34.095379999999999"/>
  </r>
  <r>
    <s v="BATCH00827"/>
    <x v="3"/>
    <x v="3"/>
    <x v="0"/>
    <n v="449.86"/>
    <n v="13.09"/>
    <n v="28.64"/>
    <n v="2.4"/>
    <n v="3.1"/>
    <n v="8"/>
    <s v="C"/>
    <n v="4.3"/>
    <x v="0"/>
    <n v="77.959999999999994"/>
    <x v="0"/>
    <n v="8.7799999999999994"/>
    <n v="7.78"/>
    <n v="3949.7707999999998"/>
    <n v="3499.9108000000001"/>
    <n v="-449.85999999999967"/>
    <n v="-0.12853470437017986"/>
    <n v="19.343979999999998"/>
  </r>
  <r>
    <s v="BATCH00828"/>
    <x v="0"/>
    <x v="0"/>
    <x v="1"/>
    <n v="597.53"/>
    <n v="10.43"/>
    <n v="35.72"/>
    <n v="0.4"/>
    <n v="0.4"/>
    <n v="20"/>
    <s v="C"/>
    <n v="3.96"/>
    <x v="0"/>
    <n v="58.05"/>
    <x v="0"/>
    <n v="7.56"/>
    <n v="7.59"/>
    <n v="4517.3267999999998"/>
    <n v="4535.2527"/>
    <n v="17.925900000000183"/>
    <n v="3.9525691699605148E-3"/>
    <n v="23.662187999999997"/>
  </r>
  <r>
    <s v="BATCH00829"/>
    <x v="1"/>
    <x v="3"/>
    <x v="1"/>
    <n v="551.55999999999995"/>
    <n v="15.45"/>
    <n v="29.25"/>
    <n v="3.1"/>
    <n v="0.1"/>
    <n v="12"/>
    <s v="C"/>
    <n v="7.18"/>
    <x v="1"/>
    <n v="59.36"/>
    <x v="2"/>
    <n v="4.18"/>
    <n v="11.78"/>
    <n v="2305.5207999999998"/>
    <n v="6497.3767999999991"/>
    <n v="4191.8559999999998"/>
    <n v="0.64516129032258074"/>
    <n v="39.602007999999998"/>
  </r>
  <r>
    <s v="BATCH00830"/>
    <x v="2"/>
    <x v="1"/>
    <x v="1"/>
    <n v="597.84"/>
    <n v="9.68"/>
    <n v="38.82"/>
    <n v="0.6"/>
    <n v="0.2"/>
    <n v="1"/>
    <s v="C"/>
    <n v="2.2000000000000002"/>
    <x v="2"/>
    <n v="71.819999999999993"/>
    <x v="2"/>
    <n v="8.52"/>
    <n v="11.02"/>
    <n v="5093.5968000000003"/>
    <n v="6588.1967999999997"/>
    <n v="1494.5999999999995"/>
    <n v="0.22686025408348451"/>
    <n v="13.152480000000002"/>
  </r>
  <r>
    <s v="BATCH00831"/>
    <x v="2"/>
    <x v="2"/>
    <x v="1"/>
    <n v="552.21"/>
    <n v="9.9"/>
    <n v="29.73"/>
    <n v="1.1000000000000001"/>
    <n v="0.7"/>
    <n v="10"/>
    <s v="B"/>
    <n v="3.95"/>
    <x v="1"/>
    <n v="72.099999999999994"/>
    <x v="2"/>
    <n v="6.53"/>
    <n v="6.67"/>
    <n v="3605.9313000000002"/>
    <n v="3683.2407000000003"/>
    <n v="77.309400000000096"/>
    <n v="2.0989505247376337E-2"/>
    <n v="21.812295000000002"/>
  </r>
  <r>
    <s v="BATCH00832"/>
    <x v="0"/>
    <x v="3"/>
    <x v="0"/>
    <n v="389.63"/>
    <n v="12.61"/>
    <n v="29.25"/>
    <n v="0.9"/>
    <n v="1.6"/>
    <n v="4"/>
    <s v="C"/>
    <n v="3.27"/>
    <x v="0"/>
    <n v="63.72"/>
    <x v="2"/>
    <n v="6.59"/>
    <n v="13.85"/>
    <n v="2567.6617000000001"/>
    <n v="5396.3755000000001"/>
    <n v="2828.7138"/>
    <n v="0.52418772563176896"/>
    <n v="12.740900999999999"/>
  </r>
  <r>
    <s v="BATCH00833"/>
    <x v="1"/>
    <x v="3"/>
    <x v="0"/>
    <n v="466.92"/>
    <n v="10.86"/>
    <n v="35.700000000000003"/>
    <n v="3.9"/>
    <n v="0.2"/>
    <n v="15"/>
    <s v="B"/>
    <n v="6.21"/>
    <x v="0"/>
    <n v="56.6"/>
    <x v="1"/>
    <n v="5.53"/>
    <n v="11.8"/>
    <n v="2582.0676000000003"/>
    <n v="5509.6560000000009"/>
    <n v="2927.5884000000005"/>
    <n v="0.53135593220338984"/>
    <n v="28.995732000000004"/>
  </r>
  <r>
    <s v="BATCH00834"/>
    <x v="2"/>
    <x v="0"/>
    <x v="1"/>
    <n v="421.98"/>
    <n v="10.47"/>
    <n v="36.43"/>
    <n v="0.3"/>
    <n v="1.1000000000000001"/>
    <n v="19"/>
    <s v="C"/>
    <n v="2.0499999999999998"/>
    <x v="1"/>
    <n v="97.25"/>
    <x v="2"/>
    <n v="9.0500000000000007"/>
    <n v="8.6300000000000008"/>
    <n v="3818.9190000000003"/>
    <n v="3641.6874000000007"/>
    <n v="-177.23159999999962"/>
    <n v="-4.8667439165700925E-2"/>
    <n v="8.6505899999999993"/>
  </r>
  <r>
    <s v="BATCH00835"/>
    <x v="1"/>
    <x v="0"/>
    <x v="0"/>
    <n v="633.05999999999995"/>
    <n v="14.45"/>
    <n v="31.09"/>
    <n v="1.7"/>
    <n v="0.4"/>
    <n v="6"/>
    <s v="A"/>
    <n v="5.71"/>
    <x v="1"/>
    <n v="56.58"/>
    <x v="2"/>
    <n v="5.23"/>
    <n v="11.84"/>
    <n v="3310.9038"/>
    <n v="7495.4303999999993"/>
    <n v="4184.5265999999992"/>
    <n v="0.55827702702702697"/>
    <n v="36.147725999999999"/>
  </r>
  <r>
    <s v="BATCH00836"/>
    <x v="0"/>
    <x v="2"/>
    <x v="0"/>
    <n v="380.32"/>
    <n v="14.51"/>
    <n v="23.6"/>
    <n v="0.3"/>
    <n v="0.4"/>
    <n v="27"/>
    <s v="C"/>
    <n v="8.65"/>
    <x v="1"/>
    <n v="67.540000000000006"/>
    <x v="0"/>
    <n v="3.66"/>
    <n v="6.13"/>
    <n v="1391.9712"/>
    <n v="2331.3615999999997"/>
    <n v="939.39039999999977"/>
    <n v="0.40293637846655789"/>
    <n v="32.897680000000001"/>
  </r>
  <r>
    <s v="BATCH00837"/>
    <x v="2"/>
    <x v="3"/>
    <x v="1"/>
    <n v="589.37"/>
    <n v="16.25"/>
    <n v="29.36"/>
    <n v="2.4"/>
    <n v="1.1000000000000001"/>
    <n v="5"/>
    <s v="C"/>
    <n v="5.38"/>
    <x v="0"/>
    <n v="65.239999999999995"/>
    <x v="2"/>
    <n v="5.12"/>
    <n v="9.68"/>
    <n v="3017.5744"/>
    <n v="5705.1016"/>
    <n v="2687.5272"/>
    <n v="0.47107438016528924"/>
    <n v="31.708105999999997"/>
  </r>
  <r>
    <s v="BATCH00838"/>
    <x v="1"/>
    <x v="3"/>
    <x v="0"/>
    <n v="589.29999999999995"/>
    <n v="12.18"/>
    <n v="39.36"/>
    <n v="4.7"/>
    <n v="0.6"/>
    <n v="5"/>
    <s v="A"/>
    <n v="6.99"/>
    <x v="2"/>
    <n v="93.32"/>
    <x v="0"/>
    <n v="8.01"/>
    <n v="6.69"/>
    <n v="4720.2929999999997"/>
    <n v="3942.4169999999999"/>
    <n v="-777.87599999999975"/>
    <n v="-0.19730941704035868"/>
    <n v="41.192069999999994"/>
  </r>
  <r>
    <s v="BATCH00839"/>
    <x v="2"/>
    <x v="0"/>
    <x v="1"/>
    <n v="682.96"/>
    <n v="8.73"/>
    <n v="35.06"/>
    <n v="1.1000000000000001"/>
    <n v="1.7"/>
    <n v="18"/>
    <s v="A"/>
    <n v="1.21"/>
    <x v="0"/>
    <n v="70.5"/>
    <x v="0"/>
    <n v="7.6"/>
    <n v="5.41"/>
    <n v="5190.4960000000001"/>
    <n v="3694.8136000000004"/>
    <n v="-1495.6823999999997"/>
    <n v="-0.40480591497227342"/>
    <n v="8.2638160000000003"/>
  </r>
  <r>
    <s v="BATCH00840"/>
    <x v="0"/>
    <x v="3"/>
    <x v="0"/>
    <n v="459.03"/>
    <n v="10.74"/>
    <n v="36.22"/>
    <n v="1.3"/>
    <n v="0.2"/>
    <n v="28"/>
    <s v="C"/>
    <n v="4.7699999999999996"/>
    <x v="1"/>
    <n v="56.2"/>
    <x v="2"/>
    <n v="4.32"/>
    <n v="8.3800000000000008"/>
    <n v="1983.0096000000001"/>
    <n v="3846.6714000000002"/>
    <n v="1863.6618000000001"/>
    <n v="0.48448687350835323"/>
    <n v="21.895730999999998"/>
  </r>
  <r>
    <s v="BATCH00841"/>
    <x v="1"/>
    <x v="3"/>
    <x v="1"/>
    <n v="571.23"/>
    <n v="17.8"/>
    <n v="20.66"/>
    <n v="5.2"/>
    <n v="1.6"/>
    <n v="3"/>
    <s v="C"/>
    <n v="1.4"/>
    <x v="2"/>
    <n v="50.51"/>
    <x v="2"/>
    <n v="3.78"/>
    <n v="6.51"/>
    <n v="2159.2494000000002"/>
    <n v="3718.7073"/>
    <n v="1559.4578999999999"/>
    <n v="0.41935483870967738"/>
    <n v="7.9972199999999996"/>
  </r>
  <r>
    <s v="BATCH00842"/>
    <x v="2"/>
    <x v="3"/>
    <x v="0"/>
    <n v="728.17"/>
    <n v="13.96"/>
    <n v="29.36"/>
    <n v="1.5"/>
    <n v="0.1"/>
    <n v="27"/>
    <s v="B"/>
    <n v="6.19"/>
    <x v="1"/>
    <n v="86.1"/>
    <x v="0"/>
    <n v="7.63"/>
    <n v="11.34"/>
    <n v="5555.9370999999992"/>
    <n v="8257.4477999999999"/>
    <n v="2701.5107000000007"/>
    <n v="0.32716049382716056"/>
    <n v="45.073723000000001"/>
  </r>
  <r>
    <s v="BATCH00843"/>
    <x v="0"/>
    <x v="0"/>
    <x v="0"/>
    <n v="438.24"/>
    <n v="15.1"/>
    <n v="32.93"/>
    <n v="1.3"/>
    <n v="0.2"/>
    <n v="22"/>
    <s v="A"/>
    <n v="3.17"/>
    <x v="0"/>
    <n v="85.73"/>
    <x v="1"/>
    <n v="7.73"/>
    <n v="11.74"/>
    <n v="3387.5952000000002"/>
    <n v="5144.9376000000002"/>
    <n v="1757.3424"/>
    <n v="0.34156729131175467"/>
    <n v="13.892208"/>
  </r>
  <r>
    <s v="BATCH00844"/>
    <x v="2"/>
    <x v="2"/>
    <x v="1"/>
    <n v="346.5"/>
    <n v="8.07"/>
    <n v="36.6"/>
    <n v="1.7"/>
    <n v="1.1000000000000001"/>
    <n v="2"/>
    <s v="A"/>
    <n v="3.23"/>
    <x v="2"/>
    <n v="70.89"/>
    <x v="0"/>
    <n v="5.56"/>
    <n v="6.49"/>
    <n v="1926.54"/>
    <n v="2248.7849999999999"/>
    <n v="322.24499999999989"/>
    <n v="0.14329738058551614"/>
    <n v="11.191949999999999"/>
  </r>
  <r>
    <s v="BATCH00845"/>
    <x v="2"/>
    <x v="1"/>
    <x v="1"/>
    <n v="312"/>
    <n v="13.18"/>
    <n v="20.99"/>
    <n v="2.2999999999999998"/>
    <n v="1.9"/>
    <n v="4"/>
    <s v="B"/>
    <n v="1.23"/>
    <x v="2"/>
    <n v="56.32"/>
    <x v="1"/>
    <n v="8.9"/>
    <n v="5.25"/>
    <n v="2776.8"/>
    <n v="1638"/>
    <n v="-1138.8000000000002"/>
    <n v="-0.69523809523809532"/>
    <n v="3.8376000000000001"/>
  </r>
  <r>
    <s v="BATCH00846"/>
    <x v="3"/>
    <x v="2"/>
    <x v="1"/>
    <n v="571.27"/>
    <n v="8.3800000000000008"/>
    <n v="37.049999999999997"/>
    <n v="0.2"/>
    <n v="0.3"/>
    <n v="18"/>
    <s v="C"/>
    <n v="3.45"/>
    <x v="0"/>
    <n v="68.58"/>
    <x v="1"/>
    <n v="9.85"/>
    <n v="12.93"/>
    <n v="5627.0094999999992"/>
    <n v="7386.5210999999999"/>
    <n v="1759.5116000000007"/>
    <n v="0.23820572312451674"/>
    <n v="19.708815000000001"/>
  </r>
  <r>
    <s v="BATCH00847"/>
    <x v="3"/>
    <x v="1"/>
    <x v="1"/>
    <n v="311.68"/>
    <n v="13.69"/>
    <n v="30.97"/>
    <n v="3.4"/>
    <n v="0.4"/>
    <n v="9"/>
    <s v="C"/>
    <n v="5.31"/>
    <x v="1"/>
    <n v="79.489999999999995"/>
    <x v="2"/>
    <n v="4.4400000000000004"/>
    <n v="5.0199999999999996"/>
    <n v="1383.8592000000001"/>
    <n v="1564.6335999999999"/>
    <n v="180.77439999999979"/>
    <n v="0.11553784860557756"/>
    <n v="16.550208000000001"/>
  </r>
  <r>
    <s v="BATCH00848"/>
    <x v="0"/>
    <x v="3"/>
    <x v="0"/>
    <n v="462.77"/>
    <n v="17.21"/>
    <n v="23.95"/>
    <n v="1.1000000000000001"/>
    <n v="0.8"/>
    <n v="19"/>
    <s v="A"/>
    <n v="6.05"/>
    <x v="1"/>
    <n v="85.2"/>
    <x v="2"/>
    <n v="7.04"/>
    <n v="8.44"/>
    <n v="3257.9007999999999"/>
    <n v="3905.7787999999996"/>
    <n v="647.8779999999997"/>
    <n v="0.16587677725118477"/>
    <n v="27.997585000000001"/>
  </r>
  <r>
    <s v="BATCH00849"/>
    <x v="3"/>
    <x v="2"/>
    <x v="0"/>
    <n v="543.73"/>
    <n v="17.68"/>
    <n v="26.35"/>
    <n v="0.2"/>
    <n v="0.2"/>
    <n v="26"/>
    <s v="B"/>
    <n v="1.1299999999999999"/>
    <x v="1"/>
    <n v="53.91"/>
    <x v="2"/>
    <n v="3.04"/>
    <n v="9.9499999999999993"/>
    <n v="1652.9392"/>
    <n v="5410.1134999999995"/>
    <n v="3757.1742999999997"/>
    <n v="0.69447236180904526"/>
    <n v="6.1441489999999996"/>
  </r>
  <r>
    <s v="BATCH00850"/>
    <x v="0"/>
    <x v="1"/>
    <x v="1"/>
    <n v="518.52"/>
    <n v="13.41"/>
    <n v="25.64"/>
    <n v="3.1"/>
    <n v="1.7"/>
    <n v="10"/>
    <s v="C"/>
    <n v="6.69"/>
    <x v="0"/>
    <n v="77.819999999999993"/>
    <x v="2"/>
    <n v="7.99"/>
    <n v="13.19"/>
    <n v="4142.9748"/>
    <n v="6839.2787999999991"/>
    <n v="2696.3039999999992"/>
    <n v="0.39423805913570881"/>
    <n v="34.688988000000002"/>
  </r>
  <r>
    <s v="BATCH00851"/>
    <x v="3"/>
    <x v="0"/>
    <x v="0"/>
    <n v="542.54"/>
    <n v="12.58"/>
    <n v="30.62"/>
    <n v="0.9"/>
    <n v="1.5"/>
    <n v="22"/>
    <s v="A"/>
    <n v="5.14"/>
    <x v="1"/>
    <n v="63.81"/>
    <x v="0"/>
    <n v="5.9"/>
    <n v="13.39"/>
    <n v="3200.9859999999999"/>
    <n v="7264.6106"/>
    <n v="4063.6246000000001"/>
    <n v="0.55937266616878267"/>
    <n v="27.886555999999995"/>
  </r>
  <r>
    <s v="BATCH00852"/>
    <x v="2"/>
    <x v="0"/>
    <x v="1"/>
    <n v="522.23"/>
    <n v="17.45"/>
    <n v="21.03"/>
    <n v="0.2"/>
    <n v="0.2"/>
    <n v="15"/>
    <s v="C"/>
    <n v="5.6"/>
    <x v="2"/>
    <n v="80.86"/>
    <x v="1"/>
    <n v="4.3499999999999996"/>
    <n v="12.25"/>
    <n v="2271.7004999999999"/>
    <n v="6397.3175000000001"/>
    <n v="4125.6170000000002"/>
    <n v="0.64489795918367354"/>
    <n v="29.244879999999998"/>
  </r>
  <r>
    <s v="BATCH00853"/>
    <x v="0"/>
    <x v="2"/>
    <x v="1"/>
    <n v="627.89"/>
    <n v="14.74"/>
    <n v="23.17"/>
    <n v="2"/>
    <n v="0.6"/>
    <n v="1"/>
    <s v="C"/>
    <n v="8.41"/>
    <x v="1"/>
    <n v="82.41"/>
    <x v="0"/>
    <n v="8.27"/>
    <n v="7.47"/>
    <n v="5192.6502999999993"/>
    <n v="4690.3382999999994"/>
    <n v="-502.3119999999999"/>
    <n v="-0.10709504685408298"/>
    <n v="52.805548999999999"/>
  </r>
  <r>
    <s v="BATCH00854"/>
    <x v="0"/>
    <x v="2"/>
    <x v="0"/>
    <n v="404.77"/>
    <n v="8.65"/>
    <n v="36.25"/>
    <n v="4.2"/>
    <n v="1.5"/>
    <n v="29"/>
    <s v="C"/>
    <n v="3.75"/>
    <x v="1"/>
    <n v="95.53"/>
    <x v="1"/>
    <n v="8.67"/>
    <n v="12.2"/>
    <n v="3509.3559"/>
    <n v="4938.1939999999995"/>
    <n v="1428.8380999999995"/>
    <n v="0.28934426229508187"/>
    <n v="15.178874999999998"/>
  </r>
  <r>
    <s v="BATCH00855"/>
    <x v="2"/>
    <x v="3"/>
    <x v="0"/>
    <n v="432.3"/>
    <n v="12.66"/>
    <n v="22.65"/>
    <n v="4.4000000000000004"/>
    <n v="0.4"/>
    <n v="11"/>
    <s v="A"/>
    <n v="2.15"/>
    <x v="2"/>
    <n v="70.52"/>
    <x v="0"/>
    <n v="3.78"/>
    <n v="7.47"/>
    <n v="1634.0940000000001"/>
    <n v="3229.2809999999999"/>
    <n v="1595.1869999999999"/>
    <n v="0.49397590361445781"/>
    <n v="9.2944499999999994"/>
  </r>
  <r>
    <s v="BATCH00856"/>
    <x v="0"/>
    <x v="2"/>
    <x v="1"/>
    <n v="422.73"/>
    <n v="10.4"/>
    <n v="24.67"/>
    <n v="6.3"/>
    <n v="1"/>
    <n v="14"/>
    <s v="B"/>
    <n v="5.74"/>
    <x v="2"/>
    <n v="76.88"/>
    <x v="1"/>
    <n v="3.29"/>
    <n v="7.15"/>
    <n v="1390.7817"/>
    <n v="3022.5195000000003"/>
    <n v="1631.7378000000003"/>
    <n v="0.53986013986013992"/>
    <n v="24.264702000000003"/>
  </r>
  <r>
    <s v="BATCH00857"/>
    <x v="0"/>
    <x v="3"/>
    <x v="1"/>
    <n v="583.02"/>
    <n v="12.7"/>
    <n v="29.07"/>
    <n v="4"/>
    <n v="0.1"/>
    <n v="10"/>
    <s v="B"/>
    <n v="9.48"/>
    <x v="1"/>
    <n v="63.41"/>
    <x v="2"/>
    <n v="5.34"/>
    <n v="10.47"/>
    <n v="3113.3267999999998"/>
    <n v="6104.2194"/>
    <n v="2990.8926000000001"/>
    <n v="0.48997134670487108"/>
    <n v="55.270296000000002"/>
  </r>
  <r>
    <s v="BATCH00858"/>
    <x v="3"/>
    <x v="3"/>
    <x v="1"/>
    <n v="590.04"/>
    <n v="12.55"/>
    <n v="30.34"/>
    <n v="0"/>
    <n v="0.9"/>
    <n v="19"/>
    <s v="C"/>
    <n v="5.42"/>
    <x v="2"/>
    <n v="64.33"/>
    <x v="1"/>
    <n v="7.38"/>
    <n v="11.79"/>
    <n v="4354.4951999999994"/>
    <n v="6956.5715999999993"/>
    <n v="2602.0763999999999"/>
    <n v="0.37404580152671757"/>
    <n v="31.980167999999999"/>
  </r>
  <r>
    <s v="BATCH00859"/>
    <x v="0"/>
    <x v="0"/>
    <x v="0"/>
    <n v="545.12"/>
    <n v="13.82"/>
    <n v="35.270000000000003"/>
    <n v="1"/>
    <n v="0.2"/>
    <n v="24"/>
    <s v="B"/>
    <n v="8.4"/>
    <x v="0"/>
    <n v="52.3"/>
    <x v="2"/>
    <n v="8.5500000000000007"/>
    <n v="5.53"/>
    <n v="4660.7760000000007"/>
    <n v="3014.5136000000002"/>
    <n v="-1646.2624000000005"/>
    <n v="-0.54611211573236906"/>
    <n v="45.790079999999996"/>
  </r>
  <r>
    <s v="BATCH00860"/>
    <x v="1"/>
    <x v="0"/>
    <x v="0"/>
    <n v="618.35"/>
    <n v="11.57"/>
    <n v="28.95"/>
    <n v="3.4"/>
    <n v="1.8"/>
    <n v="21"/>
    <s v="C"/>
    <n v="7.69"/>
    <x v="2"/>
    <n v="64.3"/>
    <x v="1"/>
    <n v="6.82"/>
    <n v="5.6"/>
    <n v="4217.1469999999999"/>
    <n v="3462.7599999999998"/>
    <n v="-754.38700000000017"/>
    <n v="-0.21785714285714292"/>
    <n v="47.551115000000003"/>
  </r>
  <r>
    <s v="BATCH00861"/>
    <x v="2"/>
    <x v="1"/>
    <x v="0"/>
    <n v="382.2"/>
    <n v="9.64"/>
    <n v="35.799999999999997"/>
    <n v="0.9"/>
    <n v="0.4"/>
    <n v="16"/>
    <s v="A"/>
    <n v="5.42"/>
    <x v="0"/>
    <n v="53.19"/>
    <x v="0"/>
    <n v="7.07"/>
    <n v="12.84"/>
    <n v="2702.154"/>
    <n v="4907.4479999999994"/>
    <n v="2205.2939999999994"/>
    <n v="0.44937694704049835"/>
    <n v="20.715239999999998"/>
  </r>
  <r>
    <s v="BATCH00862"/>
    <x v="3"/>
    <x v="0"/>
    <x v="0"/>
    <n v="666.72"/>
    <n v="13.04"/>
    <n v="32.369999999999997"/>
    <n v="1.8"/>
    <n v="0.3"/>
    <n v="8"/>
    <s v="A"/>
    <n v="6.65"/>
    <x v="2"/>
    <n v="98.2"/>
    <x v="1"/>
    <n v="8.6"/>
    <n v="13.59"/>
    <n v="5733.7920000000004"/>
    <n v="9060.7248"/>
    <n v="3326.9327999999996"/>
    <n v="0.36718175128771152"/>
    <n v="44.336880000000001"/>
  </r>
  <r>
    <s v="BATCH00863"/>
    <x v="3"/>
    <x v="0"/>
    <x v="1"/>
    <n v="652.32000000000005"/>
    <n v="16.3"/>
    <n v="22.26"/>
    <n v="1.9"/>
    <n v="1.8"/>
    <n v="2"/>
    <s v="A"/>
    <n v="4.3600000000000003"/>
    <x v="0"/>
    <n v="81.209999999999994"/>
    <x v="0"/>
    <n v="6.7"/>
    <n v="11.04"/>
    <n v="4370.5440000000008"/>
    <n v="7201.6127999999999"/>
    <n v="2831.0687999999991"/>
    <n v="0.39311594202898537"/>
    <n v="28.441152000000006"/>
  </r>
  <r>
    <s v="BATCH00864"/>
    <x v="1"/>
    <x v="2"/>
    <x v="1"/>
    <n v="573.55999999999995"/>
    <n v="14.64"/>
    <n v="23.13"/>
    <n v="0.9"/>
    <n v="0.1"/>
    <n v="23"/>
    <s v="C"/>
    <n v="5.54"/>
    <x v="0"/>
    <n v="58.66"/>
    <x v="0"/>
    <n v="7.28"/>
    <n v="9.2899999999999991"/>
    <n v="4175.5167999999994"/>
    <n v="5328.3723999999993"/>
    <n v="1152.8555999999999"/>
    <n v="0.2163616792249731"/>
    <n v="31.775223999999998"/>
  </r>
  <r>
    <s v="BATCH00865"/>
    <x v="2"/>
    <x v="0"/>
    <x v="1"/>
    <n v="678.18"/>
    <n v="11.38"/>
    <n v="28.74"/>
    <n v="4.7"/>
    <n v="0.5"/>
    <n v="25"/>
    <s v="B"/>
    <n v="5.32"/>
    <x v="1"/>
    <n v="55.84"/>
    <x v="2"/>
    <n v="6.61"/>
    <n v="13.45"/>
    <n v="4482.7698"/>
    <n v="9121.5209999999988"/>
    <n v="4638.7511999999988"/>
    <n v="0.5085501858736059"/>
    <n v="36.079175999999997"/>
  </r>
  <r>
    <s v="BATCH00866"/>
    <x v="2"/>
    <x v="1"/>
    <x v="1"/>
    <n v="334.34"/>
    <n v="17.36"/>
    <n v="27.94"/>
    <n v="1.4"/>
    <n v="0.5"/>
    <n v="7"/>
    <s v="A"/>
    <n v="7.24"/>
    <x v="2"/>
    <n v="68.510000000000005"/>
    <x v="1"/>
    <n v="9.16"/>
    <n v="12.29"/>
    <n v="3062.5544"/>
    <n v="4109.0385999999999"/>
    <n v="1046.4841999999999"/>
    <n v="0.25467860048820179"/>
    <n v="24.206215999999998"/>
  </r>
  <r>
    <s v="BATCH00867"/>
    <x v="3"/>
    <x v="2"/>
    <x v="1"/>
    <n v="447.56"/>
    <n v="17.12"/>
    <n v="34.869999999999997"/>
    <n v="1.3"/>
    <n v="0.3"/>
    <n v="19"/>
    <s v="C"/>
    <n v="4.3899999999999997"/>
    <x v="2"/>
    <n v="65.38"/>
    <x v="0"/>
    <n v="4.6500000000000004"/>
    <n v="10.8"/>
    <n v="2081.154"/>
    <n v="4833.6480000000001"/>
    <n v="2752.4940000000001"/>
    <n v="0.56944444444444442"/>
    <n v="19.647883999999998"/>
  </r>
  <r>
    <s v="BATCH00868"/>
    <x v="0"/>
    <x v="1"/>
    <x v="1"/>
    <n v="426.47"/>
    <n v="10.09"/>
    <n v="31.61"/>
    <n v="12"/>
    <n v="2.4"/>
    <n v="7"/>
    <s v="B"/>
    <n v="1.45"/>
    <x v="2"/>
    <n v="63.96"/>
    <x v="1"/>
    <n v="4.8499999999999996"/>
    <n v="8.1999999999999993"/>
    <n v="2068.3795"/>
    <n v="3497.0540000000001"/>
    <n v="1428.6745000000001"/>
    <n v="0.40853658536585369"/>
    <n v="6.1838150000000009"/>
  </r>
  <r>
    <s v="BATCH00869"/>
    <x v="3"/>
    <x v="0"/>
    <x v="0"/>
    <n v="572.15"/>
    <n v="8.39"/>
    <n v="27.76"/>
    <n v="1.4"/>
    <n v="1.4"/>
    <n v="15"/>
    <s v="B"/>
    <n v="7.99"/>
    <x v="0"/>
    <n v="73.41"/>
    <x v="2"/>
    <n v="3.9"/>
    <n v="6.98"/>
    <n v="2231.3849999999998"/>
    <n v="3993.607"/>
    <n v="1762.2220000000002"/>
    <n v="0.44126074498567341"/>
    <n v="45.714784999999999"/>
  </r>
  <r>
    <s v="BATCH00870"/>
    <x v="2"/>
    <x v="1"/>
    <x v="0"/>
    <n v="394.99"/>
    <n v="15.41"/>
    <n v="23.42"/>
    <n v="0.4"/>
    <n v="0.1"/>
    <n v="8"/>
    <s v="B"/>
    <n v="7.01"/>
    <x v="1"/>
    <n v="95.64"/>
    <x v="2"/>
    <n v="8.74"/>
    <n v="9.19"/>
    <n v="3452.2126000000003"/>
    <n v="3629.9580999999998"/>
    <n v="177.74549999999954"/>
    <n v="4.8966267682263205E-2"/>
    <n v="27.688798999999999"/>
  </r>
  <r>
    <s v="BATCH00871"/>
    <x v="1"/>
    <x v="2"/>
    <x v="1"/>
    <n v="575.75"/>
    <n v="16.28"/>
    <n v="24.54"/>
    <n v="1.4"/>
    <n v="1.3"/>
    <n v="14"/>
    <s v="C"/>
    <n v="9.5299999999999994"/>
    <x v="2"/>
    <n v="78.400000000000006"/>
    <x v="1"/>
    <n v="5.88"/>
    <n v="7.87"/>
    <n v="3385.41"/>
    <n v="4531.1525000000001"/>
    <n v="1145.7425000000003"/>
    <n v="0.25285895806861503"/>
    <n v="54.868974999999999"/>
  </r>
  <r>
    <s v="BATCH00872"/>
    <x v="3"/>
    <x v="3"/>
    <x v="1"/>
    <n v="637.04999999999995"/>
    <n v="17.68"/>
    <n v="31.51"/>
    <n v="3.4"/>
    <n v="0.7"/>
    <n v="1"/>
    <s v="C"/>
    <n v="4.57"/>
    <x v="1"/>
    <n v="76.06"/>
    <x v="0"/>
    <n v="5.44"/>
    <n v="8.39"/>
    <n v="3465.5520000000001"/>
    <n v="5344.8495000000003"/>
    <n v="1879.2975000000001"/>
    <n v="0.35160905840286055"/>
    <n v="29.113184999999998"/>
  </r>
  <r>
    <s v="BATCH00873"/>
    <x v="2"/>
    <x v="1"/>
    <x v="0"/>
    <n v="569.52"/>
    <n v="16.899999999999999"/>
    <n v="28.47"/>
    <n v="3"/>
    <n v="2.2999999999999998"/>
    <n v="29"/>
    <s v="C"/>
    <n v="1.24"/>
    <x v="1"/>
    <n v="90.33"/>
    <x v="0"/>
    <n v="9.8699999999999992"/>
    <n v="10.16"/>
    <n v="5621.1623999999993"/>
    <n v="5786.3231999999998"/>
    <n v="165.16080000000056"/>
    <n v="2.8543307086614272E-2"/>
    <n v="7.0620479999999999"/>
  </r>
  <r>
    <s v="BATCH00874"/>
    <x v="3"/>
    <x v="1"/>
    <x v="0"/>
    <n v="528.38"/>
    <n v="14.01"/>
    <n v="30.3"/>
    <n v="3.1"/>
    <n v="0.4"/>
    <n v="13"/>
    <s v="A"/>
    <n v="1.66"/>
    <x v="0"/>
    <n v="50.2"/>
    <x v="0"/>
    <n v="9.49"/>
    <n v="6.69"/>
    <n v="5014.3262000000004"/>
    <n v="3534.8622"/>
    <n v="-1479.4640000000004"/>
    <n v="-0.41853512705530654"/>
    <n v="8.7711079999999999"/>
  </r>
  <r>
    <s v="BATCH00875"/>
    <x v="0"/>
    <x v="2"/>
    <x v="0"/>
    <n v="401.21"/>
    <n v="13.3"/>
    <n v="23.41"/>
    <n v="2.5"/>
    <n v="0.9"/>
    <n v="3"/>
    <s v="C"/>
    <n v="7.85"/>
    <x v="2"/>
    <n v="59.87"/>
    <x v="1"/>
    <n v="9.8000000000000007"/>
    <n v="13.06"/>
    <n v="3931.8580000000002"/>
    <n v="5239.8026"/>
    <n v="1307.9445999999998"/>
    <n v="0.24961715160796322"/>
    <n v="31.494984999999996"/>
  </r>
  <r>
    <s v="BATCH00876"/>
    <x v="3"/>
    <x v="2"/>
    <x v="0"/>
    <n v="415.31"/>
    <n v="8.2799999999999994"/>
    <n v="33.26"/>
    <n v="0.6"/>
    <n v="0.7"/>
    <n v="21"/>
    <s v="A"/>
    <n v="1.1399999999999999"/>
    <x v="1"/>
    <n v="74.81"/>
    <x v="0"/>
    <n v="4"/>
    <n v="6.46"/>
    <n v="1661.24"/>
    <n v="2682.9025999999999"/>
    <n v="1021.6625999999999"/>
    <n v="0.38080495356037147"/>
    <n v="4.734534"/>
  </r>
  <r>
    <s v="BATCH00877"/>
    <x v="3"/>
    <x v="1"/>
    <x v="1"/>
    <n v="624.96"/>
    <n v="10.47"/>
    <n v="37.049999999999997"/>
    <n v="4"/>
    <n v="0.7"/>
    <n v="28"/>
    <s v="A"/>
    <n v="9.1199999999999992"/>
    <x v="2"/>
    <n v="85.27"/>
    <x v="0"/>
    <n v="9.24"/>
    <n v="9.81"/>
    <n v="5774.6304000000009"/>
    <n v="6130.8576000000003"/>
    <n v="356.22719999999936"/>
    <n v="5.8103975535168086E-2"/>
    <n v="56.996351999999995"/>
  </r>
  <r>
    <s v="BATCH00878"/>
    <x v="2"/>
    <x v="0"/>
    <x v="1"/>
    <n v="577.92999999999995"/>
    <n v="12.6"/>
    <n v="25.16"/>
    <n v="4.5"/>
    <n v="0.6"/>
    <n v="6"/>
    <s v="A"/>
    <n v="3.18"/>
    <x v="2"/>
    <n v="74.25"/>
    <x v="0"/>
    <n v="5.3"/>
    <n v="12.46"/>
    <n v="3063.0289999999995"/>
    <n v="7201.0078000000003"/>
    <n v="4137.9788000000008"/>
    <n v="0.57463884430176571"/>
    <n v="18.378173999999998"/>
  </r>
  <r>
    <s v="BATCH00879"/>
    <x v="2"/>
    <x v="1"/>
    <x v="1"/>
    <n v="496.1"/>
    <n v="14.29"/>
    <n v="29.83"/>
    <n v="0.4"/>
    <n v="0.2"/>
    <n v="19"/>
    <s v="C"/>
    <n v="9.0399999999999991"/>
    <x v="2"/>
    <n v="58.19"/>
    <x v="2"/>
    <n v="3.09"/>
    <n v="9.85"/>
    <n v="1532.9490000000001"/>
    <n v="4886.585"/>
    <n v="3353.636"/>
    <n v="0.68629441624365484"/>
    <n v="44.847439999999999"/>
  </r>
  <r>
    <s v="BATCH00880"/>
    <x v="2"/>
    <x v="2"/>
    <x v="1"/>
    <n v="458.21"/>
    <n v="13.57"/>
    <n v="39.51"/>
    <n v="0.3"/>
    <n v="1.4"/>
    <n v="15"/>
    <s v="A"/>
    <n v="7.85"/>
    <x v="1"/>
    <n v="96.5"/>
    <x v="0"/>
    <n v="5.74"/>
    <n v="8.61"/>
    <n v="2630.1253999999999"/>
    <n v="3945.1880999999994"/>
    <n v="1315.0626999999995"/>
    <n v="0.33333333333333326"/>
    <n v="35.969484999999992"/>
  </r>
  <r>
    <s v="BATCH00881"/>
    <x v="3"/>
    <x v="3"/>
    <x v="1"/>
    <n v="297.42"/>
    <n v="15.43"/>
    <n v="26.66"/>
    <n v="7.4"/>
    <n v="0.6"/>
    <n v="4"/>
    <s v="C"/>
    <n v="8.7799999999999994"/>
    <x v="0"/>
    <n v="66.430000000000007"/>
    <x v="1"/>
    <n v="6.56"/>
    <n v="9.75"/>
    <n v="1951.0752"/>
    <n v="2899.8450000000003"/>
    <n v="948.76980000000026"/>
    <n v="0.32717948717948725"/>
    <n v="26.113476000000002"/>
  </r>
  <r>
    <s v="BATCH00882"/>
    <x v="0"/>
    <x v="3"/>
    <x v="0"/>
    <n v="392.91"/>
    <n v="10.8"/>
    <n v="31.9"/>
    <n v="4.0999999999999996"/>
    <n v="3.2"/>
    <n v="21"/>
    <s v="C"/>
    <n v="2.5299999999999998"/>
    <x v="0"/>
    <n v="89.41"/>
    <x v="1"/>
    <n v="3.76"/>
    <n v="13.49"/>
    <n v="1477.3416"/>
    <n v="5300.3559000000005"/>
    <n v="3823.0143000000007"/>
    <n v="0.72127501853224618"/>
    <n v="9.9406229999999987"/>
  </r>
  <r>
    <s v="BATCH00883"/>
    <x v="1"/>
    <x v="0"/>
    <x v="1"/>
    <n v="691.14"/>
    <n v="13.65"/>
    <n v="21.8"/>
    <n v="4.5"/>
    <n v="0.3"/>
    <n v="3"/>
    <s v="A"/>
    <n v="6.16"/>
    <x v="1"/>
    <n v="94.57"/>
    <x v="0"/>
    <n v="6.76"/>
    <n v="14.9"/>
    <n v="4672.1063999999997"/>
    <n v="10297.986000000001"/>
    <n v="5625.8796000000011"/>
    <n v="0.54630872483221482"/>
    <n v="42.574224000000001"/>
  </r>
  <r>
    <s v="BATCH00884"/>
    <x v="1"/>
    <x v="1"/>
    <x v="0"/>
    <n v="371.95"/>
    <n v="8.8800000000000008"/>
    <n v="32.119999999999997"/>
    <n v="4.3"/>
    <n v="1.1000000000000001"/>
    <n v="4"/>
    <s v="A"/>
    <n v="1.39"/>
    <x v="2"/>
    <n v="67.319999999999993"/>
    <x v="1"/>
    <n v="8.74"/>
    <n v="11.31"/>
    <n v="3250.8429999999998"/>
    <n v="4206.7545"/>
    <n v="955.91150000000016"/>
    <n v="0.2272325375773652"/>
    <n v="5.1701049999999995"/>
  </r>
  <r>
    <s v="BATCH00885"/>
    <x v="2"/>
    <x v="3"/>
    <x v="1"/>
    <n v="518.95000000000005"/>
    <n v="12.14"/>
    <n v="21.79"/>
    <n v="1.6"/>
    <n v="2.8"/>
    <n v="5"/>
    <s v="A"/>
    <n v="2.42"/>
    <x v="2"/>
    <n v="92.27"/>
    <x v="1"/>
    <n v="5.64"/>
    <n v="12.93"/>
    <n v="2926.8780000000002"/>
    <n v="6710.0235000000002"/>
    <n v="3783.1455000000001"/>
    <n v="0.56380510440835263"/>
    <n v="12.558590000000002"/>
  </r>
  <r>
    <s v="BATCH00886"/>
    <x v="2"/>
    <x v="1"/>
    <x v="1"/>
    <n v="600.74"/>
    <n v="15.5"/>
    <n v="39.18"/>
    <n v="2.1"/>
    <n v="1.1000000000000001"/>
    <n v="18"/>
    <s v="C"/>
    <n v="3.44"/>
    <x v="0"/>
    <n v="85.54"/>
    <x v="0"/>
    <n v="5.47"/>
    <n v="5.14"/>
    <n v="3286.0477999999998"/>
    <n v="3087.8035999999997"/>
    <n v="-198.24420000000009"/>
    <n v="-6.420233463035023E-2"/>
    <n v="20.665455999999999"/>
  </r>
  <r>
    <s v="BATCH00887"/>
    <x v="3"/>
    <x v="2"/>
    <x v="1"/>
    <n v="374.51"/>
    <n v="14.93"/>
    <n v="34.31"/>
    <n v="1.6"/>
    <n v="2.1"/>
    <n v="26"/>
    <s v="C"/>
    <n v="7.54"/>
    <x v="1"/>
    <n v="95.21"/>
    <x v="2"/>
    <n v="5.37"/>
    <n v="13.8"/>
    <n v="2011.1187"/>
    <n v="5168.2380000000003"/>
    <n v="3157.1193000000003"/>
    <n v="0.61086956521739133"/>
    <n v="28.238053999999998"/>
  </r>
  <r>
    <s v="BATCH00888"/>
    <x v="1"/>
    <x v="3"/>
    <x v="1"/>
    <n v="518.47"/>
    <n v="17.91"/>
    <n v="35.76"/>
    <n v="0.1"/>
    <n v="1.8"/>
    <n v="25"/>
    <s v="A"/>
    <n v="0.73"/>
    <x v="1"/>
    <n v="62.57"/>
    <x v="0"/>
    <n v="9.4600000000000009"/>
    <n v="14.54"/>
    <n v="4904.726200000001"/>
    <n v="7538.5537999999997"/>
    <n v="2633.8275999999987"/>
    <n v="0.3493810178817055"/>
    <n v="3.7848310000000005"/>
  </r>
  <r>
    <s v="BATCH00889"/>
    <x v="2"/>
    <x v="0"/>
    <x v="1"/>
    <n v="593.79"/>
    <n v="10.78"/>
    <n v="34.08"/>
    <n v="2.7"/>
    <n v="0.4"/>
    <n v="10"/>
    <s v="A"/>
    <n v="9.08"/>
    <x v="0"/>
    <n v="96.56"/>
    <x v="1"/>
    <n v="3.34"/>
    <n v="10.75"/>
    <n v="1983.2585999999999"/>
    <n v="6383.2424999999994"/>
    <n v="4399.9838999999993"/>
    <n v="0.68930232558139526"/>
    <n v="53.916131999999998"/>
  </r>
  <r>
    <s v="BATCH00890"/>
    <x v="0"/>
    <x v="2"/>
    <x v="0"/>
    <n v="501.25"/>
    <n v="12.98"/>
    <n v="31.79"/>
    <n v="1.4"/>
    <n v="0.9"/>
    <n v="8"/>
    <s v="B"/>
    <n v="1.17"/>
    <x v="1"/>
    <n v="53.27"/>
    <x v="1"/>
    <n v="6.12"/>
    <n v="12.54"/>
    <n v="3067.65"/>
    <n v="6285.6749999999993"/>
    <n v="3218.0249999999992"/>
    <n v="0.51196172248803817"/>
    <n v="5.8646250000000002"/>
  </r>
  <r>
    <s v="BATCH00891"/>
    <x v="0"/>
    <x v="0"/>
    <x v="0"/>
    <n v="786.84"/>
    <n v="11.3"/>
    <n v="29"/>
    <n v="2.1"/>
    <n v="0.2"/>
    <n v="12"/>
    <s v="A"/>
    <n v="4.08"/>
    <x v="1"/>
    <n v="89.68"/>
    <x v="0"/>
    <n v="4.8499999999999996"/>
    <n v="10.130000000000001"/>
    <n v="3816.174"/>
    <n v="7970.6892000000007"/>
    <n v="4154.5152000000007"/>
    <n v="0.52122408687068122"/>
    <n v="32.103072000000004"/>
  </r>
  <r>
    <s v="BATCH00892"/>
    <x v="2"/>
    <x v="2"/>
    <x v="0"/>
    <n v="333.14"/>
    <n v="12.41"/>
    <n v="37.17"/>
    <n v="1.4"/>
    <n v="0.8"/>
    <n v="22"/>
    <s v="B"/>
    <n v="1.27"/>
    <x v="0"/>
    <n v="71.78"/>
    <x v="1"/>
    <n v="9.26"/>
    <n v="7.86"/>
    <n v="3084.8763999999996"/>
    <n v="2618.4803999999999"/>
    <n v="-466.39599999999973"/>
    <n v="-0.17811704834605588"/>
    <n v="4.2308780000000006"/>
  </r>
  <r>
    <s v="BATCH00893"/>
    <x v="2"/>
    <x v="3"/>
    <x v="1"/>
    <n v="605.87"/>
    <n v="16.57"/>
    <n v="39.14"/>
    <n v="1.4"/>
    <n v="0.3"/>
    <n v="26"/>
    <s v="B"/>
    <n v="7.81"/>
    <x v="0"/>
    <n v="58.89"/>
    <x v="2"/>
    <n v="3.67"/>
    <n v="13.52"/>
    <n v="2223.5428999999999"/>
    <n v="8191.3624"/>
    <n v="5967.8194999999996"/>
    <n v="0.72855029585798814"/>
    <n v="47.318446999999999"/>
  </r>
  <r>
    <s v="BATCH00894"/>
    <x v="1"/>
    <x v="0"/>
    <x v="1"/>
    <n v="482.72"/>
    <n v="14.84"/>
    <n v="29.98"/>
    <n v="0.4"/>
    <n v="1.4"/>
    <n v="27"/>
    <s v="C"/>
    <n v="1.84"/>
    <x v="1"/>
    <n v="53.97"/>
    <x v="0"/>
    <n v="5.88"/>
    <n v="10.97"/>
    <n v="2838.3936000000003"/>
    <n v="5295.4384000000009"/>
    <n v="2457.0448000000006"/>
    <n v="0.46399270738377396"/>
    <n v="8.8820480000000011"/>
  </r>
  <r>
    <s v="BATCH00895"/>
    <x v="1"/>
    <x v="0"/>
    <x v="0"/>
    <n v="577.19000000000005"/>
    <n v="16.82"/>
    <n v="38.630000000000003"/>
    <n v="0.7"/>
    <n v="0.8"/>
    <n v="3"/>
    <s v="C"/>
    <n v="8.91"/>
    <x v="1"/>
    <n v="69.48"/>
    <x v="1"/>
    <n v="5.85"/>
    <n v="10.79"/>
    <n v="3376.5615000000003"/>
    <n v="6227.8801000000003"/>
    <n v="2851.3186000000001"/>
    <n v="0.45783132530120479"/>
    <n v="51.427629000000003"/>
  </r>
  <r>
    <s v="BATCH00896"/>
    <x v="3"/>
    <x v="2"/>
    <x v="1"/>
    <n v="544.13"/>
    <n v="10.039999999999999"/>
    <n v="31.67"/>
    <n v="0.3"/>
    <n v="0.5"/>
    <n v="27"/>
    <s v="B"/>
    <n v="5.54"/>
    <x v="0"/>
    <n v="69.47"/>
    <x v="2"/>
    <n v="9.2200000000000006"/>
    <n v="11.59"/>
    <n v="5016.8786"/>
    <n v="6306.4666999999999"/>
    <n v="1289.5880999999999"/>
    <n v="0.20448662640207074"/>
    <n v="30.144801999999999"/>
  </r>
  <r>
    <s v="BATCH00897"/>
    <x v="1"/>
    <x v="0"/>
    <x v="1"/>
    <n v="426.68"/>
    <n v="16.73"/>
    <n v="30.77"/>
    <n v="0.4"/>
    <n v="0.3"/>
    <n v="18"/>
    <s v="B"/>
    <n v="9.51"/>
    <x v="0"/>
    <n v="61.5"/>
    <x v="1"/>
    <n v="4.51"/>
    <n v="13.56"/>
    <n v="1924.3268"/>
    <n v="5785.7808000000005"/>
    <n v="3861.4540000000006"/>
    <n v="0.66740412979351038"/>
    <n v="40.577267999999997"/>
  </r>
  <r>
    <s v="BATCH00898"/>
    <x v="0"/>
    <x v="2"/>
    <x v="0"/>
    <n v="522.9"/>
    <n v="8.6"/>
    <n v="29.09"/>
    <n v="7.2"/>
    <n v="6.6"/>
    <n v="23"/>
    <s v="A"/>
    <n v="3.26"/>
    <x v="2"/>
    <n v="60.78"/>
    <x v="2"/>
    <n v="7.51"/>
    <n v="12.32"/>
    <n v="3926.9789999999998"/>
    <n v="6442.1279999999997"/>
    <n v="2515.1489999999999"/>
    <n v="0.39042207792207795"/>
    <n v="17.046539999999997"/>
  </r>
  <r>
    <s v="BATCH00899"/>
    <x v="0"/>
    <x v="2"/>
    <x v="1"/>
    <n v="314.20999999999998"/>
    <n v="16.89"/>
    <n v="24.19"/>
    <n v="0.3"/>
    <n v="0.1"/>
    <n v="8"/>
    <s v="B"/>
    <n v="4.82"/>
    <x v="1"/>
    <n v="69.98"/>
    <x v="1"/>
    <n v="3.94"/>
    <n v="7.11"/>
    <n v="1237.9874"/>
    <n v="2234.0331000000001"/>
    <n v="996.04570000000012"/>
    <n v="0.44585091420534462"/>
    <n v="15.144921999999999"/>
  </r>
  <r>
    <s v="BATCH00900"/>
    <x v="2"/>
    <x v="2"/>
    <x v="0"/>
    <n v="560.32000000000005"/>
    <n v="11.29"/>
    <n v="20.07"/>
    <n v="0.6"/>
    <n v="0"/>
    <n v="26"/>
    <s v="A"/>
    <n v="7.1"/>
    <x v="1"/>
    <n v="70.510000000000005"/>
    <x v="0"/>
    <n v="9.68"/>
    <n v="9.67"/>
    <n v="5423.8976000000002"/>
    <n v="5418.2944000000007"/>
    <n v="-5.6031999999995605"/>
    <n v="-1.0341261633918526E-3"/>
    <n v="39.782719999999998"/>
  </r>
  <r>
    <s v="BATCH00901"/>
    <x v="1"/>
    <x v="2"/>
    <x v="1"/>
    <n v="529.82000000000005"/>
    <n v="11.15"/>
    <n v="24.83"/>
    <n v="1.8"/>
    <n v="0.2"/>
    <n v="1"/>
    <s v="C"/>
    <n v="8.4"/>
    <x v="0"/>
    <n v="72.12"/>
    <x v="1"/>
    <n v="7.15"/>
    <n v="14.8"/>
    <n v="3788.2130000000006"/>
    <n v="7841.3360000000011"/>
    <n v="4053.1230000000005"/>
    <n v="0.51689189189189189"/>
    <n v="44.50488"/>
  </r>
  <r>
    <s v="BATCH00902"/>
    <x v="3"/>
    <x v="3"/>
    <x v="0"/>
    <n v="563.87"/>
    <n v="13.12"/>
    <n v="30.19"/>
    <n v="1.9"/>
    <n v="3.5"/>
    <n v="14"/>
    <s v="A"/>
    <n v="4.5"/>
    <x v="0"/>
    <n v="93.44"/>
    <x v="0"/>
    <n v="7.38"/>
    <n v="10.55"/>
    <n v="4161.3606"/>
    <n v="5948.8285000000005"/>
    <n v="1787.4679000000006"/>
    <n v="0.30047393364928915"/>
    <n v="25.37415"/>
  </r>
  <r>
    <s v="BATCH00903"/>
    <x v="0"/>
    <x v="2"/>
    <x v="1"/>
    <n v="605.80999999999995"/>
    <n v="17.41"/>
    <n v="27.6"/>
    <n v="0.3"/>
    <n v="3.9"/>
    <n v="22"/>
    <s v="C"/>
    <n v="8.98"/>
    <x v="2"/>
    <n v="80.56"/>
    <x v="2"/>
    <n v="6.04"/>
    <n v="14.38"/>
    <n v="3659.0923999999995"/>
    <n v="8711.5478000000003"/>
    <n v="5052.4554000000007"/>
    <n v="0.57997218358831715"/>
    <n v="54.401737999999995"/>
  </r>
  <r>
    <s v="BATCH00904"/>
    <x v="0"/>
    <x v="1"/>
    <x v="1"/>
    <n v="536.76"/>
    <n v="8.48"/>
    <n v="28.97"/>
    <n v="3.2"/>
    <n v="1.1000000000000001"/>
    <n v="23"/>
    <s v="B"/>
    <n v="1.62"/>
    <x v="2"/>
    <n v="51.02"/>
    <x v="2"/>
    <n v="5.4"/>
    <n v="13.13"/>
    <n v="2898.5040000000004"/>
    <n v="7047.6588000000002"/>
    <n v="4149.1548000000003"/>
    <n v="0.58872810357958871"/>
    <n v="8.6955120000000008"/>
  </r>
  <r>
    <s v="BATCH00905"/>
    <x v="3"/>
    <x v="0"/>
    <x v="0"/>
    <n v="514.80999999999995"/>
    <n v="11.52"/>
    <n v="39.61"/>
    <n v="3.1"/>
    <n v="2.1"/>
    <n v="13"/>
    <s v="B"/>
    <n v="7.23"/>
    <x v="0"/>
    <n v="75.95"/>
    <x v="1"/>
    <n v="4.49"/>
    <n v="11.66"/>
    <n v="2311.4968999999996"/>
    <n v="6002.6845999999996"/>
    <n v="3691.1876999999999"/>
    <n v="0.61492281303602059"/>
    <n v="37.220762999999998"/>
  </r>
  <r>
    <s v="BATCH00906"/>
    <x v="3"/>
    <x v="1"/>
    <x v="1"/>
    <n v="411.89"/>
    <n v="16.57"/>
    <n v="27.01"/>
    <n v="0.5"/>
    <n v="0.2"/>
    <n v="25"/>
    <s v="B"/>
    <n v="3.81"/>
    <x v="1"/>
    <n v="88.12"/>
    <x v="0"/>
    <n v="7.23"/>
    <n v="8.49"/>
    <n v="2977.9647"/>
    <n v="3496.9461000000001"/>
    <n v="518.98140000000012"/>
    <n v="0.14840989399293289"/>
    <n v="15.693009"/>
  </r>
  <r>
    <s v="BATCH00907"/>
    <x v="0"/>
    <x v="3"/>
    <x v="1"/>
    <n v="428.78"/>
    <n v="11.96"/>
    <n v="29.04"/>
    <n v="0.7"/>
    <n v="3.6"/>
    <n v="12"/>
    <s v="A"/>
    <n v="1.46"/>
    <x v="2"/>
    <n v="52.82"/>
    <x v="0"/>
    <n v="9.68"/>
    <n v="8.0399999999999991"/>
    <n v="4150.5904"/>
    <n v="3447.3911999999996"/>
    <n v="-703.19920000000047"/>
    <n v="-0.20398009950248772"/>
    <n v="6.2601879999999994"/>
  </r>
  <r>
    <s v="BATCH00908"/>
    <x v="0"/>
    <x v="1"/>
    <x v="0"/>
    <n v="618.66999999999996"/>
    <n v="9.99"/>
    <n v="22.67"/>
    <n v="5.6"/>
    <n v="0.2"/>
    <n v="3"/>
    <s v="C"/>
    <n v="4.17"/>
    <x v="0"/>
    <n v="71.13"/>
    <x v="2"/>
    <n v="5.52"/>
    <n v="11.43"/>
    <n v="3415.0583999999994"/>
    <n v="7071.3980999999994"/>
    <n v="3656.3397"/>
    <n v="0.51706036745406825"/>
    <n v="25.798538999999995"/>
  </r>
  <r>
    <s v="BATCH00909"/>
    <x v="3"/>
    <x v="0"/>
    <x v="1"/>
    <n v="643.63"/>
    <n v="12.25"/>
    <n v="20.96"/>
    <n v="3.5"/>
    <n v="0.1"/>
    <n v="18"/>
    <s v="C"/>
    <n v="8.86"/>
    <x v="0"/>
    <n v="72.56"/>
    <x v="2"/>
    <n v="9.18"/>
    <n v="9.33"/>
    <n v="5908.5234"/>
    <n v="6005.0679"/>
    <n v="96.544499999999971"/>
    <n v="1.6077170418006426E-2"/>
    <n v="57.025617999999994"/>
  </r>
  <r>
    <s v="BATCH00910"/>
    <x v="0"/>
    <x v="1"/>
    <x v="0"/>
    <n v="476.19"/>
    <n v="11.86"/>
    <n v="35.51"/>
    <n v="2.4"/>
    <n v="0.1"/>
    <n v="21"/>
    <s v="C"/>
    <n v="9.82"/>
    <x v="0"/>
    <n v="97.7"/>
    <x v="1"/>
    <n v="4.04"/>
    <n v="12.99"/>
    <n v="1923.8076000000001"/>
    <n v="6185.7080999999998"/>
    <n v="4261.9004999999997"/>
    <n v="0.68899153194765206"/>
    <n v="46.761858000000004"/>
  </r>
  <r>
    <s v="BATCH00911"/>
    <x v="2"/>
    <x v="3"/>
    <x v="1"/>
    <n v="504.6"/>
    <n v="17.149999999999999"/>
    <n v="31.41"/>
    <n v="0.2"/>
    <n v="0.9"/>
    <n v="13"/>
    <s v="C"/>
    <n v="4.2300000000000004"/>
    <x v="1"/>
    <n v="73.78"/>
    <x v="2"/>
    <n v="9.5500000000000007"/>
    <n v="12.6"/>
    <n v="4818.93"/>
    <n v="6357.96"/>
    <n v="1539.0299999999997"/>
    <n v="0.24206349206349201"/>
    <n v="21.344580000000004"/>
  </r>
  <r>
    <s v="BATCH00912"/>
    <x v="2"/>
    <x v="2"/>
    <x v="1"/>
    <n v="409.54"/>
    <n v="15.62"/>
    <n v="35.21"/>
    <n v="1.1000000000000001"/>
    <n v="1.5"/>
    <n v="15"/>
    <s v="C"/>
    <n v="8.92"/>
    <x v="0"/>
    <n v="87.5"/>
    <x v="2"/>
    <n v="5.45"/>
    <n v="8.1199999999999992"/>
    <n v="2231.9930000000004"/>
    <n v="3325.4647999999997"/>
    <n v="1093.4717999999993"/>
    <n v="0.32881773399014763"/>
    <n v="36.530968000000001"/>
  </r>
  <r>
    <s v="BATCH00913"/>
    <x v="3"/>
    <x v="1"/>
    <x v="1"/>
    <n v="617.28"/>
    <n v="13.05"/>
    <n v="23"/>
    <n v="1.6"/>
    <n v="0.5"/>
    <n v="10"/>
    <s v="A"/>
    <n v="5.34"/>
    <x v="0"/>
    <n v="65.150000000000006"/>
    <x v="0"/>
    <n v="5.66"/>
    <n v="12.03"/>
    <n v="3493.8047999999999"/>
    <n v="7425.8783999999996"/>
    <n v="3932.0735999999997"/>
    <n v="0.52950955943474642"/>
    <n v="32.962751999999995"/>
  </r>
  <r>
    <s v="BATCH00914"/>
    <x v="1"/>
    <x v="3"/>
    <x v="1"/>
    <n v="566.54"/>
    <n v="17.88"/>
    <n v="31.44"/>
    <n v="0.4"/>
    <n v="3.8"/>
    <n v="1"/>
    <s v="C"/>
    <n v="7.31"/>
    <x v="1"/>
    <n v="88.97"/>
    <x v="0"/>
    <n v="6.24"/>
    <n v="9.9499999999999993"/>
    <n v="3535.2095999999997"/>
    <n v="5637.0729999999994"/>
    <n v="2101.8633999999997"/>
    <n v="0.37286432160804017"/>
    <n v="41.414073999999992"/>
  </r>
  <r>
    <s v="BATCH00915"/>
    <x v="3"/>
    <x v="3"/>
    <x v="0"/>
    <n v="694.12"/>
    <n v="12.65"/>
    <n v="25.07"/>
    <n v="1.2"/>
    <n v="0.6"/>
    <n v="29"/>
    <s v="B"/>
    <n v="0.93"/>
    <x v="0"/>
    <n v="66.13"/>
    <x v="0"/>
    <n v="8.0299999999999994"/>
    <n v="8.23"/>
    <n v="5573.7835999999998"/>
    <n v="5712.6076000000003"/>
    <n v="138.82400000000052"/>
    <n v="2.4301336573511634E-2"/>
    <n v="6.4553159999999998"/>
  </r>
  <r>
    <s v="BATCH00916"/>
    <x v="3"/>
    <x v="0"/>
    <x v="1"/>
    <n v="412.17"/>
    <n v="8.58"/>
    <n v="24.56"/>
    <n v="1.8"/>
    <n v="0.2"/>
    <n v="6"/>
    <s v="C"/>
    <n v="5.79"/>
    <x v="0"/>
    <n v="71.5"/>
    <x v="2"/>
    <n v="8.0399999999999991"/>
    <n v="9.1300000000000008"/>
    <n v="3313.8467999999998"/>
    <n v="3763.1121000000003"/>
    <n v="449.26530000000048"/>
    <n v="0.11938663745892673"/>
    <n v="23.864643000000001"/>
  </r>
  <r>
    <s v="BATCH00917"/>
    <x v="1"/>
    <x v="0"/>
    <x v="0"/>
    <n v="462.2"/>
    <n v="10.62"/>
    <n v="20.23"/>
    <n v="0.8"/>
    <n v="0.6"/>
    <n v="9"/>
    <s v="B"/>
    <n v="1.17"/>
    <x v="2"/>
    <n v="73.97"/>
    <x v="1"/>
    <n v="6.36"/>
    <n v="13.95"/>
    <n v="2939.5920000000001"/>
    <n v="6447.69"/>
    <n v="3508.0979999999995"/>
    <n v="0.54408602150537633"/>
    <n v="5.4077400000000004"/>
  </r>
  <r>
    <s v="BATCH00918"/>
    <x v="1"/>
    <x v="1"/>
    <x v="1"/>
    <n v="523.14"/>
    <n v="12.36"/>
    <n v="22.61"/>
    <n v="3"/>
    <n v="1.1000000000000001"/>
    <n v="10"/>
    <s v="A"/>
    <n v="3.05"/>
    <x v="0"/>
    <n v="96.32"/>
    <x v="1"/>
    <n v="6.66"/>
    <n v="8.6"/>
    <n v="3484.1124"/>
    <n v="4499.0039999999999"/>
    <n v="1014.8915999999999"/>
    <n v="0.2255813953488372"/>
    <n v="15.955769999999998"/>
  </r>
  <r>
    <s v="BATCH00919"/>
    <x v="1"/>
    <x v="2"/>
    <x v="1"/>
    <n v="564.65"/>
    <n v="9.57"/>
    <n v="26.19"/>
    <n v="3.7"/>
    <n v="1.8"/>
    <n v="15"/>
    <s v="A"/>
    <n v="5.88"/>
    <x v="1"/>
    <n v="52.67"/>
    <x v="2"/>
    <n v="3.21"/>
    <n v="7.87"/>
    <n v="1812.5264999999999"/>
    <n v="4443.7955000000002"/>
    <n v="2631.2690000000002"/>
    <n v="0.5921219822109276"/>
    <n v="33.201419999999999"/>
  </r>
  <r>
    <s v="BATCH00920"/>
    <x v="2"/>
    <x v="3"/>
    <x v="1"/>
    <n v="478.43"/>
    <n v="17.48"/>
    <n v="22.34"/>
    <n v="0.8"/>
    <n v="0.6"/>
    <n v="9"/>
    <s v="B"/>
    <n v="8.17"/>
    <x v="2"/>
    <n v="59.84"/>
    <x v="1"/>
    <n v="5.13"/>
    <n v="8.52"/>
    <n v="2454.3458999999998"/>
    <n v="4076.2235999999998"/>
    <n v="1621.8777"/>
    <n v="0.397887323943662"/>
    <n v="39.087730999999998"/>
  </r>
  <r>
    <s v="BATCH00921"/>
    <x v="0"/>
    <x v="1"/>
    <x v="1"/>
    <n v="412.7"/>
    <n v="15.67"/>
    <n v="39.72"/>
    <n v="3.6"/>
    <n v="0.9"/>
    <n v="23"/>
    <s v="C"/>
    <n v="5.83"/>
    <x v="0"/>
    <n v="85.29"/>
    <x v="2"/>
    <n v="5.42"/>
    <n v="7.15"/>
    <n v="2236.8339999999998"/>
    <n v="2950.8050000000003"/>
    <n v="713.97100000000046"/>
    <n v="0.2419580419580421"/>
    <n v="24.060410000000001"/>
  </r>
  <r>
    <s v="BATCH00922"/>
    <x v="2"/>
    <x v="3"/>
    <x v="0"/>
    <n v="588.14"/>
    <n v="10.68"/>
    <n v="26.17"/>
    <n v="0.2"/>
    <n v="0.3"/>
    <n v="14"/>
    <s v="A"/>
    <n v="9.39"/>
    <x v="1"/>
    <n v="78.88"/>
    <x v="1"/>
    <n v="6.91"/>
    <n v="10.45"/>
    <n v="4064.0473999999999"/>
    <n v="6146.0629999999992"/>
    <n v="2082.0155999999993"/>
    <n v="0.33875598086124392"/>
    <n v="55.226346000000007"/>
  </r>
  <r>
    <s v="BATCH00923"/>
    <x v="0"/>
    <x v="3"/>
    <x v="0"/>
    <n v="572.11"/>
    <n v="13.91"/>
    <n v="22.61"/>
    <n v="3.6"/>
    <n v="1"/>
    <n v="11"/>
    <s v="A"/>
    <n v="8.1999999999999993"/>
    <x v="0"/>
    <n v="62.58"/>
    <x v="2"/>
    <n v="6.91"/>
    <n v="6.47"/>
    <n v="3953.2801000000004"/>
    <n v="3701.5517"/>
    <n v="-251.72840000000042"/>
    <n v="-6.8006182380216496E-2"/>
    <n v="46.913019999999996"/>
  </r>
  <r>
    <s v="BATCH00924"/>
    <x v="2"/>
    <x v="2"/>
    <x v="0"/>
    <n v="408.37"/>
    <n v="15.21"/>
    <n v="23.98"/>
    <n v="0.3"/>
    <n v="4.3"/>
    <n v="7"/>
    <s v="A"/>
    <n v="1.98"/>
    <x v="2"/>
    <n v="64.459999999999994"/>
    <x v="0"/>
    <n v="7.97"/>
    <n v="13.17"/>
    <n v="3254.7089000000001"/>
    <n v="5378.2329"/>
    <n v="2123.5239999999999"/>
    <n v="0.39483675018982534"/>
    <n v="8.0857259999999993"/>
  </r>
  <r>
    <s v="BATCH00925"/>
    <x v="0"/>
    <x v="2"/>
    <x v="0"/>
    <n v="635.54"/>
    <n v="17.41"/>
    <n v="31.75"/>
    <n v="0.2"/>
    <n v="0.1"/>
    <n v="24"/>
    <s v="C"/>
    <n v="4.2"/>
    <x v="1"/>
    <n v="68.37"/>
    <x v="1"/>
    <n v="8.02"/>
    <n v="7.26"/>
    <n v="5097.0307999999995"/>
    <n v="4614.0203999999994"/>
    <n v="-483.01040000000012"/>
    <n v="-0.10468319559228655"/>
    <n v="26.692679999999999"/>
  </r>
  <r>
    <s v="BATCH00926"/>
    <x v="2"/>
    <x v="1"/>
    <x v="1"/>
    <n v="617.02"/>
    <n v="16.82"/>
    <n v="21.28"/>
    <n v="2.1"/>
    <n v="2.2000000000000002"/>
    <n v="26"/>
    <s v="B"/>
    <n v="6.85"/>
    <x v="2"/>
    <n v="72.52"/>
    <x v="0"/>
    <n v="4.6500000000000004"/>
    <n v="10.98"/>
    <n v="2869.143"/>
    <n v="6774.8796000000002"/>
    <n v="3905.7366000000002"/>
    <n v="0.57650273224043713"/>
    <n v="42.265869999999993"/>
  </r>
  <r>
    <s v="BATCH00927"/>
    <x v="1"/>
    <x v="2"/>
    <x v="0"/>
    <n v="513.42999999999995"/>
    <n v="13.15"/>
    <n v="37.25"/>
    <n v="1.3"/>
    <n v="0.8"/>
    <n v="2"/>
    <s v="B"/>
    <n v="9.41"/>
    <x v="1"/>
    <n v="90.9"/>
    <x v="0"/>
    <n v="8.39"/>
    <n v="6.25"/>
    <n v="4307.6777000000002"/>
    <n v="3208.9374999999995"/>
    <n v="-1098.7402000000006"/>
    <n v="-0.34240000000000026"/>
    <n v="48.313763000000002"/>
  </r>
  <r>
    <s v="BATCH00928"/>
    <x v="3"/>
    <x v="2"/>
    <x v="0"/>
    <n v="507.96"/>
    <n v="15.75"/>
    <n v="39.229999999999997"/>
    <n v="4.8"/>
    <n v="0.3"/>
    <n v="14"/>
    <s v="C"/>
    <n v="9.8800000000000008"/>
    <x v="1"/>
    <n v="50.69"/>
    <x v="1"/>
    <n v="3.14"/>
    <n v="14.78"/>
    <n v="1594.9944"/>
    <n v="7507.648799999999"/>
    <n v="5912.6543999999994"/>
    <n v="0.78755074424898519"/>
    <n v="50.186447999999999"/>
  </r>
  <r>
    <s v="BATCH00929"/>
    <x v="2"/>
    <x v="1"/>
    <x v="1"/>
    <n v="555.41"/>
    <n v="13.62"/>
    <n v="24.93"/>
    <n v="0.9"/>
    <n v="3.1"/>
    <n v="6"/>
    <s v="A"/>
    <n v="7.75"/>
    <x v="0"/>
    <n v="94.9"/>
    <x v="2"/>
    <n v="8.01"/>
    <n v="9.5500000000000007"/>
    <n v="4448.8341"/>
    <n v="5304.1655000000001"/>
    <n v="855.33140000000003"/>
    <n v="0.16125654450261781"/>
    <n v="43.044274999999999"/>
  </r>
  <r>
    <s v="BATCH00930"/>
    <x v="0"/>
    <x v="2"/>
    <x v="1"/>
    <n v="413.83"/>
    <n v="13.53"/>
    <n v="29"/>
    <n v="0.7"/>
    <n v="0.7"/>
    <n v="5"/>
    <s v="C"/>
    <n v="5.95"/>
    <x v="1"/>
    <n v="70.650000000000006"/>
    <x v="0"/>
    <n v="3.71"/>
    <n v="13.22"/>
    <n v="1535.3092999999999"/>
    <n v="5470.8325999999997"/>
    <n v="3935.5232999999998"/>
    <n v="0.71936459909228445"/>
    <n v="24.622885"/>
  </r>
  <r>
    <s v="BATCH00931"/>
    <x v="1"/>
    <x v="0"/>
    <x v="1"/>
    <n v="503"/>
    <n v="9.15"/>
    <n v="20.440000000000001"/>
    <n v="1.4"/>
    <n v="0.4"/>
    <n v="5"/>
    <s v="C"/>
    <n v="7.69"/>
    <x v="1"/>
    <n v="61.52"/>
    <x v="0"/>
    <n v="8.11"/>
    <n v="12.69"/>
    <n v="4079.33"/>
    <n v="6383.07"/>
    <n v="2303.7399999999998"/>
    <n v="0.36091410559495662"/>
    <n v="38.680700000000002"/>
  </r>
  <r>
    <s v="BATCH00932"/>
    <x v="2"/>
    <x v="3"/>
    <x v="1"/>
    <n v="284.76"/>
    <n v="9.26"/>
    <n v="32.81"/>
    <n v="1.2"/>
    <n v="0.2"/>
    <n v="29"/>
    <s v="B"/>
    <n v="3.1"/>
    <x v="0"/>
    <n v="75.42"/>
    <x v="2"/>
    <n v="6.69"/>
    <n v="12.14"/>
    <n v="1905.0444"/>
    <n v="3456.9864000000002"/>
    <n v="1551.9420000000002"/>
    <n v="0.44892915980230647"/>
    <n v="8.8275600000000001"/>
  </r>
  <r>
    <s v="BATCH00933"/>
    <x v="2"/>
    <x v="3"/>
    <x v="0"/>
    <n v="587.65"/>
    <n v="13.3"/>
    <n v="28.28"/>
    <n v="0.8"/>
    <n v="0.3"/>
    <n v="19"/>
    <s v="C"/>
    <n v="3.19"/>
    <x v="1"/>
    <n v="82.98"/>
    <x v="2"/>
    <n v="6.06"/>
    <n v="13.27"/>
    <n v="3561.1589999999997"/>
    <n v="7798.1154999999999"/>
    <n v="4236.9565000000002"/>
    <n v="0.54333082140165789"/>
    <n v="18.746034999999999"/>
  </r>
  <r>
    <s v="BATCH00934"/>
    <x v="1"/>
    <x v="3"/>
    <x v="0"/>
    <n v="343.85"/>
    <n v="10.69"/>
    <n v="25.4"/>
    <n v="2.4"/>
    <n v="1.8"/>
    <n v="19"/>
    <s v="C"/>
    <n v="6.72"/>
    <x v="1"/>
    <n v="52.24"/>
    <x v="1"/>
    <n v="7.83"/>
    <n v="6"/>
    <n v="2692.3455000000004"/>
    <n v="2063.1000000000004"/>
    <n v="-629.24549999999999"/>
    <n v="-0.30499999999999994"/>
    <n v="23.106719999999999"/>
  </r>
  <r>
    <s v="BATCH00935"/>
    <x v="2"/>
    <x v="3"/>
    <x v="1"/>
    <n v="650.34"/>
    <n v="8.2100000000000009"/>
    <n v="24.14"/>
    <n v="2.9"/>
    <n v="1"/>
    <n v="6"/>
    <s v="A"/>
    <n v="8.7799999999999994"/>
    <x v="1"/>
    <n v="85.79"/>
    <x v="1"/>
    <n v="3.25"/>
    <n v="11.78"/>
    <n v="2113.605"/>
    <n v="7661.0051999999996"/>
    <n v="5547.4002"/>
    <n v="0.72410865874363328"/>
    <n v="57.099851999999998"/>
  </r>
  <r>
    <s v="BATCH00936"/>
    <x v="3"/>
    <x v="1"/>
    <x v="1"/>
    <n v="466.99"/>
    <n v="15.23"/>
    <n v="33.08"/>
    <n v="3.8"/>
    <n v="2.4"/>
    <n v="28"/>
    <s v="A"/>
    <n v="9.7100000000000009"/>
    <x v="1"/>
    <n v="88.04"/>
    <x v="2"/>
    <n v="4.5599999999999996"/>
    <n v="7.66"/>
    <n v="2129.4744000000001"/>
    <n v="3577.1433999999999"/>
    <n v="1447.6689999999999"/>
    <n v="0.40469973890339422"/>
    <n v="45.344729000000008"/>
  </r>
  <r>
    <s v="BATCH00937"/>
    <x v="2"/>
    <x v="3"/>
    <x v="1"/>
    <n v="478.83"/>
    <n v="8.32"/>
    <n v="28.32"/>
    <n v="7.2"/>
    <n v="0.3"/>
    <n v="26"/>
    <s v="B"/>
    <n v="3.74"/>
    <x v="0"/>
    <n v="58.31"/>
    <x v="0"/>
    <n v="7.32"/>
    <n v="12.86"/>
    <n v="3505.0356000000002"/>
    <n v="6157.7537999999995"/>
    <n v="2652.7181999999993"/>
    <n v="0.43079315707620519"/>
    <n v="17.908242000000001"/>
  </r>
  <r>
    <s v="BATCH00938"/>
    <x v="3"/>
    <x v="3"/>
    <x v="0"/>
    <n v="437.23"/>
    <n v="13.95"/>
    <n v="23.59"/>
    <n v="0.6"/>
    <n v="0.1"/>
    <n v="29"/>
    <s v="A"/>
    <n v="8.07"/>
    <x v="0"/>
    <n v="58.39"/>
    <x v="2"/>
    <n v="8.93"/>
    <n v="14.57"/>
    <n v="3904.4639000000002"/>
    <n v="6370.4411"/>
    <n v="2465.9771999999998"/>
    <n v="0.38709677419354838"/>
    <n v="35.284461"/>
  </r>
  <r>
    <s v="BATCH00939"/>
    <x v="3"/>
    <x v="3"/>
    <x v="0"/>
    <n v="471.2"/>
    <n v="13.39"/>
    <n v="33.78"/>
    <n v="2.5"/>
    <n v="0"/>
    <n v="10"/>
    <s v="C"/>
    <n v="8.59"/>
    <x v="2"/>
    <n v="60.19"/>
    <x v="1"/>
    <n v="5.67"/>
    <n v="14.01"/>
    <n v="2671.7039999999997"/>
    <n v="6601.5119999999997"/>
    <n v="3929.808"/>
    <n v="0.59528907922912211"/>
    <n v="40.476079999999996"/>
  </r>
  <r>
    <s v="BATCH00940"/>
    <x v="1"/>
    <x v="3"/>
    <x v="1"/>
    <n v="641.85"/>
    <n v="17.690000000000001"/>
    <n v="31.3"/>
    <n v="1"/>
    <n v="0.7"/>
    <n v="23"/>
    <s v="C"/>
    <n v="6.42"/>
    <x v="1"/>
    <n v="89.83"/>
    <x v="0"/>
    <n v="4.8099999999999996"/>
    <n v="6.15"/>
    <n v="3087.2984999999999"/>
    <n v="3947.3775000000005"/>
    <n v="860.07900000000063"/>
    <n v="0.21788617886178874"/>
    <n v="41.206769999999999"/>
  </r>
  <r>
    <s v="BATCH00941"/>
    <x v="2"/>
    <x v="0"/>
    <x v="1"/>
    <n v="251.22"/>
    <n v="12.84"/>
    <n v="37.17"/>
    <n v="2.2999999999999998"/>
    <n v="6.4"/>
    <n v="14"/>
    <s v="C"/>
    <n v="3.8"/>
    <x v="0"/>
    <n v="63.6"/>
    <x v="0"/>
    <n v="6.63"/>
    <n v="8.6999999999999993"/>
    <n v="1665.5886"/>
    <n v="2185.614"/>
    <n v="520.02539999999999"/>
    <n v="0.23793103448275862"/>
    <n v="9.54636"/>
  </r>
  <r>
    <s v="BATCH00942"/>
    <x v="1"/>
    <x v="3"/>
    <x v="0"/>
    <n v="627.70000000000005"/>
    <n v="8.64"/>
    <n v="22.35"/>
    <n v="1.3"/>
    <n v="1.2"/>
    <n v="17"/>
    <s v="B"/>
    <n v="6.38"/>
    <x v="1"/>
    <n v="89.8"/>
    <x v="1"/>
    <n v="7.36"/>
    <n v="8.64"/>
    <n v="4619.8720000000003"/>
    <n v="5423.3280000000004"/>
    <n v="803.45600000000013"/>
    <n v="0.14814814814814817"/>
    <n v="40.047260000000001"/>
  </r>
  <r>
    <s v="BATCH00943"/>
    <x v="2"/>
    <x v="0"/>
    <x v="1"/>
    <n v="533.79999999999995"/>
    <n v="13.52"/>
    <n v="35.71"/>
    <n v="10.199999999999999"/>
    <n v="0.4"/>
    <n v="3"/>
    <s v="A"/>
    <n v="6.05"/>
    <x v="0"/>
    <n v="77.03"/>
    <x v="0"/>
    <n v="5.94"/>
    <n v="6.22"/>
    <n v="3170.7719999999999"/>
    <n v="3320.2359999999994"/>
    <n v="149.46399999999949"/>
    <n v="4.5016077170417862E-2"/>
    <n v="32.294899999999998"/>
  </r>
  <r>
    <s v="BATCH00944"/>
    <x v="2"/>
    <x v="1"/>
    <x v="1"/>
    <n v="379.3"/>
    <n v="16.41"/>
    <n v="33.47"/>
    <n v="2.6"/>
    <n v="2.1"/>
    <n v="28"/>
    <s v="C"/>
    <n v="6.26"/>
    <x v="2"/>
    <n v="88.36"/>
    <x v="2"/>
    <n v="9.14"/>
    <n v="5.98"/>
    <n v="3466.8020000000001"/>
    <n v="2268.2140000000004"/>
    <n v="-1198.5879999999997"/>
    <n v="-0.52842809364548471"/>
    <n v="23.74418"/>
  </r>
  <r>
    <s v="BATCH00945"/>
    <x v="0"/>
    <x v="2"/>
    <x v="0"/>
    <n v="392.47"/>
    <n v="17.97"/>
    <n v="22.3"/>
    <n v="6.1"/>
    <n v="1.5"/>
    <n v="1"/>
    <s v="A"/>
    <n v="6.38"/>
    <x v="1"/>
    <n v="77.680000000000007"/>
    <x v="1"/>
    <n v="6.66"/>
    <n v="8.85"/>
    <n v="2613.8502000000003"/>
    <n v="3473.3595"/>
    <n v="859.50929999999971"/>
    <n v="0.247457627118644"/>
    <n v="25.039586"/>
  </r>
  <r>
    <s v="BATCH00946"/>
    <x v="2"/>
    <x v="3"/>
    <x v="1"/>
    <n v="667.64"/>
    <n v="12.3"/>
    <n v="33.9"/>
    <n v="3.6"/>
    <n v="0"/>
    <n v="10"/>
    <s v="A"/>
    <n v="8.5500000000000007"/>
    <x v="2"/>
    <n v="66.790000000000006"/>
    <x v="0"/>
    <n v="3.25"/>
    <n v="14.92"/>
    <n v="2169.83"/>
    <n v="9961.1887999999999"/>
    <n v="7791.3588"/>
    <n v="0.78217158176943702"/>
    <n v="57.083220000000004"/>
  </r>
  <r>
    <s v="BATCH00947"/>
    <x v="1"/>
    <x v="2"/>
    <x v="0"/>
    <n v="405.45"/>
    <n v="11.2"/>
    <n v="28.83"/>
    <n v="4.7"/>
    <n v="1.7"/>
    <n v="3"/>
    <s v="A"/>
    <n v="2.12"/>
    <x v="2"/>
    <n v="95.54"/>
    <x v="1"/>
    <n v="4.5599999999999996"/>
    <n v="10.69"/>
    <n v="1848.8519999999999"/>
    <n v="4334.2604999999994"/>
    <n v="2485.4084999999995"/>
    <n v="0.57343311506080441"/>
    <n v="8.5955399999999997"/>
  </r>
  <r>
    <s v="BATCH00948"/>
    <x v="3"/>
    <x v="2"/>
    <x v="1"/>
    <n v="384.66"/>
    <n v="17.07"/>
    <n v="38.9"/>
    <n v="3.4"/>
    <n v="0.4"/>
    <n v="5"/>
    <s v="A"/>
    <n v="3.99"/>
    <x v="2"/>
    <n v="85.76"/>
    <x v="0"/>
    <n v="6.15"/>
    <n v="11.22"/>
    <n v="2365.6590000000001"/>
    <n v="4315.8852000000006"/>
    <n v="1950.2262000000005"/>
    <n v="0.45187165775401072"/>
    <n v="15.347934000000002"/>
  </r>
  <r>
    <s v="BATCH00949"/>
    <x v="2"/>
    <x v="1"/>
    <x v="1"/>
    <n v="613.73"/>
    <n v="9.91"/>
    <n v="22.83"/>
    <n v="1.2"/>
    <n v="0.2"/>
    <n v="25"/>
    <s v="B"/>
    <n v="6.07"/>
    <x v="0"/>
    <n v="74.2"/>
    <x v="2"/>
    <n v="7.88"/>
    <n v="9.7100000000000009"/>
    <n v="4836.1923999999999"/>
    <n v="5959.3183000000008"/>
    <n v="1123.1259000000009"/>
    <n v="0.18846549948506708"/>
    <n v="37.253411"/>
  </r>
  <r>
    <s v="BATCH00950"/>
    <x v="0"/>
    <x v="2"/>
    <x v="0"/>
    <n v="533.86"/>
    <n v="14.15"/>
    <n v="32.86"/>
    <n v="0.6"/>
    <n v="0.3"/>
    <n v="19"/>
    <s v="B"/>
    <n v="3.19"/>
    <x v="1"/>
    <n v="81.87"/>
    <x v="1"/>
    <n v="4.54"/>
    <n v="11.62"/>
    <n v="2423.7244000000001"/>
    <n v="6203.4531999999999"/>
    <n v="3779.7287999999999"/>
    <n v="0.60929432013769358"/>
    <n v="17.030134"/>
  </r>
  <r>
    <s v="BATCH00951"/>
    <x v="1"/>
    <x v="0"/>
    <x v="0"/>
    <n v="406.21"/>
    <n v="12.06"/>
    <n v="27.64"/>
    <n v="0.9"/>
    <n v="0.6"/>
    <n v="10"/>
    <s v="B"/>
    <n v="9.7899999999999991"/>
    <x v="0"/>
    <n v="80.790000000000006"/>
    <x v="0"/>
    <n v="9.83"/>
    <n v="14.57"/>
    <n v="3993.0443"/>
    <n v="5918.4796999999999"/>
    <n v="1925.4353999999998"/>
    <n v="0.32532601235415237"/>
    <n v="39.767958999999998"/>
  </r>
  <r>
    <s v="BATCH00952"/>
    <x v="2"/>
    <x v="2"/>
    <x v="1"/>
    <n v="521.66"/>
    <n v="8.41"/>
    <n v="39.14"/>
    <n v="0"/>
    <n v="0.6"/>
    <n v="26"/>
    <s v="C"/>
    <n v="3"/>
    <x v="0"/>
    <n v="67.91"/>
    <x v="2"/>
    <n v="5.23"/>
    <n v="10.89"/>
    <n v="2728.2818000000002"/>
    <n v="5680.8774000000003"/>
    <n v="2952.5956000000001"/>
    <n v="0.51974288337924701"/>
    <n v="15.649800000000001"/>
  </r>
  <r>
    <s v="BATCH00953"/>
    <x v="1"/>
    <x v="2"/>
    <x v="0"/>
    <n v="397.42"/>
    <n v="11.47"/>
    <n v="26.6"/>
    <n v="1.5"/>
    <n v="0.3"/>
    <n v="25"/>
    <s v="C"/>
    <n v="4.96"/>
    <x v="1"/>
    <n v="71.19"/>
    <x v="2"/>
    <n v="6.73"/>
    <n v="5.65"/>
    <n v="2674.6366000000003"/>
    <n v="2245.4230000000002"/>
    <n v="-429.21360000000004"/>
    <n v="-0.1911504424778761"/>
    <n v="19.712032000000001"/>
  </r>
  <r>
    <s v="BATCH00954"/>
    <x v="0"/>
    <x v="2"/>
    <x v="1"/>
    <n v="610.08000000000004"/>
    <n v="10.65"/>
    <n v="39.24"/>
    <n v="1.4"/>
    <n v="0.2"/>
    <n v="16"/>
    <s v="C"/>
    <n v="8.83"/>
    <x v="1"/>
    <n v="65.91"/>
    <x v="2"/>
    <n v="3.13"/>
    <n v="9.93"/>
    <n v="1909.5504000000001"/>
    <n v="6058.0944"/>
    <n v="4148.5439999999999"/>
    <n v="0.68479355488418936"/>
    <n v="53.870063999999999"/>
  </r>
  <r>
    <s v="BATCH00955"/>
    <x v="0"/>
    <x v="3"/>
    <x v="1"/>
    <n v="606.14"/>
    <n v="14.86"/>
    <n v="38.03"/>
    <n v="1.5"/>
    <n v="1.4"/>
    <n v="1"/>
    <s v="B"/>
    <n v="1.26"/>
    <x v="1"/>
    <n v="99.98"/>
    <x v="0"/>
    <n v="9.19"/>
    <n v="14.93"/>
    <n v="5570.4265999999998"/>
    <n v="9049.6702000000005"/>
    <n v="3479.2436000000007"/>
    <n v="0.38446081714668456"/>
    <n v="7.6373639999999998"/>
  </r>
  <r>
    <s v="BATCH00956"/>
    <x v="1"/>
    <x v="3"/>
    <x v="0"/>
    <n v="553.20000000000005"/>
    <n v="17.489999999999998"/>
    <n v="25.41"/>
    <n v="7.3"/>
    <n v="4.5999999999999996"/>
    <n v="6"/>
    <s v="A"/>
    <n v="8.3000000000000007"/>
    <x v="1"/>
    <n v="79"/>
    <x v="0"/>
    <n v="8.52"/>
    <n v="8.8699999999999992"/>
    <n v="4713.2640000000001"/>
    <n v="4906.884"/>
    <n v="193.61999999999989"/>
    <n v="3.9458850056369767E-2"/>
    <n v="45.915600000000005"/>
  </r>
  <r>
    <s v="BATCH00957"/>
    <x v="2"/>
    <x v="0"/>
    <x v="1"/>
    <n v="536.16999999999996"/>
    <n v="10.68"/>
    <n v="36.07"/>
    <n v="4.8"/>
    <n v="1.5"/>
    <n v="9"/>
    <s v="B"/>
    <n v="5.92"/>
    <x v="0"/>
    <n v="54.6"/>
    <x v="2"/>
    <n v="4.37"/>
    <n v="10.94"/>
    <n v="2343.0628999999999"/>
    <n v="5865.6997999999994"/>
    <n v="3522.6368999999995"/>
    <n v="0.60054844606946978"/>
    <n v="31.741263999999997"/>
  </r>
  <r>
    <s v="BATCH00958"/>
    <x v="3"/>
    <x v="0"/>
    <x v="1"/>
    <n v="676.12"/>
    <n v="16.11"/>
    <n v="39.909999999999997"/>
    <n v="0.4"/>
    <n v="0.4"/>
    <n v="28"/>
    <s v="C"/>
    <n v="0.8"/>
    <x v="1"/>
    <n v="75.959999999999994"/>
    <x v="2"/>
    <n v="9.5299999999999994"/>
    <n v="6.07"/>
    <n v="6443.4235999999992"/>
    <n v="4104.0484000000006"/>
    <n v="-2339.3751999999986"/>
    <n v="-0.57001647446457948"/>
    <n v="5.4089600000000004"/>
  </r>
  <r>
    <s v="BATCH00959"/>
    <x v="0"/>
    <x v="3"/>
    <x v="0"/>
    <n v="499.97"/>
    <n v="8.5500000000000007"/>
    <n v="25.05"/>
    <n v="0.9"/>
    <n v="0.3"/>
    <n v="5"/>
    <s v="C"/>
    <n v="9.08"/>
    <x v="1"/>
    <n v="52.5"/>
    <x v="2"/>
    <n v="5.21"/>
    <n v="6.41"/>
    <n v="2604.8436999999999"/>
    <n v="3204.8077000000003"/>
    <n v="599.9640000000004"/>
    <n v="0.1872074882995321"/>
    <n v="45.397276000000005"/>
  </r>
  <r>
    <s v="BATCH00960"/>
    <x v="2"/>
    <x v="0"/>
    <x v="0"/>
    <n v="381.81"/>
    <n v="13.38"/>
    <n v="28.74"/>
    <n v="1.1000000000000001"/>
    <n v="0.2"/>
    <n v="27"/>
    <s v="A"/>
    <n v="0.87"/>
    <x v="1"/>
    <n v="64.430000000000007"/>
    <x v="2"/>
    <n v="7.85"/>
    <n v="13.75"/>
    <n v="2997.2084999999997"/>
    <n v="5249.8874999999998"/>
    <n v="2252.6790000000001"/>
    <n v="0.42909090909090913"/>
    <n v="3.3217469999999998"/>
  </r>
  <r>
    <s v="BATCH00961"/>
    <x v="2"/>
    <x v="3"/>
    <x v="1"/>
    <n v="544.95000000000005"/>
    <n v="8.7100000000000009"/>
    <n v="30.4"/>
    <n v="0.9"/>
    <n v="0.1"/>
    <n v="14"/>
    <s v="B"/>
    <n v="5.39"/>
    <x v="2"/>
    <n v="72.3"/>
    <x v="2"/>
    <n v="8.73"/>
    <n v="8"/>
    <n v="4757.4135000000006"/>
    <n v="4359.6000000000004"/>
    <n v="-397.8135000000002"/>
    <n v="-9.1250000000000039E-2"/>
    <n v="29.372805"/>
  </r>
  <r>
    <s v="BATCH00962"/>
    <x v="3"/>
    <x v="1"/>
    <x v="0"/>
    <n v="708.6"/>
    <n v="17.34"/>
    <n v="25.9"/>
    <n v="3.2"/>
    <n v="0.8"/>
    <n v="10"/>
    <s v="A"/>
    <n v="0.97"/>
    <x v="1"/>
    <n v="76.709999999999994"/>
    <x v="0"/>
    <n v="8.19"/>
    <n v="8.0500000000000007"/>
    <n v="5803.4340000000002"/>
    <n v="5704.2300000000005"/>
    <n v="-99.203999999999724"/>
    <n v="-1.7391304347826039E-2"/>
    <n v="6.8734199999999994"/>
  </r>
  <r>
    <s v="BATCH00963"/>
    <x v="0"/>
    <x v="2"/>
    <x v="0"/>
    <n v="398.52"/>
    <n v="15.66"/>
    <n v="20.309999999999999"/>
    <n v="1.5"/>
    <n v="0.9"/>
    <n v="2"/>
    <s v="B"/>
    <n v="1.18"/>
    <x v="1"/>
    <n v="98.81"/>
    <x v="1"/>
    <n v="9.42"/>
    <n v="8.8699999999999992"/>
    <n v="3754.0583999999999"/>
    <n v="3534.8723999999997"/>
    <n v="-219.18600000000015"/>
    <n v="-6.2006764374295427E-2"/>
    <n v="4.7025359999999994"/>
  </r>
  <r>
    <s v="BATCH00964"/>
    <x v="0"/>
    <x v="2"/>
    <x v="0"/>
    <n v="463.85"/>
    <n v="14.58"/>
    <n v="24.4"/>
    <n v="1.7"/>
    <n v="1.2"/>
    <n v="5"/>
    <s v="C"/>
    <n v="8.93"/>
    <x v="0"/>
    <n v="99.11"/>
    <x v="1"/>
    <n v="9.0500000000000007"/>
    <n v="14.66"/>
    <n v="4197.8425000000007"/>
    <n v="6800.0410000000002"/>
    <n v="2602.1984999999995"/>
    <n v="0.38267394270122773"/>
    <n v="41.421805000000006"/>
  </r>
  <r>
    <s v="BATCH00965"/>
    <x v="2"/>
    <x v="0"/>
    <x v="0"/>
    <n v="541.64"/>
    <n v="16.239999999999998"/>
    <n v="25.64"/>
    <n v="3.8"/>
    <n v="1.1000000000000001"/>
    <n v="1"/>
    <s v="A"/>
    <n v="7.78"/>
    <x v="2"/>
    <n v="54.9"/>
    <x v="1"/>
    <n v="9.9600000000000009"/>
    <n v="5.84"/>
    <n v="5394.7344000000003"/>
    <n v="3163.1776"/>
    <n v="-2231.5568000000003"/>
    <n v="-0.70547945205479456"/>
    <n v="42.139592"/>
  </r>
  <r>
    <s v="BATCH00966"/>
    <x v="2"/>
    <x v="3"/>
    <x v="1"/>
    <n v="494.61"/>
    <n v="14.48"/>
    <n v="28.87"/>
    <n v="3.3"/>
    <n v="0.3"/>
    <n v="25"/>
    <s v="A"/>
    <n v="2.37"/>
    <x v="0"/>
    <n v="76.91"/>
    <x v="0"/>
    <n v="4.28"/>
    <n v="13.19"/>
    <n v="2116.9308000000001"/>
    <n v="6523.9058999999997"/>
    <n v="4406.9750999999997"/>
    <n v="0.67551175132676267"/>
    <n v="11.722257000000003"/>
  </r>
  <r>
    <s v="BATCH00967"/>
    <x v="3"/>
    <x v="3"/>
    <x v="1"/>
    <n v="401.77"/>
    <n v="17.690000000000001"/>
    <n v="23.42"/>
    <n v="0.3"/>
    <n v="0.4"/>
    <n v="10"/>
    <s v="B"/>
    <n v="6.39"/>
    <x v="2"/>
    <n v="90.86"/>
    <x v="1"/>
    <n v="5.13"/>
    <n v="8.42"/>
    <n v="2061.0800999999997"/>
    <n v="3382.9033999999997"/>
    <n v="1321.8233"/>
    <n v="0.39073634204275537"/>
    <n v="25.673102999999998"/>
  </r>
  <r>
    <s v="BATCH00968"/>
    <x v="3"/>
    <x v="0"/>
    <x v="1"/>
    <n v="612.19000000000005"/>
    <n v="15.14"/>
    <n v="37.47"/>
    <n v="2.5"/>
    <n v="1.1000000000000001"/>
    <n v="29"/>
    <s v="B"/>
    <n v="8.0500000000000007"/>
    <x v="0"/>
    <n v="61.89"/>
    <x v="1"/>
    <n v="7.45"/>
    <n v="13.49"/>
    <n v="4560.8155000000006"/>
    <n v="8258.4431000000004"/>
    <n v="3697.6275999999998"/>
    <n v="0.44773906597479612"/>
    <n v="49.281295000000007"/>
  </r>
  <r>
    <s v="BATCH00969"/>
    <x v="0"/>
    <x v="3"/>
    <x v="0"/>
    <n v="732"/>
    <n v="17.25"/>
    <n v="34.1"/>
    <n v="1.1000000000000001"/>
    <n v="0.4"/>
    <n v="26"/>
    <s v="B"/>
    <n v="8.9499999999999993"/>
    <x v="0"/>
    <n v="87.53"/>
    <x v="1"/>
    <n v="8.1300000000000008"/>
    <n v="14.92"/>
    <n v="5951.1600000000008"/>
    <n v="10921.44"/>
    <n v="4970.28"/>
    <n v="0.45509383378016083"/>
    <n v="65.513999999999996"/>
  </r>
  <r>
    <s v="BATCH00970"/>
    <x v="1"/>
    <x v="1"/>
    <x v="0"/>
    <n v="519.61"/>
    <n v="13.17"/>
    <n v="21.7"/>
    <n v="0.7"/>
    <n v="0.2"/>
    <n v="25"/>
    <s v="C"/>
    <n v="4.95"/>
    <x v="1"/>
    <n v="93.93"/>
    <x v="1"/>
    <n v="6.74"/>
    <n v="8.49"/>
    <n v="3502.1714000000002"/>
    <n v="4411.4889000000003"/>
    <n v="909.31750000000011"/>
    <n v="0.20612485276796233"/>
    <n v="25.720694999999999"/>
  </r>
  <r>
    <s v="BATCH00971"/>
    <x v="0"/>
    <x v="2"/>
    <x v="0"/>
    <n v="409.59"/>
    <n v="9.17"/>
    <n v="33"/>
    <n v="0.1"/>
    <n v="0.5"/>
    <n v="22"/>
    <s v="B"/>
    <n v="9.0299999999999994"/>
    <x v="1"/>
    <n v="83.12"/>
    <x v="2"/>
    <n v="3.52"/>
    <n v="6.29"/>
    <n v="1441.7567999999999"/>
    <n v="2576.3210999999997"/>
    <n v="1134.5642999999998"/>
    <n v="0.44038155802861684"/>
    <n v="36.985976999999991"/>
  </r>
  <r>
    <s v="BATCH00972"/>
    <x v="2"/>
    <x v="0"/>
    <x v="0"/>
    <n v="345.1"/>
    <n v="13.28"/>
    <n v="33.07"/>
    <n v="1.3"/>
    <n v="0.3"/>
    <n v="27"/>
    <s v="C"/>
    <n v="5.32"/>
    <x v="2"/>
    <n v="66.39"/>
    <x v="0"/>
    <n v="8.89"/>
    <n v="6.44"/>
    <n v="3067.9390000000003"/>
    <n v="2222.4440000000004"/>
    <n v="-845.49499999999989"/>
    <n v="-0.38043478260869551"/>
    <n v="18.359320000000004"/>
  </r>
  <r>
    <s v="BATCH00973"/>
    <x v="0"/>
    <x v="0"/>
    <x v="0"/>
    <n v="525.79999999999995"/>
    <n v="9.27"/>
    <n v="39.119999999999997"/>
    <n v="0.9"/>
    <n v="0.1"/>
    <n v="9"/>
    <s v="B"/>
    <n v="7.04"/>
    <x v="2"/>
    <n v="96.16"/>
    <x v="1"/>
    <n v="9.73"/>
    <n v="12.59"/>
    <n v="5116.0339999999997"/>
    <n v="6619.8219999999992"/>
    <n v="1503.7879999999996"/>
    <n v="0.22716441620333594"/>
    <n v="37.016319999999993"/>
  </r>
  <r>
    <s v="BATCH00974"/>
    <x v="1"/>
    <x v="3"/>
    <x v="0"/>
    <n v="610.39"/>
    <n v="13.92"/>
    <n v="20.059999999999999"/>
    <n v="0.6"/>
    <n v="1.8"/>
    <n v="3"/>
    <s v="B"/>
    <n v="9.8000000000000007"/>
    <x v="2"/>
    <n v="94.18"/>
    <x v="2"/>
    <n v="5.84"/>
    <n v="6.45"/>
    <n v="3564.6776"/>
    <n v="3937.0155"/>
    <n v="372.33789999999999"/>
    <n v="9.4573643410852712E-2"/>
    <n v="59.818220000000004"/>
  </r>
  <r>
    <s v="BATCH00975"/>
    <x v="3"/>
    <x v="0"/>
    <x v="0"/>
    <n v="547.52"/>
    <n v="12.82"/>
    <n v="24.96"/>
    <n v="2.4"/>
    <n v="1.9"/>
    <n v="15"/>
    <s v="C"/>
    <n v="2.74"/>
    <x v="1"/>
    <n v="85.79"/>
    <x v="1"/>
    <n v="4.57"/>
    <n v="7.6"/>
    <n v="2502.1664000000001"/>
    <n v="4161.152"/>
    <n v="1658.9856"/>
    <n v="0.39868421052631575"/>
    <n v="15.002048"/>
  </r>
  <r>
    <s v="BATCH00976"/>
    <x v="1"/>
    <x v="1"/>
    <x v="1"/>
    <n v="499.76"/>
    <n v="14.23"/>
    <n v="38.56"/>
    <n v="2.9"/>
    <n v="0.2"/>
    <n v="4"/>
    <s v="B"/>
    <n v="2.1"/>
    <x v="0"/>
    <n v="68.180000000000007"/>
    <x v="1"/>
    <n v="3.14"/>
    <n v="7.04"/>
    <n v="1569.2464"/>
    <n v="3518.3103999999998"/>
    <n v="1949.0639999999999"/>
    <n v="0.55397727272727271"/>
    <n v="10.494960000000001"/>
  </r>
  <r>
    <s v="BATCH00977"/>
    <x v="1"/>
    <x v="3"/>
    <x v="1"/>
    <n v="441.07"/>
    <n v="8.1"/>
    <n v="38.64"/>
    <n v="0.6"/>
    <n v="0.1"/>
    <n v="13"/>
    <s v="C"/>
    <n v="3.75"/>
    <x v="2"/>
    <n v="89.59"/>
    <x v="1"/>
    <n v="4.66"/>
    <n v="8.56"/>
    <n v="2055.3861999999999"/>
    <n v="3775.5592000000001"/>
    <n v="1720.1730000000002"/>
    <n v="0.45560747663551404"/>
    <n v="16.540125"/>
  </r>
  <r>
    <s v="BATCH00978"/>
    <x v="1"/>
    <x v="3"/>
    <x v="0"/>
    <n v="390.78"/>
    <n v="9.9499999999999993"/>
    <n v="34.409999999999997"/>
    <n v="0.1"/>
    <n v="1.3"/>
    <n v="6"/>
    <s v="C"/>
    <n v="2.06"/>
    <x v="1"/>
    <n v="65.81"/>
    <x v="1"/>
    <n v="7.9"/>
    <n v="5.74"/>
    <n v="3087.1619999999998"/>
    <n v="2243.0771999999997"/>
    <n v="-844.08480000000009"/>
    <n v="-0.37630662020905931"/>
    <n v="8.0500679999999996"/>
  </r>
  <r>
    <s v="BATCH00979"/>
    <x v="3"/>
    <x v="3"/>
    <x v="0"/>
    <n v="583.48"/>
    <n v="12.91"/>
    <n v="35.32"/>
    <n v="3.8"/>
    <n v="0.2"/>
    <n v="20"/>
    <s v="B"/>
    <n v="3.2"/>
    <x v="1"/>
    <n v="62.65"/>
    <x v="1"/>
    <n v="9.3800000000000008"/>
    <n v="13.57"/>
    <n v="5473.0424000000003"/>
    <n v="7917.8236000000006"/>
    <n v="2444.7812000000004"/>
    <n v="0.3087693441414886"/>
    <n v="18.671360000000004"/>
  </r>
  <r>
    <s v="BATCH00980"/>
    <x v="1"/>
    <x v="3"/>
    <x v="0"/>
    <n v="591.38"/>
    <n v="17.510000000000002"/>
    <n v="21.83"/>
    <n v="0"/>
    <n v="0.5"/>
    <n v="17"/>
    <s v="B"/>
    <n v="7.56"/>
    <x v="0"/>
    <n v="75.75"/>
    <x v="2"/>
    <n v="3.65"/>
    <n v="13.6"/>
    <n v="2158.5369999999998"/>
    <n v="8042.768"/>
    <n v="5884.2309999999998"/>
    <n v="0.73161764705882348"/>
    <n v="44.708328000000002"/>
  </r>
  <r>
    <s v="BATCH00981"/>
    <x v="1"/>
    <x v="1"/>
    <x v="1"/>
    <n v="345.43"/>
    <n v="11.84"/>
    <n v="30.28"/>
    <n v="5.5"/>
    <n v="0.1"/>
    <n v="23"/>
    <s v="A"/>
    <n v="5.04"/>
    <x v="0"/>
    <n v="99.86"/>
    <x v="1"/>
    <n v="6.87"/>
    <n v="9.1300000000000008"/>
    <n v="2373.1041"/>
    <n v="3153.7759000000005"/>
    <n v="780.67180000000053"/>
    <n v="0.24753559693318741"/>
    <n v="17.409672"/>
  </r>
  <r>
    <s v="BATCH00982"/>
    <x v="1"/>
    <x v="3"/>
    <x v="1"/>
    <n v="658.98"/>
    <n v="12.24"/>
    <n v="24.63"/>
    <n v="2"/>
    <n v="0.3"/>
    <n v="5"/>
    <s v="B"/>
    <n v="4.0599999999999996"/>
    <x v="1"/>
    <n v="90.22"/>
    <x v="2"/>
    <n v="7.87"/>
    <n v="11.12"/>
    <n v="5186.1725999999999"/>
    <n v="7327.8575999999994"/>
    <n v="2141.6849999999995"/>
    <n v="0.29226618705035967"/>
    <n v="26.754587999999998"/>
  </r>
  <r>
    <s v="BATCH00983"/>
    <x v="2"/>
    <x v="0"/>
    <x v="0"/>
    <n v="557.41"/>
    <n v="15.15"/>
    <n v="23.62"/>
    <n v="0.8"/>
    <n v="1.6"/>
    <n v="15"/>
    <s v="A"/>
    <n v="4"/>
    <x v="0"/>
    <n v="86.49"/>
    <x v="1"/>
    <n v="4.93"/>
    <n v="11.42"/>
    <n v="2748.0312999999996"/>
    <n v="6365.6221999999998"/>
    <n v="3617.5909000000001"/>
    <n v="0.56830122591943966"/>
    <n v="22.296399999999998"/>
  </r>
  <r>
    <s v="BATCH00984"/>
    <x v="1"/>
    <x v="1"/>
    <x v="0"/>
    <n v="639.96"/>
    <n v="14.04"/>
    <n v="36.21"/>
    <n v="0.6"/>
    <n v="1.6"/>
    <n v="8"/>
    <s v="B"/>
    <n v="2.35"/>
    <x v="0"/>
    <n v="72.599999999999994"/>
    <x v="0"/>
    <n v="6.99"/>
    <n v="12.49"/>
    <n v="4473.3204000000005"/>
    <n v="7993.1004000000003"/>
    <n v="3519.7799999999997"/>
    <n v="0.44035228182546032"/>
    <n v="15.039060000000001"/>
  </r>
  <r>
    <s v="BATCH00985"/>
    <x v="3"/>
    <x v="2"/>
    <x v="1"/>
    <n v="365.79"/>
    <n v="10.99"/>
    <n v="22.7"/>
    <n v="0"/>
    <n v="0.2"/>
    <n v="25"/>
    <s v="C"/>
    <n v="4.75"/>
    <x v="1"/>
    <n v="65.599999999999994"/>
    <x v="2"/>
    <n v="8.01"/>
    <n v="10.210000000000001"/>
    <n v="2929.9778999999999"/>
    <n v="3734.7159000000006"/>
    <n v="804.73800000000074"/>
    <n v="0.21547502448579839"/>
    <n v="17.375025000000001"/>
  </r>
  <r>
    <s v="BATCH00986"/>
    <x v="1"/>
    <x v="2"/>
    <x v="1"/>
    <n v="363.42"/>
    <n v="12.11"/>
    <n v="29.37"/>
    <n v="0.5"/>
    <n v="0.4"/>
    <n v="5"/>
    <s v="C"/>
    <n v="6.43"/>
    <x v="2"/>
    <n v="92.8"/>
    <x v="1"/>
    <n v="8.86"/>
    <n v="10.1"/>
    <n v="3219.9011999999998"/>
    <n v="3670.5419999999999"/>
    <n v="450.64080000000013"/>
    <n v="0.12277227722772281"/>
    <n v="23.367905999999998"/>
  </r>
  <r>
    <s v="BATCH00987"/>
    <x v="1"/>
    <x v="0"/>
    <x v="1"/>
    <n v="485.1"/>
    <n v="10.18"/>
    <n v="38.770000000000003"/>
    <n v="0.3"/>
    <n v="0.1"/>
    <n v="24"/>
    <s v="A"/>
    <n v="1.82"/>
    <x v="2"/>
    <n v="78.39"/>
    <x v="2"/>
    <n v="6.17"/>
    <n v="11.31"/>
    <n v="2993.067"/>
    <n v="5486.4810000000007"/>
    <n v="2493.4140000000007"/>
    <n v="0.45446507515473039"/>
    <n v="8.8288200000000003"/>
  </r>
  <r>
    <s v="BATCH00988"/>
    <x v="3"/>
    <x v="0"/>
    <x v="1"/>
    <n v="550.28"/>
    <n v="17.66"/>
    <n v="23.72"/>
    <n v="1.9"/>
    <n v="0.1"/>
    <n v="13"/>
    <s v="B"/>
    <n v="9.74"/>
    <x v="1"/>
    <n v="90.66"/>
    <x v="1"/>
    <n v="8.24"/>
    <n v="12.03"/>
    <n v="4534.3072000000002"/>
    <n v="6619.8683999999994"/>
    <n v="2085.5611999999992"/>
    <n v="0.31504571903574385"/>
    <n v="53.597272000000004"/>
  </r>
  <r>
    <s v="BATCH00989"/>
    <x v="1"/>
    <x v="1"/>
    <x v="0"/>
    <n v="679.64"/>
    <n v="9.31"/>
    <n v="39.56"/>
    <n v="0.4"/>
    <n v="4.9000000000000004"/>
    <n v="1"/>
    <s v="A"/>
    <n v="4.71"/>
    <x v="2"/>
    <n v="74.39"/>
    <x v="1"/>
    <n v="5.1100000000000003"/>
    <n v="8.4700000000000006"/>
    <n v="3472.9603999999999"/>
    <n v="5756.5508"/>
    <n v="2283.5904"/>
    <n v="0.39669421487603307"/>
    <n v="32.011043999999998"/>
  </r>
  <r>
    <s v="BATCH00990"/>
    <x v="3"/>
    <x v="2"/>
    <x v="1"/>
    <n v="570.61"/>
    <n v="11.72"/>
    <n v="39.89"/>
    <n v="1.5"/>
    <n v="1.1000000000000001"/>
    <n v="1"/>
    <s v="B"/>
    <n v="9.51"/>
    <x v="1"/>
    <n v="87.7"/>
    <x v="2"/>
    <n v="4.49"/>
    <n v="8.3000000000000007"/>
    <n v="2562.0389"/>
    <n v="4736.0630000000001"/>
    <n v="2174.0241000000001"/>
    <n v="0.45903614457831327"/>
    <n v="54.265011000000001"/>
  </r>
  <r>
    <s v="BATCH00991"/>
    <x v="1"/>
    <x v="2"/>
    <x v="1"/>
    <n v="475.73"/>
    <n v="8.26"/>
    <n v="31.11"/>
    <n v="1.8"/>
    <n v="0.8"/>
    <n v="7"/>
    <s v="B"/>
    <n v="1.78"/>
    <x v="1"/>
    <n v="93.39"/>
    <x v="1"/>
    <n v="4.3099999999999996"/>
    <n v="7.7"/>
    <n v="2050.3962999999999"/>
    <n v="3663.1210000000001"/>
    <n v="1612.7247000000002"/>
    <n v="0.4402597402597403"/>
    <n v="8.4679939999999991"/>
  </r>
  <r>
    <s v="BATCH00992"/>
    <x v="3"/>
    <x v="2"/>
    <x v="0"/>
    <n v="397.36"/>
    <n v="10.220000000000001"/>
    <n v="23.4"/>
    <n v="0.7"/>
    <n v="1.5"/>
    <n v="22"/>
    <s v="C"/>
    <n v="7.79"/>
    <x v="0"/>
    <n v="69.569999999999993"/>
    <x v="1"/>
    <n v="5.51"/>
    <n v="10.49"/>
    <n v="2189.4535999999998"/>
    <n v="4168.3064000000004"/>
    <n v="1978.8528000000006"/>
    <n v="0.47473784556720694"/>
    <n v="30.954344000000003"/>
  </r>
  <r>
    <s v="BATCH00993"/>
    <x v="1"/>
    <x v="2"/>
    <x v="1"/>
    <n v="623"/>
    <n v="15.8"/>
    <n v="26.32"/>
    <n v="0.1"/>
    <n v="1.8"/>
    <n v="5"/>
    <s v="A"/>
    <n v="6.37"/>
    <x v="2"/>
    <n v="50.68"/>
    <x v="1"/>
    <n v="3.25"/>
    <n v="8.6"/>
    <n v="2024.75"/>
    <n v="5357.8"/>
    <n v="3333.05"/>
    <n v="0.62209302325581395"/>
    <n v="39.685100000000006"/>
  </r>
  <r>
    <s v="BATCH00994"/>
    <x v="1"/>
    <x v="2"/>
    <x v="1"/>
    <n v="403.53"/>
    <n v="10.01"/>
    <n v="28.49"/>
    <n v="0.1"/>
    <n v="1.6"/>
    <n v="14"/>
    <s v="C"/>
    <n v="8.2899999999999991"/>
    <x v="1"/>
    <n v="62.75"/>
    <x v="1"/>
    <n v="4.9800000000000004"/>
    <n v="10.4"/>
    <n v="2009.5794000000001"/>
    <n v="4196.7119999999995"/>
    <n v="2187.1325999999995"/>
    <n v="0.52115384615384608"/>
    <n v="33.452636999999996"/>
  </r>
  <r>
    <s v="BATCH00995"/>
    <x v="2"/>
    <x v="3"/>
    <x v="1"/>
    <n v="662.85"/>
    <n v="8.8000000000000007"/>
    <n v="26.19"/>
    <n v="0.1"/>
    <n v="0"/>
    <n v="15"/>
    <s v="C"/>
    <n v="6.21"/>
    <x v="2"/>
    <n v="95.75"/>
    <x v="1"/>
    <n v="7.57"/>
    <n v="9.06"/>
    <n v="5017.7745000000004"/>
    <n v="6005.4210000000003"/>
    <n v="987.64649999999983"/>
    <n v="0.16445916114790282"/>
    <n v="41.162984999999999"/>
  </r>
  <r>
    <s v="BATCH00996"/>
    <x v="2"/>
    <x v="0"/>
    <x v="0"/>
    <n v="471.56"/>
    <n v="12.74"/>
    <n v="25.61"/>
    <n v="2.7"/>
    <n v="0.2"/>
    <n v="21"/>
    <s v="C"/>
    <n v="9.65"/>
    <x v="2"/>
    <n v="84.38"/>
    <x v="1"/>
    <n v="7.54"/>
    <n v="13.37"/>
    <n v="3555.5624000000003"/>
    <n v="6304.7572"/>
    <n v="2749.1947999999998"/>
    <n v="0.43605086013462974"/>
    <n v="45.505540000000003"/>
  </r>
  <r>
    <s v="BATCH00997"/>
    <x v="1"/>
    <x v="3"/>
    <x v="1"/>
    <n v="659.06"/>
    <n v="8.1"/>
    <n v="39.44"/>
    <n v="0.8"/>
    <n v="1.1000000000000001"/>
    <n v="25"/>
    <s v="A"/>
    <n v="6.46"/>
    <x v="2"/>
    <n v="86.86"/>
    <x v="2"/>
    <n v="3.51"/>
    <n v="5.73"/>
    <n v="2313.3005999999996"/>
    <n v="3776.4137999999998"/>
    <n v="1463.1132000000002"/>
    <n v="0.38743455497382207"/>
    <n v="42.575275999999995"/>
  </r>
  <r>
    <s v="BATCH00998"/>
    <x v="1"/>
    <x v="2"/>
    <x v="0"/>
    <n v="567.89"/>
    <n v="8.85"/>
    <n v="23.07"/>
    <n v="3.2"/>
    <n v="0.5"/>
    <n v="17"/>
    <s v="B"/>
    <n v="7.95"/>
    <x v="1"/>
    <n v="66.260000000000005"/>
    <x v="0"/>
    <n v="5.01"/>
    <n v="10.72"/>
    <n v="2845.1288999999997"/>
    <n v="6087.7808000000005"/>
    <n v="3242.6519000000008"/>
    <n v="0.53264925373134342"/>
    <n v="45.147254999999994"/>
  </r>
  <r>
    <s v="BATCH00999"/>
    <x v="0"/>
    <x v="1"/>
    <x v="0"/>
    <n v="486.3"/>
    <n v="16.079999999999998"/>
    <n v="34.67"/>
    <n v="1.1000000000000001"/>
    <n v="4"/>
    <n v="24"/>
    <s v="B"/>
    <n v="8.84"/>
    <x v="0"/>
    <n v="85.06"/>
    <x v="1"/>
    <n v="6.99"/>
    <n v="10.76"/>
    <n v="3399.2370000000001"/>
    <n v="5232.5879999999997"/>
    <n v="1833.3509999999997"/>
    <n v="0.35037174721189585"/>
    <n v="42.98892"/>
  </r>
  <r>
    <s v="BATCH01000"/>
    <x v="3"/>
    <x v="1"/>
    <x v="1"/>
    <n v="448.06"/>
    <n v="15.71"/>
    <n v="20.010000000000002"/>
    <n v="1.2"/>
    <n v="1.1000000000000001"/>
    <n v="18"/>
    <s v="A"/>
    <n v="7.29"/>
    <x v="2"/>
    <n v="82.31"/>
    <x v="2"/>
    <n v="5.23"/>
    <n v="8.84"/>
    <n v="2343.3538000000003"/>
    <n v="3960.8503999999998"/>
    <n v="1617.4965999999995"/>
    <n v="0.40837104072398178"/>
    <n v="32.663573999999997"/>
  </r>
  <r>
    <s v="BATCH01001"/>
    <x v="0"/>
    <x v="2"/>
    <x v="1"/>
    <n v="465.91"/>
    <n v="17.149999999999999"/>
    <n v="31.92"/>
    <n v="1.4"/>
    <n v="3.1"/>
    <n v="7"/>
    <s v="B"/>
    <n v="5.48"/>
    <x v="1"/>
    <n v="58.92"/>
    <x v="0"/>
    <n v="5.93"/>
    <n v="9.2100000000000009"/>
    <n v="2762.8463000000002"/>
    <n v="4291.0311000000011"/>
    <n v="1528.1848000000009"/>
    <n v="0.35613463626492953"/>
    <n v="25.531868000000003"/>
  </r>
  <r>
    <s v="BATCH01002"/>
    <x v="2"/>
    <x v="2"/>
    <x v="1"/>
    <n v="542.83000000000004"/>
    <n v="16.55"/>
    <n v="38.32"/>
    <n v="2.5"/>
    <n v="0.2"/>
    <n v="22"/>
    <s v="A"/>
    <n v="3.09"/>
    <x v="2"/>
    <n v="98.43"/>
    <x v="2"/>
    <n v="7.99"/>
    <n v="13"/>
    <n v="4337.2117000000007"/>
    <n v="7056.7900000000009"/>
    <n v="2719.5783000000001"/>
    <n v="0.38538461538461538"/>
    <n v="16.773447000000001"/>
  </r>
  <r>
    <s v="BATCH01003"/>
    <x v="2"/>
    <x v="1"/>
    <x v="1"/>
    <n v="507.72"/>
    <n v="14.83"/>
    <n v="25.76"/>
    <n v="0.6"/>
    <n v="2"/>
    <n v="26"/>
    <s v="A"/>
    <n v="8.6199999999999992"/>
    <x v="0"/>
    <n v="67.7"/>
    <x v="0"/>
    <n v="3.06"/>
    <n v="7.81"/>
    <n v="1553.6232"/>
    <n v="3965.2932000000001"/>
    <n v="2411.67"/>
    <n v="0.60819462227912935"/>
    <n v="43.765464000000001"/>
  </r>
  <r>
    <s v="BATCH01004"/>
    <x v="2"/>
    <x v="3"/>
    <x v="0"/>
    <n v="440.62"/>
    <n v="8.52"/>
    <n v="23.71"/>
    <n v="0.3"/>
    <n v="0.4"/>
    <n v="18"/>
    <s v="B"/>
    <n v="5.07"/>
    <x v="2"/>
    <n v="66.459999999999994"/>
    <x v="0"/>
    <n v="4.93"/>
    <n v="13.71"/>
    <n v="2172.2565999999997"/>
    <n v="6040.9002"/>
    <n v="3868.6436000000003"/>
    <n v="0.64040846097738879"/>
    <n v="22.339434000000001"/>
  </r>
  <r>
    <s v="BATCH01005"/>
    <x v="2"/>
    <x v="3"/>
    <x v="1"/>
    <n v="483.44"/>
    <n v="15.83"/>
    <n v="33.03"/>
    <n v="1.6"/>
    <n v="4.5999999999999996"/>
    <n v="28"/>
    <s v="C"/>
    <n v="6.4"/>
    <x v="1"/>
    <n v="68.459999999999994"/>
    <x v="0"/>
    <n v="4"/>
    <n v="13.96"/>
    <n v="1933.76"/>
    <n v="6748.8224"/>
    <n v="4815.0623999999998"/>
    <n v="0.71346704871060174"/>
    <n v="30.940160000000002"/>
  </r>
  <r>
    <s v="BATCH01006"/>
    <x v="1"/>
    <x v="2"/>
    <x v="1"/>
    <n v="507.86"/>
    <n v="16.46"/>
    <n v="34.25"/>
    <n v="0.8"/>
    <n v="0.2"/>
    <n v="29"/>
    <s v="A"/>
    <n v="1.25"/>
    <x v="2"/>
    <n v="54.59"/>
    <x v="2"/>
    <n v="3.89"/>
    <n v="11.51"/>
    <n v="1975.5754000000002"/>
    <n v="5845.4686000000002"/>
    <n v="3869.8932"/>
    <n v="0.66203301476976539"/>
    <n v="6.3482500000000002"/>
  </r>
  <r>
    <s v="BATCH01007"/>
    <x v="2"/>
    <x v="3"/>
    <x v="1"/>
    <n v="287.13"/>
    <n v="15.99"/>
    <n v="33.76"/>
    <n v="1.2"/>
    <n v="0.7"/>
    <n v="19"/>
    <s v="A"/>
    <n v="5.22"/>
    <x v="2"/>
    <n v="81.25"/>
    <x v="0"/>
    <n v="9.7100000000000009"/>
    <n v="12.73"/>
    <n v="2788.0323000000003"/>
    <n v="3655.1649000000002"/>
    <n v="867.13259999999991"/>
    <n v="0.23723487824037703"/>
    <n v="14.988185999999999"/>
  </r>
  <r>
    <s v="BATCH01008"/>
    <x v="1"/>
    <x v="1"/>
    <x v="0"/>
    <n v="545.82000000000005"/>
    <n v="13.08"/>
    <n v="26.39"/>
    <n v="2.1"/>
    <n v="1.6"/>
    <n v="20"/>
    <s v="A"/>
    <n v="7.13"/>
    <x v="2"/>
    <n v="61.93"/>
    <x v="1"/>
    <n v="5.64"/>
    <n v="11.13"/>
    <n v="3078.4248000000002"/>
    <n v="6074.9766000000009"/>
    <n v="2996.5518000000006"/>
    <n v="0.49326145552560652"/>
    <n v="38.916966000000002"/>
  </r>
  <r>
    <s v="BATCH01009"/>
    <x v="1"/>
    <x v="3"/>
    <x v="1"/>
    <n v="402.03"/>
    <n v="10.33"/>
    <n v="25.04"/>
    <n v="1.4"/>
    <n v="0.6"/>
    <n v="7"/>
    <s v="A"/>
    <n v="6.05"/>
    <x v="0"/>
    <n v="90.17"/>
    <x v="1"/>
    <n v="6.69"/>
    <n v="10.25"/>
    <n v="2689.5807"/>
    <n v="4120.8074999999999"/>
    <n v="1431.2267999999999"/>
    <n v="0.34731707317073168"/>
    <n v="24.322814999999995"/>
  </r>
  <r>
    <s v="BATCH01010"/>
    <x v="2"/>
    <x v="2"/>
    <x v="1"/>
    <n v="384.67"/>
    <n v="16.45"/>
    <n v="39.119999999999997"/>
    <n v="1.9"/>
    <n v="0.6"/>
    <n v="8"/>
    <s v="B"/>
    <n v="4.76"/>
    <x v="2"/>
    <n v="69.709999999999994"/>
    <x v="0"/>
    <n v="8.14"/>
    <n v="14.67"/>
    <n v="3131.2138000000004"/>
    <n v="5643.1089000000002"/>
    <n v="2511.8950999999997"/>
    <n v="0.44512610770279476"/>
    <n v="18.310292"/>
  </r>
  <r>
    <s v="BATCH01011"/>
    <x v="2"/>
    <x v="1"/>
    <x v="0"/>
    <n v="331.27"/>
    <n v="15.27"/>
    <n v="38.47"/>
    <n v="1.6"/>
    <n v="4.3"/>
    <n v="13"/>
    <s v="B"/>
    <n v="2.62"/>
    <x v="1"/>
    <n v="72.930000000000007"/>
    <x v="0"/>
    <n v="3.33"/>
    <n v="7.83"/>
    <n v="1103.1290999999999"/>
    <n v="2593.8440999999998"/>
    <n v="1490.7149999999999"/>
    <n v="0.57471264367816088"/>
    <n v="8.6792739999999995"/>
  </r>
  <r>
    <s v="BATCH01012"/>
    <x v="3"/>
    <x v="3"/>
    <x v="0"/>
    <n v="320.61"/>
    <n v="17.809999999999999"/>
    <n v="29.15"/>
    <n v="2.7"/>
    <n v="0.6"/>
    <n v="27"/>
    <s v="A"/>
    <n v="3.44"/>
    <x v="2"/>
    <n v="82.32"/>
    <x v="1"/>
    <n v="4.6900000000000004"/>
    <n v="6.54"/>
    <n v="1503.6609000000001"/>
    <n v="2096.7894000000001"/>
    <n v="593.12850000000003"/>
    <n v="0.28287461773700306"/>
    <n v="11.028984000000001"/>
  </r>
  <r>
    <s v="BATCH01013"/>
    <x v="0"/>
    <x v="0"/>
    <x v="1"/>
    <n v="364.46"/>
    <n v="9.56"/>
    <n v="36.92"/>
    <n v="2.4"/>
    <n v="0.9"/>
    <n v="18"/>
    <s v="C"/>
    <n v="7.16"/>
    <x v="2"/>
    <n v="88.09"/>
    <x v="2"/>
    <n v="8.83"/>
    <n v="7.87"/>
    <n v="3218.1817999999998"/>
    <n v="2868.3001999999997"/>
    <n v="-349.88160000000016"/>
    <n v="-0.12198221092757314"/>
    <n v="26.095335999999996"/>
  </r>
  <r>
    <s v="BATCH01014"/>
    <x v="2"/>
    <x v="1"/>
    <x v="1"/>
    <n v="429.1"/>
    <n v="10.26"/>
    <n v="29.05"/>
    <n v="1.5"/>
    <n v="0.1"/>
    <n v="24"/>
    <s v="B"/>
    <n v="2.63"/>
    <x v="2"/>
    <n v="61.56"/>
    <x v="2"/>
    <n v="9.0299999999999994"/>
    <n v="11.15"/>
    <n v="3874.7730000000001"/>
    <n v="4784.4650000000001"/>
    <n v="909.69200000000001"/>
    <n v="0.19013452914798207"/>
    <n v="11.285329999999998"/>
  </r>
  <r>
    <s v="BATCH01015"/>
    <x v="3"/>
    <x v="1"/>
    <x v="1"/>
    <n v="695.33"/>
    <n v="10.119999999999999"/>
    <n v="28.49"/>
    <n v="2.2999999999999998"/>
    <n v="1.8"/>
    <n v="11"/>
    <s v="C"/>
    <n v="6.41"/>
    <x v="0"/>
    <n v="98.31"/>
    <x v="1"/>
    <n v="5.61"/>
    <n v="6.85"/>
    <n v="3900.8013000000005"/>
    <n v="4763.0105000000003"/>
    <n v="862.20919999999978"/>
    <n v="0.18102189781021891"/>
    <n v="44.570653"/>
  </r>
  <r>
    <s v="BATCH01016"/>
    <x v="3"/>
    <x v="0"/>
    <x v="1"/>
    <n v="447.41"/>
    <n v="15.93"/>
    <n v="23.14"/>
    <n v="4.0999999999999996"/>
    <n v="1"/>
    <n v="9"/>
    <s v="C"/>
    <n v="6.1"/>
    <x v="1"/>
    <n v="81.12"/>
    <x v="2"/>
    <n v="5.62"/>
    <n v="14.09"/>
    <n v="2514.4442000000004"/>
    <n v="6304.0069000000003"/>
    <n v="3789.5626999999999"/>
    <n v="0.60113555713271816"/>
    <n v="27.292010000000001"/>
  </r>
  <r>
    <s v="BATCH01017"/>
    <x v="0"/>
    <x v="0"/>
    <x v="1"/>
    <n v="517.78"/>
    <n v="9.8699999999999992"/>
    <n v="28.53"/>
    <n v="1.1000000000000001"/>
    <n v="0.5"/>
    <n v="23"/>
    <s v="A"/>
    <n v="9.7200000000000006"/>
    <x v="2"/>
    <n v="50.28"/>
    <x v="2"/>
    <n v="8.3000000000000007"/>
    <n v="9.11"/>
    <n v="4297.5740000000005"/>
    <n v="4716.9757999999993"/>
    <n v="419.40179999999873"/>
    <n v="8.8913282107573835E-2"/>
    <n v="50.328216000000005"/>
  </r>
  <r>
    <s v="BATCH01018"/>
    <x v="1"/>
    <x v="1"/>
    <x v="0"/>
    <n v="540.04999999999995"/>
    <n v="8.67"/>
    <n v="30.75"/>
    <n v="1.1000000000000001"/>
    <n v="0"/>
    <n v="1"/>
    <s v="B"/>
    <n v="1.08"/>
    <x v="1"/>
    <n v="70.78"/>
    <x v="0"/>
    <n v="5.07"/>
    <n v="13.5"/>
    <n v="2738.0535"/>
    <n v="7290.6749999999993"/>
    <n v="4552.6214999999993"/>
    <n v="0.62444444444444436"/>
    <n v="5.8325399999999998"/>
  </r>
  <r>
    <s v="BATCH01019"/>
    <x v="2"/>
    <x v="0"/>
    <x v="0"/>
    <n v="513.11"/>
    <n v="17.989999999999998"/>
    <n v="20.45"/>
    <n v="2.9"/>
    <n v="0.9"/>
    <n v="22"/>
    <s v="A"/>
    <n v="1.53"/>
    <x v="1"/>
    <n v="71.84"/>
    <x v="2"/>
    <n v="3.82"/>
    <n v="7.49"/>
    <n v="1960.0801999999999"/>
    <n v="3843.1939000000002"/>
    <n v="1883.1137000000003"/>
    <n v="0.48998664886515358"/>
    <n v="7.8505830000000003"/>
  </r>
  <r>
    <s v="BATCH01020"/>
    <x v="0"/>
    <x v="2"/>
    <x v="1"/>
    <n v="492.26"/>
    <n v="8.25"/>
    <n v="28.88"/>
    <n v="1.7"/>
    <n v="0"/>
    <n v="8"/>
    <s v="A"/>
    <n v="5.31"/>
    <x v="0"/>
    <n v="90.46"/>
    <x v="1"/>
    <n v="4.8"/>
    <n v="8.1300000000000008"/>
    <n v="2362.848"/>
    <n v="4002.0738000000001"/>
    <n v="1639.2258000000002"/>
    <n v="0.40959409594095941"/>
    <n v="26.139005999999998"/>
  </r>
  <r>
    <s v="BATCH01021"/>
    <x v="2"/>
    <x v="2"/>
    <x v="1"/>
    <n v="380.47"/>
    <n v="16.350000000000001"/>
    <n v="35.630000000000003"/>
    <n v="0.1"/>
    <n v="0"/>
    <n v="21"/>
    <s v="C"/>
    <n v="5.51"/>
    <x v="1"/>
    <n v="65.260000000000005"/>
    <x v="2"/>
    <n v="5.71"/>
    <n v="5.59"/>
    <n v="2172.4837000000002"/>
    <n v="2126.8272999999999"/>
    <n v="-45.656400000000303"/>
    <n v="-2.1466905187835564E-2"/>
    <n v="20.963897000000003"/>
  </r>
  <r>
    <s v="BATCH01022"/>
    <x v="3"/>
    <x v="2"/>
    <x v="0"/>
    <n v="645.09"/>
    <n v="11.65"/>
    <n v="33.6"/>
    <n v="4.5"/>
    <n v="1"/>
    <n v="12"/>
    <s v="C"/>
    <n v="0.88"/>
    <x v="2"/>
    <n v="66.56"/>
    <x v="0"/>
    <n v="3.37"/>
    <n v="7.58"/>
    <n v="2173.9533000000001"/>
    <n v="4889.7822000000006"/>
    <n v="2715.8289000000004"/>
    <n v="0.5554089709762533"/>
    <n v="5.6767920000000007"/>
  </r>
  <r>
    <s v="BATCH01023"/>
    <x v="3"/>
    <x v="1"/>
    <x v="1"/>
    <n v="680.72"/>
    <n v="16.420000000000002"/>
    <n v="32.700000000000003"/>
    <n v="0.1"/>
    <n v="0.2"/>
    <n v="2"/>
    <s v="C"/>
    <n v="8.35"/>
    <x v="0"/>
    <n v="53.52"/>
    <x v="1"/>
    <n v="6.35"/>
    <n v="9.9"/>
    <n v="4322.5720000000001"/>
    <n v="6739.1280000000006"/>
    <n v="2416.5560000000005"/>
    <n v="0.35858585858585862"/>
    <n v="56.840119999999999"/>
  </r>
  <r>
    <s v="BATCH01024"/>
    <x v="1"/>
    <x v="0"/>
    <x v="1"/>
    <n v="331.73"/>
    <n v="13.55"/>
    <n v="38.19"/>
    <n v="2.8"/>
    <n v="0.2"/>
    <n v="15"/>
    <s v="A"/>
    <n v="5.2"/>
    <x v="0"/>
    <n v="64.180000000000007"/>
    <x v="1"/>
    <n v="8.18"/>
    <n v="14.46"/>
    <n v="2713.5513999999998"/>
    <n v="4796.8158000000003"/>
    <n v="2083.2644000000005"/>
    <n v="0.43430152143845097"/>
    <n v="17.249960000000002"/>
  </r>
  <r>
    <s v="BATCH01025"/>
    <x v="3"/>
    <x v="0"/>
    <x v="1"/>
    <n v="397.6"/>
    <n v="17.02"/>
    <n v="20.36"/>
    <n v="2.8"/>
    <n v="1.1000000000000001"/>
    <n v="21"/>
    <s v="A"/>
    <n v="3.79"/>
    <x v="1"/>
    <n v="85.85"/>
    <x v="1"/>
    <n v="6.6"/>
    <n v="8.89"/>
    <n v="2624.16"/>
    <n v="3534.6640000000002"/>
    <n v="910.50400000000036"/>
    <n v="0.25759280089988762"/>
    <n v="15.069039999999999"/>
  </r>
  <r>
    <s v="BATCH01026"/>
    <x v="3"/>
    <x v="3"/>
    <x v="1"/>
    <n v="472.02"/>
    <n v="17.260000000000002"/>
    <n v="31.14"/>
    <n v="6.1"/>
    <n v="0.1"/>
    <n v="24"/>
    <s v="A"/>
    <n v="3.53"/>
    <x v="0"/>
    <n v="81.739999999999995"/>
    <x v="0"/>
    <n v="3.5"/>
    <n v="11.4"/>
    <n v="1652.07"/>
    <n v="5381.0280000000002"/>
    <n v="3728.9580000000005"/>
    <n v="0.69298245614035092"/>
    <n v="16.662305999999997"/>
  </r>
  <r>
    <s v="BATCH01027"/>
    <x v="0"/>
    <x v="3"/>
    <x v="1"/>
    <n v="403.55"/>
    <n v="8.09"/>
    <n v="35.75"/>
    <n v="0.1"/>
    <n v="0.4"/>
    <n v="18"/>
    <s v="A"/>
    <n v="8.68"/>
    <x v="1"/>
    <n v="54.07"/>
    <x v="1"/>
    <n v="6.08"/>
    <n v="9.2799999999999994"/>
    <n v="2453.5840000000003"/>
    <n v="3744.944"/>
    <n v="1291.3599999999997"/>
    <n v="0.34482758620689646"/>
    <n v="35.02814"/>
  </r>
  <r>
    <s v="BATCH01028"/>
    <x v="2"/>
    <x v="0"/>
    <x v="0"/>
    <n v="550.6"/>
    <n v="8.75"/>
    <n v="30.83"/>
    <n v="1.8"/>
    <n v="0.2"/>
    <n v="17"/>
    <s v="A"/>
    <n v="2.37"/>
    <x v="1"/>
    <n v="55.73"/>
    <x v="0"/>
    <n v="7.96"/>
    <n v="5.47"/>
    <n v="4382.7759999999998"/>
    <n v="3011.7820000000002"/>
    <n v="-1370.9939999999997"/>
    <n v="-0.45521023765996332"/>
    <n v="13.04922"/>
  </r>
  <r>
    <s v="BATCH01029"/>
    <x v="2"/>
    <x v="0"/>
    <x v="1"/>
    <n v="427.17"/>
    <n v="10.5"/>
    <n v="26.48"/>
    <n v="1.1000000000000001"/>
    <n v="0.9"/>
    <n v="15"/>
    <s v="A"/>
    <n v="2.02"/>
    <x v="0"/>
    <n v="68.849999999999994"/>
    <x v="0"/>
    <n v="3.41"/>
    <n v="10.039999999999999"/>
    <n v="1456.6497000000002"/>
    <n v="4288.7867999999999"/>
    <n v="2832.1370999999999"/>
    <n v="0.66035856573705176"/>
    <n v="8.6288340000000012"/>
  </r>
  <r>
    <s v="BATCH01030"/>
    <x v="0"/>
    <x v="0"/>
    <x v="1"/>
    <n v="716.51"/>
    <n v="14.69"/>
    <n v="22.73"/>
    <n v="0.8"/>
    <n v="1.1000000000000001"/>
    <n v="20"/>
    <s v="A"/>
    <n v="2.5299999999999998"/>
    <x v="2"/>
    <n v="87.19"/>
    <x v="2"/>
    <n v="3.42"/>
    <n v="5.66"/>
    <n v="2450.4641999999999"/>
    <n v="4055.4466000000002"/>
    <n v="1604.9824000000003"/>
    <n v="0.39575971731448767"/>
    <n v="18.127703"/>
  </r>
  <r>
    <s v="BATCH01031"/>
    <x v="1"/>
    <x v="1"/>
    <x v="1"/>
    <n v="619.04999999999995"/>
    <n v="16.88"/>
    <n v="37.75"/>
    <n v="0.2"/>
    <n v="1.3"/>
    <n v="20"/>
    <s v="A"/>
    <n v="6.44"/>
    <x v="1"/>
    <n v="91.65"/>
    <x v="1"/>
    <n v="5.59"/>
    <n v="13.84"/>
    <n v="3460.4894999999997"/>
    <n v="8567.652"/>
    <n v="5107.1625000000004"/>
    <n v="0.59609826589595383"/>
    <n v="39.866819999999997"/>
  </r>
  <r>
    <s v="BATCH01032"/>
    <x v="2"/>
    <x v="0"/>
    <x v="0"/>
    <n v="521.26"/>
    <n v="12.6"/>
    <n v="29.42"/>
    <n v="1.7"/>
    <n v="0.3"/>
    <n v="9"/>
    <s v="B"/>
    <n v="8.1999999999999993"/>
    <x v="0"/>
    <n v="50.73"/>
    <x v="2"/>
    <n v="4.3600000000000003"/>
    <n v="12.53"/>
    <n v="2272.6936000000001"/>
    <n v="6531.3877999999995"/>
    <n v="4258.6941999999999"/>
    <n v="0.65203511572226658"/>
    <n v="42.743319999999997"/>
  </r>
  <r>
    <s v="BATCH01033"/>
    <x v="3"/>
    <x v="3"/>
    <x v="0"/>
    <n v="602.70000000000005"/>
    <n v="14.07"/>
    <n v="37.56"/>
    <n v="1.3"/>
    <n v="0.1"/>
    <n v="3"/>
    <s v="B"/>
    <n v="3.64"/>
    <x v="0"/>
    <n v="66.45"/>
    <x v="2"/>
    <n v="9.5399999999999991"/>
    <n v="8.7899999999999991"/>
    <n v="5749.7579999999998"/>
    <n v="5297.7330000000002"/>
    <n v="-452.02499999999964"/>
    <n v="-8.5324232081911186E-2"/>
    <n v="21.938280000000006"/>
  </r>
  <r>
    <s v="BATCH01034"/>
    <x v="2"/>
    <x v="1"/>
    <x v="0"/>
    <n v="610.59"/>
    <n v="9.8800000000000008"/>
    <n v="31.72"/>
    <n v="0.2"/>
    <n v="0.1"/>
    <n v="20"/>
    <s v="B"/>
    <n v="2.15"/>
    <x v="1"/>
    <n v="71.209999999999994"/>
    <x v="0"/>
    <n v="7.07"/>
    <n v="11.4"/>
    <n v="4316.8713000000007"/>
    <n v="6960.7260000000006"/>
    <n v="2643.8546999999999"/>
    <n v="0.37982456140350873"/>
    <n v="13.127685"/>
  </r>
  <r>
    <s v="BATCH01035"/>
    <x v="3"/>
    <x v="0"/>
    <x v="0"/>
    <n v="443.61"/>
    <n v="16.05"/>
    <n v="33.479999999999997"/>
    <n v="1.9"/>
    <n v="0.6"/>
    <n v="19"/>
    <s v="B"/>
    <n v="2.4900000000000002"/>
    <x v="1"/>
    <n v="95.56"/>
    <x v="2"/>
    <n v="5.01"/>
    <n v="6.12"/>
    <n v="2222.4861000000001"/>
    <n v="2714.8932"/>
    <n v="492.4070999999999"/>
    <n v="0.18137254901960781"/>
    <n v="11.045889000000003"/>
  </r>
  <r>
    <s v="BATCH01036"/>
    <x v="1"/>
    <x v="3"/>
    <x v="1"/>
    <n v="418.38"/>
    <n v="17.670000000000002"/>
    <n v="36.090000000000003"/>
    <n v="2.7"/>
    <n v="2.9"/>
    <n v="18"/>
    <s v="A"/>
    <n v="6.38"/>
    <x v="1"/>
    <n v="75.069999999999993"/>
    <x v="2"/>
    <n v="7.93"/>
    <n v="12.03"/>
    <n v="3317.7534000000001"/>
    <n v="5033.1113999999998"/>
    <n v="1715.3579999999997"/>
    <n v="0.34081463009143803"/>
    <n v="26.692644000000001"/>
  </r>
  <r>
    <s v="BATCH01037"/>
    <x v="0"/>
    <x v="1"/>
    <x v="0"/>
    <n v="507.81"/>
    <n v="10.69"/>
    <n v="33.18"/>
    <n v="2.9"/>
    <n v="0.2"/>
    <n v="20"/>
    <s v="A"/>
    <n v="2.84"/>
    <x v="1"/>
    <n v="63.49"/>
    <x v="2"/>
    <n v="5.62"/>
    <n v="13.23"/>
    <n v="2853.8922000000002"/>
    <n v="6718.3263000000006"/>
    <n v="3864.4341000000004"/>
    <n v="0.5752078609221466"/>
    <n v="14.421804"/>
  </r>
  <r>
    <s v="BATCH01038"/>
    <x v="2"/>
    <x v="0"/>
    <x v="1"/>
    <n v="586.16"/>
    <n v="12.95"/>
    <n v="27.96"/>
    <n v="4.7"/>
    <n v="0.3"/>
    <n v="8"/>
    <s v="C"/>
    <n v="8.83"/>
    <x v="2"/>
    <n v="69.5"/>
    <x v="1"/>
    <n v="3.92"/>
    <n v="13.22"/>
    <n v="2297.7471999999998"/>
    <n v="7749.0352000000003"/>
    <n v="5451.2880000000005"/>
    <n v="0.70347957639939485"/>
    <n v="51.757928"/>
  </r>
  <r>
    <s v="BATCH01039"/>
    <x v="0"/>
    <x v="0"/>
    <x v="1"/>
    <n v="513.91"/>
    <n v="8.86"/>
    <n v="30.27"/>
    <n v="1.1000000000000001"/>
    <n v="0.1"/>
    <n v="1"/>
    <s v="C"/>
    <n v="1.49"/>
    <x v="2"/>
    <n v="71.819999999999993"/>
    <x v="2"/>
    <n v="4.66"/>
    <n v="7.84"/>
    <n v="2394.8206"/>
    <n v="4029.0543999999995"/>
    <n v="1634.2337999999995"/>
    <n v="0.40561224489795911"/>
    <n v="7.6572589999999989"/>
  </r>
  <r>
    <s v="BATCH01040"/>
    <x v="2"/>
    <x v="0"/>
    <x v="0"/>
    <n v="342.3"/>
    <n v="13.59"/>
    <n v="36.06"/>
    <n v="6.1"/>
    <n v="0.9"/>
    <n v="24"/>
    <s v="B"/>
    <n v="0.81"/>
    <x v="2"/>
    <n v="83.5"/>
    <x v="0"/>
    <n v="7.5"/>
    <n v="7.64"/>
    <n v="2567.25"/>
    <n v="2615.172"/>
    <n v="47.922000000000025"/>
    <n v="1.8324607329842941E-2"/>
    <n v="2.7726300000000004"/>
  </r>
  <r>
    <s v="BATCH01041"/>
    <x v="3"/>
    <x v="1"/>
    <x v="0"/>
    <n v="419.72"/>
    <n v="13.03"/>
    <n v="27.47"/>
    <n v="4"/>
    <n v="1.1000000000000001"/>
    <n v="24"/>
    <s v="C"/>
    <n v="1.34"/>
    <x v="2"/>
    <n v="52.05"/>
    <x v="1"/>
    <n v="3.36"/>
    <n v="10.210000000000001"/>
    <n v="1410.2592"/>
    <n v="4285.3412000000008"/>
    <n v="2875.0820000000008"/>
    <n v="0.67091087169441732"/>
    <n v="5.6242480000000015"/>
  </r>
  <r>
    <s v="BATCH01042"/>
    <x v="0"/>
    <x v="3"/>
    <x v="0"/>
    <n v="492.6"/>
    <n v="9.44"/>
    <n v="27.76"/>
    <n v="0.7"/>
    <n v="1"/>
    <n v="15"/>
    <s v="B"/>
    <n v="8.5299999999999994"/>
    <x v="0"/>
    <n v="69.47"/>
    <x v="0"/>
    <n v="4.91"/>
    <n v="14.68"/>
    <n v="2418.6660000000002"/>
    <n v="7231.3680000000004"/>
    <n v="4812.7020000000002"/>
    <n v="0.66553133514986373"/>
    <n v="42.01878"/>
  </r>
  <r>
    <s v="BATCH01043"/>
    <x v="2"/>
    <x v="3"/>
    <x v="0"/>
    <n v="492.43"/>
    <n v="12.42"/>
    <n v="21.91"/>
    <n v="0.3"/>
    <n v="2"/>
    <n v="19"/>
    <s v="A"/>
    <n v="6.69"/>
    <x v="1"/>
    <n v="82.33"/>
    <x v="1"/>
    <n v="4.46"/>
    <n v="14.21"/>
    <n v="2196.2377999999999"/>
    <n v="6997.4303000000009"/>
    <n v="4801.192500000001"/>
    <n v="0.68613652357494725"/>
    <n v="32.943567000000002"/>
  </r>
  <r>
    <s v="BATCH01044"/>
    <x v="3"/>
    <x v="2"/>
    <x v="0"/>
    <n v="697.25"/>
    <n v="11.34"/>
    <n v="38.29"/>
    <n v="1.1000000000000001"/>
    <n v="0.7"/>
    <n v="26"/>
    <s v="A"/>
    <n v="9.6"/>
    <x v="0"/>
    <n v="64.17"/>
    <x v="1"/>
    <n v="4.41"/>
    <n v="8.6"/>
    <n v="3074.8724999999999"/>
    <n v="5996.3499999999995"/>
    <n v="2921.4774999999995"/>
    <n v="0.48720930232558135"/>
    <n v="66.935999999999993"/>
  </r>
  <r>
    <s v="BATCH01045"/>
    <x v="0"/>
    <x v="0"/>
    <x v="1"/>
    <n v="361.4"/>
    <n v="13.22"/>
    <n v="21.82"/>
    <n v="1"/>
    <n v="0.1"/>
    <n v="10"/>
    <s v="C"/>
    <n v="3.69"/>
    <x v="0"/>
    <n v="79.59"/>
    <x v="1"/>
    <n v="7.78"/>
    <n v="12.8"/>
    <n v="2811.692"/>
    <n v="4625.92"/>
    <n v="1814.2280000000001"/>
    <n v="0.39218750000000002"/>
    <n v="13.335659999999997"/>
  </r>
  <r>
    <s v="BATCH01046"/>
    <x v="0"/>
    <x v="2"/>
    <x v="0"/>
    <n v="550.55999999999995"/>
    <n v="13.86"/>
    <n v="32.96"/>
    <n v="1.7"/>
    <n v="0.3"/>
    <n v="12"/>
    <s v="A"/>
    <n v="2.52"/>
    <x v="2"/>
    <n v="67.86"/>
    <x v="0"/>
    <n v="8.7799999999999994"/>
    <n v="14.21"/>
    <n v="4833.9167999999991"/>
    <n v="7823.4575999999997"/>
    <n v="2989.5408000000007"/>
    <n v="0.38212526389866303"/>
    <n v="13.874111999999998"/>
  </r>
  <r>
    <s v="BATCH01047"/>
    <x v="2"/>
    <x v="2"/>
    <x v="0"/>
    <n v="648.91"/>
    <n v="8.08"/>
    <n v="28.26"/>
    <n v="1.8"/>
    <n v="1.1000000000000001"/>
    <n v="28"/>
    <s v="A"/>
    <n v="5.84"/>
    <x v="0"/>
    <n v="87.94"/>
    <x v="2"/>
    <n v="8.01"/>
    <n v="7.61"/>
    <n v="5197.7690999999995"/>
    <n v="4938.2051000000001"/>
    <n v="-259.5639999999994"/>
    <n v="-5.2562417871221956E-2"/>
    <n v="37.896343999999999"/>
  </r>
  <r>
    <s v="BATCH01048"/>
    <x v="2"/>
    <x v="3"/>
    <x v="0"/>
    <n v="727.14"/>
    <n v="15.61"/>
    <n v="28.11"/>
    <n v="2.8"/>
    <n v="0.9"/>
    <n v="6"/>
    <s v="B"/>
    <n v="5.61"/>
    <x v="2"/>
    <n v="53.03"/>
    <x v="1"/>
    <n v="7.52"/>
    <n v="13.3"/>
    <n v="5468.0927999999994"/>
    <n v="9670.9619999999995"/>
    <n v="4202.8692000000001"/>
    <n v="0.43458646616541358"/>
    <n v="40.792554000000003"/>
  </r>
  <r>
    <s v="BATCH01049"/>
    <x v="2"/>
    <x v="1"/>
    <x v="1"/>
    <n v="459.56"/>
    <n v="15.13"/>
    <n v="33.590000000000003"/>
    <n v="1.4"/>
    <n v="0.8"/>
    <n v="29"/>
    <s v="C"/>
    <n v="6.11"/>
    <x v="1"/>
    <n v="95.9"/>
    <x v="0"/>
    <n v="9.42"/>
    <n v="7.68"/>
    <n v="4329.0551999999998"/>
    <n v="3529.4207999999999"/>
    <n v="-799.63439999999991"/>
    <n v="-0.22656249999999997"/>
    <n v="28.079116000000003"/>
  </r>
  <r>
    <s v="BATCH01050"/>
    <x v="3"/>
    <x v="1"/>
    <x v="0"/>
    <n v="549.14"/>
    <n v="11.66"/>
    <n v="21.34"/>
    <n v="0.2"/>
    <n v="1.1000000000000001"/>
    <n v="13"/>
    <s v="A"/>
    <n v="3.8"/>
    <x v="2"/>
    <n v="58.58"/>
    <x v="1"/>
    <n v="3.41"/>
    <n v="8.43"/>
    <n v="1872.5674000000001"/>
    <n v="4629.2501999999995"/>
    <n v="2756.6827999999996"/>
    <n v="0.59549228944246735"/>
    <n v="20.867319999999999"/>
  </r>
  <r>
    <s v="BATCH01051"/>
    <x v="2"/>
    <x v="3"/>
    <x v="1"/>
    <n v="556.98"/>
    <n v="8.5299999999999994"/>
    <n v="31.87"/>
    <n v="3.9"/>
    <n v="1"/>
    <n v="4"/>
    <s v="C"/>
    <n v="0.56000000000000005"/>
    <x v="1"/>
    <n v="57.93"/>
    <x v="2"/>
    <n v="4.17"/>
    <n v="6.99"/>
    <n v="2322.6066000000001"/>
    <n v="3893.2902000000004"/>
    <n v="1570.6836000000003"/>
    <n v="0.40343347639484983"/>
    <n v="3.1190880000000005"/>
  </r>
  <r>
    <s v="BATCH01052"/>
    <x v="0"/>
    <x v="1"/>
    <x v="0"/>
    <n v="519.54999999999995"/>
    <n v="15.55"/>
    <n v="35.44"/>
    <n v="0.7"/>
    <n v="2.1"/>
    <n v="13"/>
    <s v="A"/>
    <n v="0.83"/>
    <x v="2"/>
    <n v="92.03"/>
    <x v="1"/>
    <n v="5.9"/>
    <n v="10.07"/>
    <n v="3065.3449999999998"/>
    <n v="5231.8684999999996"/>
    <n v="2166.5234999999998"/>
    <n v="0.41410129096325721"/>
    <n v="4.3122649999999991"/>
  </r>
  <r>
    <s v="BATCH01053"/>
    <x v="0"/>
    <x v="2"/>
    <x v="0"/>
    <n v="490.12"/>
    <n v="17.55"/>
    <n v="36.56"/>
    <n v="7.1"/>
    <n v="0.9"/>
    <n v="17"/>
    <s v="B"/>
    <n v="6.81"/>
    <x v="0"/>
    <n v="93.46"/>
    <x v="0"/>
    <n v="5.61"/>
    <n v="13.43"/>
    <n v="2749.5732000000003"/>
    <n v="6582.3116"/>
    <n v="3832.7383999999997"/>
    <n v="0.58227848101265822"/>
    <n v="33.377172000000002"/>
  </r>
  <r>
    <s v="BATCH01054"/>
    <x v="2"/>
    <x v="0"/>
    <x v="1"/>
    <n v="543.6"/>
    <n v="10.4"/>
    <n v="23.41"/>
    <n v="0.3"/>
    <n v="1.5"/>
    <n v="1"/>
    <s v="A"/>
    <n v="5.47"/>
    <x v="0"/>
    <n v="54.65"/>
    <x v="1"/>
    <n v="5.93"/>
    <n v="10.28"/>
    <n v="3223.5479999999998"/>
    <n v="5588.2079999999996"/>
    <n v="2364.66"/>
    <n v="0.42315175097276264"/>
    <n v="29.734920000000002"/>
  </r>
  <r>
    <s v="BATCH01055"/>
    <x v="2"/>
    <x v="3"/>
    <x v="0"/>
    <n v="246.78"/>
    <n v="11.24"/>
    <n v="37.950000000000003"/>
    <n v="6.4"/>
    <n v="0.3"/>
    <n v="5"/>
    <s v="C"/>
    <n v="8.3000000000000007"/>
    <x v="2"/>
    <n v="95.44"/>
    <x v="0"/>
    <n v="4.45"/>
    <n v="6.23"/>
    <n v="1098.171"/>
    <n v="1537.4394000000002"/>
    <n v="439.26840000000016"/>
    <n v="0.28571428571428575"/>
    <n v="20.482740000000003"/>
  </r>
  <r>
    <s v="BATCH01056"/>
    <x v="1"/>
    <x v="0"/>
    <x v="1"/>
    <n v="568.21"/>
    <n v="9.84"/>
    <n v="33.119999999999997"/>
    <n v="0.2"/>
    <n v="1.1000000000000001"/>
    <n v="28"/>
    <s v="C"/>
    <n v="3.35"/>
    <x v="1"/>
    <n v="63.66"/>
    <x v="2"/>
    <n v="4.05"/>
    <n v="7.52"/>
    <n v="2301.2505000000001"/>
    <n v="4272.9391999999998"/>
    <n v="1971.6886999999997"/>
    <n v="0.46143617021276589"/>
    <n v="19.035035000000004"/>
  </r>
  <r>
    <s v="BATCH01057"/>
    <x v="0"/>
    <x v="1"/>
    <x v="1"/>
    <n v="512.62"/>
    <n v="13.77"/>
    <n v="37.64"/>
    <n v="0.5"/>
    <n v="2.2999999999999998"/>
    <n v="24"/>
    <s v="B"/>
    <n v="8.25"/>
    <x v="1"/>
    <n v="80.930000000000007"/>
    <x v="2"/>
    <n v="6.56"/>
    <n v="10.63"/>
    <n v="3362.7871999999998"/>
    <n v="5449.1506000000008"/>
    <n v="2086.3634000000011"/>
    <n v="0.38287864534336796"/>
    <n v="42.291149999999995"/>
  </r>
  <r>
    <s v="BATCH01058"/>
    <x v="3"/>
    <x v="0"/>
    <x v="1"/>
    <n v="477.75"/>
    <n v="9.5500000000000007"/>
    <n v="29.71"/>
    <n v="0.1"/>
    <n v="0.5"/>
    <n v="17"/>
    <s v="A"/>
    <n v="4.54"/>
    <x v="2"/>
    <n v="53.43"/>
    <x v="1"/>
    <n v="9.5"/>
    <n v="10.83"/>
    <n v="4538.625"/>
    <n v="5174.0325000000003"/>
    <n v="635.40750000000025"/>
    <n v="0.1228070175438597"/>
    <n v="21.68985"/>
  </r>
  <r>
    <s v="BATCH01059"/>
    <x v="1"/>
    <x v="1"/>
    <x v="0"/>
    <n v="704.69"/>
    <n v="11.56"/>
    <n v="30.84"/>
    <n v="2.4"/>
    <n v="1.5"/>
    <n v="18"/>
    <s v="B"/>
    <n v="1.42"/>
    <x v="0"/>
    <n v="69.03"/>
    <x v="2"/>
    <n v="5.74"/>
    <n v="10.77"/>
    <n v="4044.9206000000004"/>
    <n v="7589.5113000000001"/>
    <n v="3544.5906999999997"/>
    <n v="0.46703806870937786"/>
    <n v="10.006598"/>
  </r>
  <r>
    <s v="BATCH01060"/>
    <x v="2"/>
    <x v="1"/>
    <x v="0"/>
    <n v="432.51"/>
    <n v="14.97"/>
    <n v="38.380000000000003"/>
    <n v="3.8"/>
    <n v="1.3"/>
    <n v="7"/>
    <s v="C"/>
    <n v="9.7899999999999991"/>
    <x v="1"/>
    <n v="72.540000000000006"/>
    <x v="0"/>
    <n v="3.3"/>
    <n v="5.77"/>
    <n v="1427.2829999999999"/>
    <n v="2495.5826999999999"/>
    <n v="1068.2997"/>
    <n v="0.42807625649913345"/>
    <n v="42.342728999999999"/>
  </r>
  <r>
    <s v="BATCH01061"/>
    <x v="2"/>
    <x v="2"/>
    <x v="0"/>
    <n v="459.69"/>
    <n v="13.6"/>
    <n v="38"/>
    <n v="1.1000000000000001"/>
    <n v="0.1"/>
    <n v="16"/>
    <s v="B"/>
    <n v="5.36"/>
    <x v="2"/>
    <n v="79.989999999999995"/>
    <x v="1"/>
    <n v="7.94"/>
    <n v="12.54"/>
    <n v="3649.9386"/>
    <n v="5764.5126"/>
    <n v="2114.5740000000001"/>
    <n v="0.3668261562998405"/>
    <n v="24.639384"/>
  </r>
  <r>
    <s v="BATCH01062"/>
    <x v="0"/>
    <x v="1"/>
    <x v="1"/>
    <n v="699.16"/>
    <n v="11.86"/>
    <n v="28.96"/>
    <n v="5.3"/>
    <n v="0.9"/>
    <n v="8"/>
    <s v="A"/>
    <n v="6.48"/>
    <x v="1"/>
    <n v="76.260000000000005"/>
    <x v="0"/>
    <n v="5.04"/>
    <n v="14.09"/>
    <n v="3523.7664"/>
    <n v="9851.1643999999997"/>
    <n v="6327.3979999999992"/>
    <n v="0.6422995031937544"/>
    <n v="45.305568000000001"/>
  </r>
  <r>
    <s v="BATCH01063"/>
    <x v="2"/>
    <x v="2"/>
    <x v="0"/>
    <n v="416.79"/>
    <n v="12.2"/>
    <n v="25.49"/>
    <n v="1.8"/>
    <n v="0.1"/>
    <n v="12"/>
    <s v="A"/>
    <n v="6.87"/>
    <x v="0"/>
    <n v="73.069999999999993"/>
    <x v="1"/>
    <n v="4.72"/>
    <n v="10.11"/>
    <n v="1967.2488000000001"/>
    <n v="4213.7469000000001"/>
    <n v="2246.4980999999998"/>
    <n v="0.5331355093966369"/>
    <n v="28.633473000000002"/>
  </r>
  <r>
    <s v="BATCH01064"/>
    <x v="3"/>
    <x v="2"/>
    <x v="1"/>
    <n v="444.99"/>
    <n v="13.62"/>
    <n v="27.86"/>
    <n v="2"/>
    <n v="3.4"/>
    <n v="14"/>
    <s v="B"/>
    <n v="3.94"/>
    <x v="1"/>
    <n v="97.98"/>
    <x v="0"/>
    <n v="5.27"/>
    <n v="12.19"/>
    <n v="2345.0972999999999"/>
    <n v="5424.4281000000001"/>
    <n v="3079.3308000000002"/>
    <n v="0.5676784249384742"/>
    <n v="17.532606000000001"/>
  </r>
  <r>
    <s v="BATCH01065"/>
    <x v="0"/>
    <x v="2"/>
    <x v="0"/>
    <n v="485.3"/>
    <n v="8.06"/>
    <n v="27.76"/>
    <n v="3.7"/>
    <n v="1.7"/>
    <n v="19"/>
    <s v="C"/>
    <n v="7.6"/>
    <x v="2"/>
    <n v="59.25"/>
    <x v="1"/>
    <n v="8.07"/>
    <n v="14.14"/>
    <n v="3916.3710000000001"/>
    <n v="6862.1420000000007"/>
    <n v="2945.7710000000006"/>
    <n v="0.42927864214992933"/>
    <n v="36.882799999999996"/>
  </r>
  <r>
    <s v="BATCH01066"/>
    <x v="2"/>
    <x v="3"/>
    <x v="1"/>
    <n v="584.07000000000005"/>
    <n v="8.7899999999999991"/>
    <n v="25.74"/>
    <n v="0.7"/>
    <n v="0.1"/>
    <n v="11"/>
    <s v="C"/>
    <n v="8.77"/>
    <x v="1"/>
    <n v="57.9"/>
    <x v="0"/>
    <n v="8.73"/>
    <n v="11.43"/>
    <n v="5098.9311000000007"/>
    <n v="6675.9201000000003"/>
    <n v="1576.9889999999996"/>
    <n v="0.2362204724409448"/>
    <n v="51.222939000000004"/>
  </r>
  <r>
    <s v="BATCH01067"/>
    <x v="0"/>
    <x v="3"/>
    <x v="1"/>
    <n v="520.78"/>
    <n v="16.809999999999999"/>
    <n v="25.37"/>
    <n v="0.9"/>
    <n v="0.1"/>
    <n v="12"/>
    <s v="B"/>
    <n v="4.18"/>
    <x v="1"/>
    <n v="85.67"/>
    <x v="0"/>
    <n v="7.12"/>
    <n v="11.74"/>
    <n v="3707.9535999999998"/>
    <n v="6113.9571999999998"/>
    <n v="2406.0036"/>
    <n v="0.39352640545144807"/>
    <n v="21.768603999999996"/>
  </r>
  <r>
    <s v="BATCH01068"/>
    <x v="2"/>
    <x v="1"/>
    <x v="1"/>
    <n v="370.74"/>
    <n v="8.7799999999999994"/>
    <n v="37.22"/>
    <n v="4.7"/>
    <n v="0.9"/>
    <n v="13"/>
    <s v="A"/>
    <n v="6.74"/>
    <x v="0"/>
    <n v="53.73"/>
    <x v="1"/>
    <n v="5.26"/>
    <n v="12.21"/>
    <n v="1950.0924"/>
    <n v="4526.7354000000005"/>
    <n v="2576.6430000000005"/>
    <n v="0.56920556920556931"/>
    <n v="24.987876"/>
  </r>
  <r>
    <s v="BATCH01069"/>
    <x v="2"/>
    <x v="2"/>
    <x v="0"/>
    <n v="446.78"/>
    <n v="15.07"/>
    <n v="21.4"/>
    <n v="4.5999999999999996"/>
    <n v="0.4"/>
    <n v="8"/>
    <s v="A"/>
    <n v="7.69"/>
    <x v="0"/>
    <n v="74.14"/>
    <x v="0"/>
    <n v="5.17"/>
    <n v="7.61"/>
    <n v="2309.8525999999997"/>
    <n v="3399.9958000000001"/>
    <n v="1090.1432000000004"/>
    <n v="0.32063074901445476"/>
    <n v="34.357382000000001"/>
  </r>
  <r>
    <s v="BATCH01070"/>
    <x v="2"/>
    <x v="3"/>
    <x v="1"/>
    <n v="439.26"/>
    <n v="17.2"/>
    <n v="33.549999999999997"/>
    <n v="7.5"/>
    <n v="0"/>
    <n v="1"/>
    <s v="A"/>
    <n v="2.31"/>
    <x v="0"/>
    <n v="74.2"/>
    <x v="2"/>
    <n v="3.87"/>
    <n v="10.83"/>
    <n v="1699.9362000000001"/>
    <n v="4757.1858000000002"/>
    <n v="3057.2496000000001"/>
    <n v="0.64265927977839332"/>
    <n v="10.146906"/>
  </r>
  <r>
    <s v="BATCH01071"/>
    <x v="3"/>
    <x v="2"/>
    <x v="1"/>
    <n v="492.28"/>
    <n v="10.71"/>
    <n v="23.46"/>
    <n v="4.5999999999999996"/>
    <n v="0.8"/>
    <n v="9"/>
    <s v="A"/>
    <n v="3.66"/>
    <x v="0"/>
    <n v="65.5"/>
    <x v="0"/>
    <n v="9.5299999999999994"/>
    <n v="13.42"/>
    <n v="4691.4283999999998"/>
    <n v="6606.3975999999993"/>
    <n v="1914.9691999999995"/>
    <n v="0.28986587183308493"/>
    <n v="18.017447999999998"/>
  </r>
  <r>
    <s v="BATCH01072"/>
    <x v="3"/>
    <x v="0"/>
    <x v="1"/>
    <n v="542.58000000000004"/>
    <n v="11.7"/>
    <n v="26.89"/>
    <n v="0.3"/>
    <n v="0.5"/>
    <n v="28"/>
    <s v="C"/>
    <n v="1.53"/>
    <x v="2"/>
    <n v="96.52"/>
    <x v="1"/>
    <n v="7.47"/>
    <n v="7.96"/>
    <n v="4053.0726"/>
    <n v="4318.9368000000004"/>
    <n v="265.86420000000044"/>
    <n v="6.1557788944723711E-2"/>
    <n v="8.3014740000000007"/>
  </r>
  <r>
    <s v="BATCH01073"/>
    <x v="0"/>
    <x v="0"/>
    <x v="1"/>
    <n v="541.82000000000005"/>
    <n v="13.69"/>
    <n v="21.23"/>
    <n v="3.5"/>
    <n v="0.1"/>
    <n v="2"/>
    <s v="A"/>
    <n v="6.22"/>
    <x v="1"/>
    <n v="64.13"/>
    <x v="2"/>
    <n v="3.19"/>
    <n v="13.97"/>
    <n v="1728.4058000000002"/>
    <n v="7569.2254000000012"/>
    <n v="5840.8196000000007"/>
    <n v="0.77165354330708658"/>
    <n v="33.701204000000004"/>
  </r>
  <r>
    <s v="BATCH01074"/>
    <x v="2"/>
    <x v="0"/>
    <x v="1"/>
    <n v="322.39999999999998"/>
    <n v="16.82"/>
    <n v="25.4"/>
    <n v="1.1000000000000001"/>
    <n v="1.6"/>
    <n v="14"/>
    <s v="B"/>
    <n v="8.11"/>
    <x v="1"/>
    <n v="64.42"/>
    <x v="2"/>
    <n v="7.64"/>
    <n v="11.2"/>
    <n v="2463.1359999999995"/>
    <n v="3610.8799999999997"/>
    <n v="1147.7440000000001"/>
    <n v="0.31785714285714295"/>
    <n v="26.146639999999998"/>
  </r>
  <r>
    <s v="BATCH01075"/>
    <x v="2"/>
    <x v="1"/>
    <x v="1"/>
    <n v="606.39"/>
    <n v="17.420000000000002"/>
    <n v="35.369999999999997"/>
    <n v="9.4"/>
    <n v="2.5"/>
    <n v="13"/>
    <s v="B"/>
    <n v="6.3"/>
    <x v="1"/>
    <n v="61.71"/>
    <x v="0"/>
    <n v="6.13"/>
    <n v="9.23"/>
    <n v="3717.1706999999997"/>
    <n v="5596.9796999999999"/>
    <n v="1879.8090000000002"/>
    <n v="0.33586132177681477"/>
    <n v="38.202569999999994"/>
  </r>
  <r>
    <s v="BATCH01076"/>
    <x v="3"/>
    <x v="2"/>
    <x v="0"/>
    <n v="525.26"/>
    <n v="15.4"/>
    <n v="37.700000000000003"/>
    <n v="1.3"/>
    <n v="1.4"/>
    <n v="16"/>
    <s v="B"/>
    <n v="2.21"/>
    <x v="1"/>
    <n v="57.29"/>
    <x v="0"/>
    <n v="9.81"/>
    <n v="11.23"/>
    <n v="5152.8006000000005"/>
    <n v="5898.6697999999997"/>
    <n v="745.86919999999918"/>
    <n v="0.12644701691896693"/>
    <n v="11.608245999999999"/>
  </r>
  <r>
    <s v="BATCH01077"/>
    <x v="2"/>
    <x v="0"/>
    <x v="0"/>
    <n v="638.45000000000005"/>
    <n v="8.8699999999999992"/>
    <n v="24.43"/>
    <n v="1.6"/>
    <n v="1.7"/>
    <n v="2"/>
    <s v="B"/>
    <n v="5.69"/>
    <x v="2"/>
    <n v="68.2"/>
    <x v="0"/>
    <n v="8.73"/>
    <n v="9.02"/>
    <n v="5573.6685000000007"/>
    <n v="5758.8190000000004"/>
    <n v="185.15049999999974"/>
    <n v="3.2150776053215029E-2"/>
    <n v="36.327805000000005"/>
  </r>
  <r>
    <s v="BATCH01078"/>
    <x v="3"/>
    <x v="3"/>
    <x v="1"/>
    <n v="544.41999999999996"/>
    <n v="14.69"/>
    <n v="29.27"/>
    <n v="1.5"/>
    <n v="0.2"/>
    <n v="4"/>
    <s v="A"/>
    <n v="8.43"/>
    <x v="0"/>
    <n v="84.04"/>
    <x v="2"/>
    <n v="4.2"/>
    <n v="13.38"/>
    <n v="2286.5639999999999"/>
    <n v="7284.3396000000002"/>
    <n v="4997.7756000000008"/>
    <n v="0.68609865470852027"/>
    <n v="45.894605999999996"/>
  </r>
  <r>
    <s v="BATCH01079"/>
    <x v="2"/>
    <x v="0"/>
    <x v="0"/>
    <n v="610.13"/>
    <n v="12.1"/>
    <n v="29.41"/>
    <n v="0.8"/>
    <n v="0.3"/>
    <n v="12"/>
    <s v="C"/>
    <n v="3.38"/>
    <x v="1"/>
    <n v="87.11"/>
    <x v="2"/>
    <n v="8.0399999999999991"/>
    <n v="9.82"/>
    <n v="4905.4451999999992"/>
    <n v="5991.4766"/>
    <n v="1086.0314000000008"/>
    <n v="0.18126272912423638"/>
    <n v="20.622394"/>
  </r>
  <r>
    <s v="BATCH01080"/>
    <x v="0"/>
    <x v="0"/>
    <x v="0"/>
    <n v="546.65"/>
    <n v="12.71"/>
    <n v="37.47"/>
    <n v="0.2"/>
    <n v="0.2"/>
    <n v="16"/>
    <s v="A"/>
    <n v="8.41"/>
    <x v="1"/>
    <n v="90.67"/>
    <x v="2"/>
    <n v="6.4"/>
    <n v="14.01"/>
    <n v="3498.56"/>
    <n v="7658.5664999999999"/>
    <n v="4160.0064999999995"/>
    <n v="0.54318344039971445"/>
    <n v="45.973264999999998"/>
  </r>
  <r>
    <s v="BATCH01081"/>
    <x v="2"/>
    <x v="0"/>
    <x v="1"/>
    <n v="634.62"/>
    <n v="8.49"/>
    <n v="35.26"/>
    <n v="4.5"/>
    <n v="1.4"/>
    <n v="10"/>
    <s v="C"/>
    <n v="7.95"/>
    <x v="0"/>
    <n v="59.88"/>
    <x v="1"/>
    <n v="4.3099999999999996"/>
    <n v="10.1"/>
    <n v="2735.2121999999999"/>
    <n v="6409.6620000000003"/>
    <n v="3674.4498000000003"/>
    <n v="0.57326732673267333"/>
    <n v="50.452290000000005"/>
  </r>
  <r>
    <s v="BATCH01082"/>
    <x v="2"/>
    <x v="1"/>
    <x v="1"/>
    <n v="552.23"/>
    <n v="9.91"/>
    <n v="30.26"/>
    <n v="3.2"/>
    <n v="3"/>
    <n v="3"/>
    <s v="A"/>
    <n v="0.71"/>
    <x v="0"/>
    <n v="51.78"/>
    <x v="1"/>
    <n v="7.89"/>
    <n v="11.6"/>
    <n v="4357.0946999999996"/>
    <n v="6405.8680000000004"/>
    <n v="2048.7733000000007"/>
    <n v="0.31982758620689666"/>
    <n v="3.920833"/>
  </r>
  <r>
    <s v="BATCH01083"/>
    <x v="1"/>
    <x v="3"/>
    <x v="1"/>
    <n v="490.21"/>
    <n v="15.91"/>
    <n v="33.409999999999997"/>
    <n v="0.3"/>
    <n v="1.3"/>
    <n v="4"/>
    <s v="C"/>
    <n v="2.77"/>
    <x v="1"/>
    <n v="98.73"/>
    <x v="0"/>
    <n v="6.83"/>
    <n v="14.98"/>
    <n v="3348.1342999999997"/>
    <n v="7343.3458000000001"/>
    <n v="3995.2115000000003"/>
    <n v="0.54405874499332452"/>
    <n v="13.578816999999999"/>
  </r>
  <r>
    <s v="BATCH01084"/>
    <x v="3"/>
    <x v="2"/>
    <x v="0"/>
    <n v="727.24"/>
    <n v="12.54"/>
    <n v="36.950000000000003"/>
    <n v="3"/>
    <n v="2.1"/>
    <n v="6"/>
    <s v="B"/>
    <n v="5.66"/>
    <x v="0"/>
    <n v="50.72"/>
    <x v="1"/>
    <n v="3.21"/>
    <n v="6.47"/>
    <n v="2334.4404"/>
    <n v="4705.2428"/>
    <n v="2370.8024"/>
    <n v="0.50386398763523954"/>
    <n v="41.161783999999997"/>
  </r>
  <r>
    <s v="BATCH01085"/>
    <x v="2"/>
    <x v="3"/>
    <x v="1"/>
    <n v="588.9"/>
    <n v="11.02"/>
    <n v="20.190000000000001"/>
    <n v="2"/>
    <n v="1"/>
    <n v="23"/>
    <s v="B"/>
    <n v="7.32"/>
    <x v="1"/>
    <n v="98.03"/>
    <x v="1"/>
    <n v="7.53"/>
    <n v="12.37"/>
    <n v="4434.4170000000004"/>
    <n v="7284.6929999999993"/>
    <n v="2850.2759999999989"/>
    <n v="0.39126919967663693"/>
    <n v="43.107479999999995"/>
  </r>
  <r>
    <s v="BATCH01086"/>
    <x v="2"/>
    <x v="2"/>
    <x v="0"/>
    <n v="557.37"/>
    <n v="11.84"/>
    <n v="28.06"/>
    <n v="1.1000000000000001"/>
    <n v="0.5"/>
    <n v="5"/>
    <s v="C"/>
    <n v="8.8699999999999992"/>
    <x v="1"/>
    <n v="91.44"/>
    <x v="0"/>
    <n v="7.44"/>
    <n v="6.39"/>
    <n v="4146.8328000000001"/>
    <n v="3561.5942999999997"/>
    <n v="-585.23850000000039"/>
    <n v="-0.1643192488262912"/>
    <n v="49.438718999999992"/>
  </r>
  <r>
    <s v="BATCH01087"/>
    <x v="1"/>
    <x v="1"/>
    <x v="1"/>
    <n v="372.37"/>
    <n v="16.54"/>
    <n v="38.14"/>
    <n v="0.6"/>
    <n v="0.6"/>
    <n v="18"/>
    <s v="C"/>
    <n v="6.59"/>
    <x v="1"/>
    <n v="95.6"/>
    <x v="0"/>
    <n v="4.01"/>
    <n v="13.39"/>
    <n v="1493.2037"/>
    <n v="4986.0343000000003"/>
    <n v="3492.8306000000002"/>
    <n v="0.70052277819268116"/>
    <n v="24.539182999999998"/>
  </r>
  <r>
    <s v="BATCH01088"/>
    <x v="1"/>
    <x v="1"/>
    <x v="0"/>
    <n v="371.17"/>
    <n v="15.49"/>
    <n v="34.81"/>
    <n v="3.9"/>
    <n v="0.1"/>
    <n v="3"/>
    <s v="C"/>
    <n v="4.1100000000000003"/>
    <x v="1"/>
    <n v="69.36"/>
    <x v="2"/>
    <n v="5.44"/>
    <n v="10.96"/>
    <n v="2019.1648000000002"/>
    <n v="4068.0232000000005"/>
    <n v="2048.8584000000001"/>
    <n v="0.50364963503649629"/>
    <n v="15.255087000000001"/>
  </r>
  <r>
    <s v="BATCH01089"/>
    <x v="3"/>
    <x v="1"/>
    <x v="1"/>
    <n v="529.27"/>
    <n v="10.72"/>
    <n v="30.86"/>
    <n v="2.4"/>
    <n v="0"/>
    <n v="10"/>
    <s v="B"/>
    <n v="2.25"/>
    <x v="1"/>
    <n v="59.86"/>
    <x v="2"/>
    <n v="7.1"/>
    <n v="14.38"/>
    <n v="3757.8169999999996"/>
    <n v="7610.9026000000003"/>
    <n v="3853.0856000000008"/>
    <n v="0.50625869262865097"/>
    <n v="11.908575000000001"/>
  </r>
  <r>
    <s v="BATCH01090"/>
    <x v="1"/>
    <x v="1"/>
    <x v="1"/>
    <n v="514.54999999999995"/>
    <n v="9.18"/>
    <n v="30.59"/>
    <n v="1.6"/>
    <n v="1.2"/>
    <n v="11"/>
    <s v="B"/>
    <n v="7.72"/>
    <x v="1"/>
    <n v="80.319999999999993"/>
    <x v="0"/>
    <n v="3.97"/>
    <n v="13.66"/>
    <n v="2042.7635"/>
    <n v="7028.7529999999997"/>
    <n v="4985.9894999999997"/>
    <n v="0.70937042459736455"/>
    <n v="39.723259999999996"/>
  </r>
  <r>
    <s v="BATCH01091"/>
    <x v="0"/>
    <x v="2"/>
    <x v="0"/>
    <n v="438.59"/>
    <n v="10.52"/>
    <n v="26.96"/>
    <n v="1.9"/>
    <n v="0.6"/>
    <n v="19"/>
    <s v="A"/>
    <n v="2.46"/>
    <x v="0"/>
    <n v="87.06"/>
    <x v="0"/>
    <n v="8.9700000000000006"/>
    <n v="5.75"/>
    <n v="3934.1523000000002"/>
    <n v="2521.8924999999999"/>
    <n v="-1412.2598000000003"/>
    <n v="-0.56000000000000016"/>
    <n v="10.789313999999999"/>
  </r>
  <r>
    <s v="BATCH01092"/>
    <x v="1"/>
    <x v="0"/>
    <x v="0"/>
    <n v="514.1"/>
    <n v="17.21"/>
    <n v="30.41"/>
    <n v="0.2"/>
    <n v="0.8"/>
    <n v="14"/>
    <s v="C"/>
    <n v="7.11"/>
    <x v="2"/>
    <n v="56.54"/>
    <x v="1"/>
    <n v="3.19"/>
    <n v="6.37"/>
    <n v="1639.979"/>
    <n v="3274.817"/>
    <n v="1634.838"/>
    <n v="0.49921507064364207"/>
    <n v="36.552510000000005"/>
  </r>
  <r>
    <s v="BATCH01093"/>
    <x v="0"/>
    <x v="2"/>
    <x v="0"/>
    <n v="658.86"/>
    <n v="13.82"/>
    <n v="33.11"/>
    <n v="1.3"/>
    <n v="0.8"/>
    <n v="21"/>
    <s v="C"/>
    <n v="2.2200000000000002"/>
    <x v="2"/>
    <n v="89.88"/>
    <x v="1"/>
    <n v="3.72"/>
    <n v="11.01"/>
    <n v="2450.9592000000002"/>
    <n v="7254.0486000000001"/>
    <n v="4803.0893999999998"/>
    <n v="0.66212534059945505"/>
    <n v="14.626692"/>
  </r>
  <r>
    <s v="BATCH01094"/>
    <x v="3"/>
    <x v="3"/>
    <x v="0"/>
    <n v="569.54"/>
    <n v="13.33"/>
    <n v="28.37"/>
    <n v="0.4"/>
    <n v="0.3"/>
    <n v="28"/>
    <s v="C"/>
    <n v="1.37"/>
    <x v="1"/>
    <n v="60.43"/>
    <x v="1"/>
    <n v="3.81"/>
    <n v="10.18"/>
    <n v="2169.9474"/>
    <n v="5797.9171999999999"/>
    <n v="3627.9697999999999"/>
    <n v="0.6257367387033399"/>
    <n v="7.8026980000000004"/>
  </r>
  <r>
    <s v="BATCH01095"/>
    <x v="3"/>
    <x v="1"/>
    <x v="0"/>
    <n v="385.9"/>
    <n v="13.96"/>
    <n v="34.28"/>
    <n v="0.5"/>
    <n v="0.6"/>
    <n v="11"/>
    <s v="B"/>
    <n v="2.89"/>
    <x v="0"/>
    <n v="74.58"/>
    <x v="0"/>
    <n v="6.7"/>
    <n v="6.69"/>
    <n v="2585.5299999999997"/>
    <n v="2581.6709999999998"/>
    <n v="-3.8589999999999236"/>
    <n v="-1.4947683109117792E-3"/>
    <n v="11.152509999999999"/>
  </r>
  <r>
    <s v="BATCH01096"/>
    <x v="3"/>
    <x v="1"/>
    <x v="0"/>
    <n v="488.85"/>
    <n v="11.66"/>
    <n v="37.22"/>
    <n v="2.2000000000000002"/>
    <n v="0.6"/>
    <n v="28"/>
    <s v="C"/>
    <n v="3.21"/>
    <x v="1"/>
    <n v="92.82"/>
    <x v="0"/>
    <n v="7.34"/>
    <n v="6.29"/>
    <n v="3588.1590000000001"/>
    <n v="3074.8665000000001"/>
    <n v="-513.29250000000002"/>
    <n v="-0.16693163751987281"/>
    <n v="15.692084999999999"/>
  </r>
  <r>
    <s v="BATCH01097"/>
    <x v="3"/>
    <x v="3"/>
    <x v="1"/>
    <n v="419.5"/>
    <n v="16.07"/>
    <n v="23.09"/>
    <n v="4.8"/>
    <n v="0.5"/>
    <n v="21"/>
    <s v="C"/>
    <n v="6.65"/>
    <x v="0"/>
    <n v="59.67"/>
    <x v="2"/>
    <n v="5.83"/>
    <n v="10.64"/>
    <n v="2445.6849999999999"/>
    <n v="4463.4800000000005"/>
    <n v="2017.7950000000005"/>
    <n v="0.4520676691729324"/>
    <n v="27.896750000000001"/>
  </r>
  <r>
    <s v="BATCH01098"/>
    <x v="3"/>
    <x v="2"/>
    <x v="0"/>
    <n v="461.23"/>
    <n v="13.23"/>
    <n v="29.03"/>
    <n v="1"/>
    <n v="1.7"/>
    <n v="4"/>
    <s v="B"/>
    <n v="2.0299999999999998"/>
    <x v="1"/>
    <n v="62.09"/>
    <x v="1"/>
    <n v="5.0199999999999996"/>
    <n v="5.49"/>
    <n v="2315.3746000000001"/>
    <n v="2532.1527000000001"/>
    <n v="216.77809999999999"/>
    <n v="8.5610200364298714E-2"/>
    <n v="9.3629689999999997"/>
  </r>
  <r>
    <s v="BATCH01099"/>
    <x v="0"/>
    <x v="0"/>
    <x v="1"/>
    <n v="458.64"/>
    <n v="9.17"/>
    <n v="28.16"/>
    <n v="0.5"/>
    <n v="0.6"/>
    <n v="24"/>
    <s v="C"/>
    <n v="9.34"/>
    <x v="1"/>
    <n v="53.14"/>
    <x v="2"/>
    <n v="8.67"/>
    <n v="13.74"/>
    <n v="3976.4087999999997"/>
    <n v="6301.7136"/>
    <n v="2325.3048000000003"/>
    <n v="0.36899563318777295"/>
    <n v="42.836975999999993"/>
  </r>
  <r>
    <s v="BATCH01100"/>
    <x v="0"/>
    <x v="0"/>
    <x v="1"/>
    <n v="452.24"/>
    <n v="9.2899999999999991"/>
    <n v="33.75"/>
    <n v="2.1"/>
    <n v="0.9"/>
    <n v="22"/>
    <s v="A"/>
    <n v="5.77"/>
    <x v="2"/>
    <n v="57.33"/>
    <x v="0"/>
    <n v="3.48"/>
    <n v="13.07"/>
    <n v="1573.7952"/>
    <n v="5910.7768000000005"/>
    <n v="4336.981600000001"/>
    <n v="0.73374139250191284"/>
    <n v="26.094247999999997"/>
  </r>
  <r>
    <s v="BATCH01101"/>
    <x v="3"/>
    <x v="3"/>
    <x v="0"/>
    <n v="374.49"/>
    <n v="13.37"/>
    <n v="25"/>
    <n v="4.0999999999999996"/>
    <n v="2.2999999999999998"/>
    <n v="6"/>
    <s v="B"/>
    <n v="5.16"/>
    <x v="0"/>
    <n v="57.33"/>
    <x v="1"/>
    <n v="4.96"/>
    <n v="12.85"/>
    <n v="1857.4703999999999"/>
    <n v="4812.1965"/>
    <n v="2954.7260999999999"/>
    <n v="0.61400778210116724"/>
    <n v="19.323684"/>
  </r>
  <r>
    <s v="BATCH01102"/>
    <x v="1"/>
    <x v="0"/>
    <x v="1"/>
    <n v="487.23"/>
    <n v="17.37"/>
    <n v="32.81"/>
    <n v="2.8"/>
    <n v="2"/>
    <n v="17"/>
    <s v="B"/>
    <n v="4.63"/>
    <x v="0"/>
    <n v="60.17"/>
    <x v="2"/>
    <n v="3.27"/>
    <n v="5.16"/>
    <n v="1593.2421000000002"/>
    <n v="2514.1068"/>
    <n v="920.86469999999986"/>
    <n v="0.36627906976744179"/>
    <n v="22.558749000000002"/>
  </r>
  <r>
    <s v="BATCH01103"/>
    <x v="2"/>
    <x v="2"/>
    <x v="0"/>
    <n v="443.94"/>
    <n v="11.08"/>
    <n v="37.549999999999997"/>
    <n v="4.0999999999999996"/>
    <n v="2.2000000000000002"/>
    <n v="22"/>
    <s v="B"/>
    <n v="5.88"/>
    <x v="2"/>
    <n v="64.31"/>
    <x v="0"/>
    <n v="3.1"/>
    <n v="5.48"/>
    <n v="1376.2139999999999"/>
    <n v="2432.7912000000001"/>
    <n v="1056.5772000000002"/>
    <n v="0.43430656934306572"/>
    <n v="26.103672000000003"/>
  </r>
  <r>
    <s v="BATCH01104"/>
    <x v="3"/>
    <x v="2"/>
    <x v="0"/>
    <n v="207.06"/>
    <n v="16.7"/>
    <n v="28.36"/>
    <n v="1.5"/>
    <n v="0.3"/>
    <n v="19"/>
    <s v="A"/>
    <n v="0.71"/>
    <x v="2"/>
    <n v="90.75"/>
    <x v="2"/>
    <n v="5.47"/>
    <n v="10.5"/>
    <n v="1132.6181999999999"/>
    <n v="2174.13"/>
    <n v="1041.5118000000002"/>
    <n v="0.47904761904761911"/>
    <n v="1.4701259999999998"/>
  </r>
  <r>
    <s v="BATCH01105"/>
    <x v="1"/>
    <x v="3"/>
    <x v="1"/>
    <n v="705.3"/>
    <n v="15.64"/>
    <n v="38.22"/>
    <n v="2.8"/>
    <n v="0"/>
    <n v="13"/>
    <s v="B"/>
    <n v="9.91"/>
    <x v="2"/>
    <n v="95.79"/>
    <x v="1"/>
    <n v="4.3600000000000003"/>
    <n v="14.94"/>
    <n v="3075.1080000000002"/>
    <n v="10537.181999999999"/>
    <n v="7462.0739999999987"/>
    <n v="0.70816599732262375"/>
    <n v="69.895229999999998"/>
  </r>
  <r>
    <s v="BATCH01106"/>
    <x v="2"/>
    <x v="2"/>
    <x v="1"/>
    <n v="608.88"/>
    <n v="10.48"/>
    <n v="39.86"/>
    <n v="0.3"/>
    <n v="0.3"/>
    <n v="22"/>
    <s v="B"/>
    <n v="5.8"/>
    <x v="2"/>
    <n v="70.31"/>
    <x v="2"/>
    <n v="4.88"/>
    <n v="8.42"/>
    <n v="2971.3343999999997"/>
    <n v="5126.7695999999996"/>
    <n v="2155.4351999999999"/>
    <n v="0.42042755344418054"/>
    <n v="35.315039999999996"/>
  </r>
  <r>
    <s v="BATCH01107"/>
    <x v="3"/>
    <x v="1"/>
    <x v="0"/>
    <n v="462.37"/>
    <n v="8.36"/>
    <n v="22.12"/>
    <n v="0.9"/>
    <n v="0.3"/>
    <n v="10"/>
    <s v="B"/>
    <n v="0.83"/>
    <x v="0"/>
    <n v="56.41"/>
    <x v="2"/>
    <n v="8.75"/>
    <n v="8.44"/>
    <n v="4045.7375000000002"/>
    <n v="3902.4027999999998"/>
    <n v="-143.33470000000034"/>
    <n v="-3.6729857819905301E-2"/>
    <n v="3.8376709999999998"/>
  </r>
  <r>
    <s v="BATCH01108"/>
    <x v="3"/>
    <x v="3"/>
    <x v="0"/>
    <n v="501.88"/>
    <n v="9.02"/>
    <n v="24.66"/>
    <n v="1"/>
    <n v="2.4"/>
    <n v="29"/>
    <s v="B"/>
    <n v="6.1"/>
    <x v="0"/>
    <n v="61.19"/>
    <x v="0"/>
    <n v="4.1399999999999997"/>
    <n v="6.34"/>
    <n v="2077.7831999999999"/>
    <n v="3181.9191999999998"/>
    <n v="1104.136"/>
    <n v="0.3470031545741325"/>
    <n v="30.61468"/>
  </r>
  <r>
    <s v="BATCH01109"/>
    <x v="0"/>
    <x v="2"/>
    <x v="1"/>
    <n v="382.83"/>
    <n v="15.28"/>
    <n v="39.01"/>
    <n v="1.4"/>
    <n v="1"/>
    <n v="11"/>
    <s v="A"/>
    <n v="4.6500000000000004"/>
    <x v="2"/>
    <n v="86.81"/>
    <x v="1"/>
    <n v="8.4600000000000009"/>
    <n v="11.74"/>
    <n v="3238.7418000000002"/>
    <n v="4494.4241999999995"/>
    <n v="1255.6823999999992"/>
    <n v="0.27938671209540022"/>
    <n v="17.801594999999999"/>
  </r>
  <r>
    <s v="BATCH01110"/>
    <x v="2"/>
    <x v="3"/>
    <x v="1"/>
    <n v="669.57"/>
    <n v="10"/>
    <n v="39.17"/>
    <n v="5.3"/>
    <n v="0.1"/>
    <n v="29"/>
    <s v="C"/>
    <n v="0.73"/>
    <x v="1"/>
    <n v="83.87"/>
    <x v="2"/>
    <n v="7.73"/>
    <n v="11.47"/>
    <n v="5175.776100000001"/>
    <n v="7679.9679000000006"/>
    <n v="2504.1917999999996"/>
    <n v="0.32606800348735826"/>
    <n v="4.887861"/>
  </r>
  <r>
    <s v="BATCH01111"/>
    <x v="2"/>
    <x v="0"/>
    <x v="1"/>
    <n v="689.73"/>
    <n v="11.71"/>
    <n v="21.95"/>
    <n v="4.0999999999999996"/>
    <n v="0.1"/>
    <n v="6"/>
    <s v="C"/>
    <n v="9.2799999999999994"/>
    <x v="1"/>
    <n v="98.36"/>
    <x v="0"/>
    <n v="5.29"/>
    <n v="6.01"/>
    <n v="3648.6717000000003"/>
    <n v="4145.2772999999997"/>
    <n v="496.60559999999941"/>
    <n v="0.11980033277870203"/>
    <n v="64.00694399999999"/>
  </r>
  <r>
    <s v="BATCH01112"/>
    <x v="1"/>
    <x v="2"/>
    <x v="1"/>
    <n v="515.66999999999996"/>
    <n v="13.02"/>
    <n v="20.3"/>
    <n v="0.3"/>
    <n v="0.2"/>
    <n v="2"/>
    <s v="B"/>
    <n v="0.6"/>
    <x v="1"/>
    <n v="50.72"/>
    <x v="1"/>
    <n v="6.83"/>
    <n v="9.67"/>
    <n v="3522.0260999999996"/>
    <n v="4986.5288999999993"/>
    <n v="1464.5027999999998"/>
    <n v="0.29369183040330921"/>
    <n v="3.09402"/>
  </r>
  <r>
    <s v="BATCH01113"/>
    <x v="0"/>
    <x v="1"/>
    <x v="0"/>
    <n v="602.35"/>
    <n v="15.25"/>
    <n v="23.22"/>
    <n v="0.4"/>
    <n v="1"/>
    <n v="1"/>
    <s v="A"/>
    <n v="5.99"/>
    <x v="1"/>
    <n v="87.54"/>
    <x v="0"/>
    <n v="6.11"/>
    <n v="11.67"/>
    <n v="3680.3585000000003"/>
    <n v="7029.4245000000001"/>
    <n v="3349.0659999999998"/>
    <n v="0.47643530419880031"/>
    <n v="36.080765"/>
  </r>
  <r>
    <s v="BATCH01114"/>
    <x v="0"/>
    <x v="2"/>
    <x v="0"/>
    <n v="517.53"/>
    <n v="9.1300000000000008"/>
    <n v="39.92"/>
    <n v="0.9"/>
    <n v="1.3"/>
    <n v="11"/>
    <s v="B"/>
    <n v="9.64"/>
    <x v="0"/>
    <n v="75.290000000000006"/>
    <x v="1"/>
    <n v="3.9"/>
    <n v="9.94"/>
    <n v="2018.3669999999997"/>
    <n v="5144.2481999999991"/>
    <n v="3125.8811999999994"/>
    <n v="0.60764587525150904"/>
    <n v="49.889892000000003"/>
  </r>
  <r>
    <s v="BATCH01115"/>
    <x v="0"/>
    <x v="3"/>
    <x v="0"/>
    <n v="366.33"/>
    <n v="12.06"/>
    <n v="23.6"/>
    <n v="0.7"/>
    <n v="2"/>
    <n v="16"/>
    <s v="C"/>
    <n v="2.76"/>
    <x v="0"/>
    <n v="95.13"/>
    <x v="0"/>
    <n v="9.35"/>
    <n v="11.74"/>
    <n v="3425.1854999999996"/>
    <n v="4300.7141999999994"/>
    <n v="875.52869999999984"/>
    <n v="0.20357751277683134"/>
    <n v="10.110707999999999"/>
  </r>
  <r>
    <s v="BATCH01116"/>
    <x v="0"/>
    <x v="3"/>
    <x v="0"/>
    <n v="458.82"/>
    <n v="12.85"/>
    <n v="30.05"/>
    <n v="1.9"/>
    <n v="2.8"/>
    <n v="3"/>
    <s v="C"/>
    <n v="2.91"/>
    <x v="0"/>
    <n v="78.81"/>
    <x v="0"/>
    <n v="6.99"/>
    <n v="13.16"/>
    <n v="3207.1518000000001"/>
    <n v="6038.0712000000003"/>
    <n v="2830.9194000000002"/>
    <n v="0.46884498480243164"/>
    <n v="13.351662000000001"/>
  </r>
  <r>
    <s v="BATCH01117"/>
    <x v="2"/>
    <x v="2"/>
    <x v="1"/>
    <n v="513.19000000000005"/>
    <n v="13.41"/>
    <n v="36.97"/>
    <n v="4.7"/>
    <n v="0.2"/>
    <n v="5"/>
    <s v="A"/>
    <n v="0.5"/>
    <x v="1"/>
    <n v="72.33"/>
    <x v="0"/>
    <n v="9.16"/>
    <n v="11.86"/>
    <n v="4700.8204000000005"/>
    <n v="6086.4334000000008"/>
    <n v="1385.6130000000003"/>
    <n v="0.22765598650927488"/>
    <n v="2.5659500000000004"/>
  </r>
  <r>
    <s v="BATCH01118"/>
    <x v="2"/>
    <x v="1"/>
    <x v="1"/>
    <n v="454.55"/>
    <n v="16.18"/>
    <n v="20.41"/>
    <n v="6.6"/>
    <n v="0.4"/>
    <n v="15"/>
    <s v="C"/>
    <n v="1.1299999999999999"/>
    <x v="2"/>
    <n v="83.29"/>
    <x v="2"/>
    <n v="8.77"/>
    <n v="11.16"/>
    <n v="3986.4034999999999"/>
    <n v="5072.7780000000002"/>
    <n v="1086.3745000000004"/>
    <n v="0.21415770609319001"/>
    <n v="5.1364149999999995"/>
  </r>
  <r>
    <s v="BATCH01119"/>
    <x v="3"/>
    <x v="1"/>
    <x v="0"/>
    <n v="478.13"/>
    <n v="9.7200000000000006"/>
    <n v="32.090000000000003"/>
    <n v="2.1"/>
    <n v="0.3"/>
    <n v="15"/>
    <s v="B"/>
    <n v="0.93"/>
    <x v="1"/>
    <n v="91.68"/>
    <x v="2"/>
    <n v="3.56"/>
    <n v="13.54"/>
    <n v="1702.1428000000001"/>
    <n v="6473.8801999999996"/>
    <n v="4771.7374"/>
    <n v="0.73707533234859679"/>
    <n v="4.4466090000000005"/>
  </r>
  <r>
    <s v="BATCH01120"/>
    <x v="3"/>
    <x v="1"/>
    <x v="0"/>
    <n v="490.86"/>
    <n v="16.079999999999998"/>
    <n v="25.54"/>
    <n v="3.6"/>
    <n v="0.4"/>
    <n v="4"/>
    <s v="A"/>
    <n v="8.32"/>
    <x v="0"/>
    <n v="64.12"/>
    <x v="0"/>
    <n v="4.45"/>
    <n v="14.01"/>
    <n v="2184.3270000000002"/>
    <n v="6876.9485999999997"/>
    <n v="4692.6215999999995"/>
    <n v="0.68236973590292649"/>
    <n v="40.839552000000005"/>
  </r>
  <r>
    <s v="BATCH01121"/>
    <x v="0"/>
    <x v="3"/>
    <x v="0"/>
    <n v="491.91"/>
    <n v="14.93"/>
    <n v="37.25"/>
    <n v="1.5"/>
    <n v="2.5"/>
    <n v="23"/>
    <s v="C"/>
    <n v="8.4499999999999993"/>
    <x v="1"/>
    <n v="55.38"/>
    <x v="1"/>
    <n v="4.0199999999999996"/>
    <n v="8.89"/>
    <n v="1977.4781999999998"/>
    <n v="4373.0799000000006"/>
    <n v="2395.6017000000011"/>
    <n v="0.54780652418447706"/>
    <n v="41.566395"/>
  </r>
  <r>
    <s v="BATCH01122"/>
    <x v="0"/>
    <x v="2"/>
    <x v="0"/>
    <n v="505.23"/>
    <n v="13.56"/>
    <n v="25.67"/>
    <n v="0.5"/>
    <n v="0.9"/>
    <n v="4"/>
    <s v="B"/>
    <n v="7.4"/>
    <x v="2"/>
    <n v="71.650000000000006"/>
    <x v="0"/>
    <n v="8.82"/>
    <n v="6.73"/>
    <n v="4456.1286"/>
    <n v="3400.1979000000001"/>
    <n v="-1055.9306999999999"/>
    <n v="-0.3105497771173848"/>
    <n v="37.38702"/>
  </r>
  <r>
    <s v="BATCH01123"/>
    <x v="0"/>
    <x v="0"/>
    <x v="0"/>
    <n v="393.94"/>
    <n v="15"/>
    <n v="33.74"/>
    <n v="1.5"/>
    <n v="1.3"/>
    <n v="8"/>
    <s v="A"/>
    <n v="3.85"/>
    <x v="2"/>
    <n v="60.73"/>
    <x v="2"/>
    <n v="9.0399999999999991"/>
    <n v="13.18"/>
    <n v="3561.2175999999995"/>
    <n v="5192.1292000000003"/>
    <n v="1630.9116000000008"/>
    <n v="0.31411229135053126"/>
    <n v="15.166690000000001"/>
  </r>
  <r>
    <s v="BATCH01124"/>
    <x v="3"/>
    <x v="3"/>
    <x v="0"/>
    <n v="428.3"/>
    <n v="12.12"/>
    <n v="33.479999999999997"/>
    <n v="1.6"/>
    <n v="0.7"/>
    <n v="7"/>
    <s v="B"/>
    <n v="8.3000000000000007"/>
    <x v="1"/>
    <n v="71.48"/>
    <x v="1"/>
    <n v="6.7"/>
    <n v="7.14"/>
    <n v="2869.61"/>
    <n v="3058.0619999999999"/>
    <n v="188.45199999999977"/>
    <n v="6.1624649859943904E-2"/>
    <n v="35.548900000000003"/>
  </r>
  <r>
    <s v="BATCH01125"/>
    <x v="1"/>
    <x v="1"/>
    <x v="0"/>
    <n v="371.54"/>
    <n v="9.3800000000000008"/>
    <n v="24.43"/>
    <n v="2.7"/>
    <n v="0"/>
    <n v="26"/>
    <s v="C"/>
    <n v="5.63"/>
    <x v="0"/>
    <n v="99.55"/>
    <x v="2"/>
    <n v="3.73"/>
    <n v="14.29"/>
    <n v="1385.8442"/>
    <n v="5309.3065999999999"/>
    <n v="3923.4623999999999"/>
    <n v="0.73897830650804763"/>
    <n v="20.917701999999998"/>
  </r>
  <r>
    <s v="BATCH01126"/>
    <x v="1"/>
    <x v="2"/>
    <x v="0"/>
    <n v="597.78"/>
    <n v="14.66"/>
    <n v="20.7"/>
    <n v="0.5"/>
    <n v="0.1"/>
    <n v="25"/>
    <s v="B"/>
    <n v="3.39"/>
    <x v="0"/>
    <n v="78.709999999999994"/>
    <x v="0"/>
    <n v="3.95"/>
    <n v="5.23"/>
    <n v="2361.2310000000002"/>
    <n v="3126.3894"/>
    <n v="765.1583999999998"/>
    <n v="0.24474187380497125"/>
    <n v="20.264741999999998"/>
  </r>
  <r>
    <s v="BATCH01127"/>
    <x v="3"/>
    <x v="1"/>
    <x v="0"/>
    <n v="289.44"/>
    <n v="13.25"/>
    <n v="28.18"/>
    <n v="0.9"/>
    <n v="0.8"/>
    <n v="17"/>
    <s v="A"/>
    <n v="4.6500000000000004"/>
    <x v="0"/>
    <n v="84.68"/>
    <x v="2"/>
    <n v="8.69"/>
    <n v="14.21"/>
    <n v="2515.2336"/>
    <n v="4112.9423999999999"/>
    <n v="1597.7087999999999"/>
    <n v="0.38845883180858548"/>
    <n v="13.458960000000001"/>
  </r>
  <r>
    <s v="BATCH01128"/>
    <x v="3"/>
    <x v="0"/>
    <x v="1"/>
    <n v="615.36"/>
    <n v="14.39"/>
    <n v="25.78"/>
    <n v="0.9"/>
    <n v="1.3"/>
    <n v="15"/>
    <s v="B"/>
    <n v="1.1200000000000001"/>
    <x v="1"/>
    <n v="83.9"/>
    <x v="2"/>
    <n v="9.5"/>
    <n v="10.89"/>
    <n v="5845.92"/>
    <n v="6701.2704000000003"/>
    <n v="855.35040000000026"/>
    <n v="0.12764003673094584"/>
    <n v="6.8920320000000004"/>
  </r>
  <r>
    <s v="BATCH01129"/>
    <x v="3"/>
    <x v="1"/>
    <x v="0"/>
    <n v="638.63"/>
    <n v="11.38"/>
    <n v="36.18"/>
    <n v="6.4"/>
    <n v="0.2"/>
    <n v="5"/>
    <s v="C"/>
    <n v="9.48"/>
    <x v="0"/>
    <n v="91.04"/>
    <x v="2"/>
    <n v="4.4000000000000004"/>
    <n v="12.75"/>
    <n v="2809.9720000000002"/>
    <n v="8142.5325000000003"/>
    <n v="5332.5604999999996"/>
    <n v="0.65490196078431362"/>
    <n v="60.542124000000001"/>
  </r>
  <r>
    <s v="BATCH01130"/>
    <x v="3"/>
    <x v="1"/>
    <x v="1"/>
    <n v="469.78"/>
    <n v="17.07"/>
    <n v="36.01"/>
    <n v="1.2"/>
    <n v="1.3"/>
    <n v="13"/>
    <s v="A"/>
    <n v="6.38"/>
    <x v="1"/>
    <n v="97.21"/>
    <x v="0"/>
    <n v="3.08"/>
    <n v="8.98"/>
    <n v="1446.9223999999999"/>
    <n v="4218.6243999999997"/>
    <n v="2771.7019999999998"/>
    <n v="0.65701559020044542"/>
    <n v="29.971964"/>
  </r>
  <r>
    <s v="BATCH01131"/>
    <x v="3"/>
    <x v="0"/>
    <x v="1"/>
    <n v="239.69"/>
    <n v="13.87"/>
    <n v="29.14"/>
    <n v="2.8"/>
    <n v="1.7"/>
    <n v="4"/>
    <s v="A"/>
    <n v="7.45"/>
    <x v="0"/>
    <n v="82.94"/>
    <x v="2"/>
    <n v="5.32"/>
    <n v="14.92"/>
    <n v="1275.1508000000001"/>
    <n v="3576.1747999999998"/>
    <n v="2301.0239999999994"/>
    <n v="0.64343163538873982"/>
    <n v="17.856904999999998"/>
  </r>
  <r>
    <s v="BATCH01132"/>
    <x v="3"/>
    <x v="2"/>
    <x v="0"/>
    <n v="463.87"/>
    <n v="8.85"/>
    <n v="32.130000000000003"/>
    <n v="2.8"/>
    <n v="0.5"/>
    <n v="22"/>
    <s v="C"/>
    <n v="6.93"/>
    <x v="2"/>
    <n v="73.8"/>
    <x v="0"/>
    <n v="3.21"/>
    <n v="7.28"/>
    <n v="1489.0227"/>
    <n v="3376.9736000000003"/>
    <n v="1887.9509000000003"/>
    <n v="0.55906593406593408"/>
    <n v="32.146191000000002"/>
  </r>
  <r>
    <s v="BATCH01133"/>
    <x v="0"/>
    <x v="3"/>
    <x v="0"/>
    <n v="493.58"/>
    <n v="12.5"/>
    <n v="32.090000000000003"/>
    <n v="0.6"/>
    <n v="1.4"/>
    <n v="17"/>
    <s v="B"/>
    <n v="6.84"/>
    <x v="2"/>
    <n v="65.89"/>
    <x v="0"/>
    <n v="8.8000000000000007"/>
    <n v="7.64"/>
    <n v="4343.5039999999999"/>
    <n v="3770.9511999999995"/>
    <n v="-572.55280000000039"/>
    <n v="-0.15183246073298443"/>
    <n v="33.760871999999999"/>
  </r>
  <r>
    <s v="BATCH01134"/>
    <x v="0"/>
    <x v="2"/>
    <x v="1"/>
    <n v="398.94"/>
    <n v="15.56"/>
    <n v="36.54"/>
    <n v="1.7"/>
    <n v="0.5"/>
    <n v="22"/>
    <s v="B"/>
    <n v="0.66"/>
    <x v="0"/>
    <n v="68.010000000000005"/>
    <x v="2"/>
    <n v="6.44"/>
    <n v="5.51"/>
    <n v="2569.1736000000001"/>
    <n v="2198.1594"/>
    <n v="-371.01420000000007"/>
    <n v="-0.16878402903811254"/>
    <n v="2.6330040000000001"/>
  </r>
  <r>
    <s v="BATCH01135"/>
    <x v="0"/>
    <x v="0"/>
    <x v="1"/>
    <n v="448.48"/>
    <n v="15.94"/>
    <n v="28.5"/>
    <n v="4.5"/>
    <n v="1.1000000000000001"/>
    <n v="17"/>
    <s v="C"/>
    <n v="5.49"/>
    <x v="1"/>
    <n v="66.72"/>
    <x v="1"/>
    <n v="7.49"/>
    <n v="14.4"/>
    <n v="3359.1152000000002"/>
    <n v="6458.1120000000001"/>
    <n v="3098.9967999999999"/>
    <n v="0.47986111111111107"/>
    <n v="24.621552000000001"/>
  </r>
  <r>
    <s v="BATCH01136"/>
    <x v="0"/>
    <x v="1"/>
    <x v="0"/>
    <n v="653.02"/>
    <n v="12.95"/>
    <n v="25.51"/>
    <n v="1.3"/>
    <n v="1.4"/>
    <n v="14"/>
    <s v="A"/>
    <n v="8.31"/>
    <x v="0"/>
    <n v="66.22"/>
    <x v="2"/>
    <n v="5.88"/>
    <n v="9.56"/>
    <n v="3839.7575999999999"/>
    <n v="6242.8712000000005"/>
    <n v="2403.1136000000006"/>
    <n v="0.38493723849372391"/>
    <n v="54.265962000000002"/>
  </r>
  <r>
    <s v="BATCH01137"/>
    <x v="3"/>
    <x v="2"/>
    <x v="1"/>
    <n v="566.49"/>
    <n v="16.95"/>
    <n v="25.3"/>
    <n v="5.8"/>
    <n v="4.8"/>
    <n v="14"/>
    <s v="C"/>
    <n v="0.92"/>
    <x v="1"/>
    <n v="84.73"/>
    <x v="2"/>
    <n v="5.42"/>
    <n v="11.75"/>
    <n v="3070.3757999999998"/>
    <n v="6656.2574999999997"/>
    <n v="3585.8816999999999"/>
    <n v="0.53872340425531917"/>
    <n v="5.2117079999999998"/>
  </r>
  <r>
    <s v="BATCH01138"/>
    <x v="1"/>
    <x v="3"/>
    <x v="0"/>
    <n v="407.54"/>
    <n v="10.68"/>
    <n v="30.72"/>
    <n v="0.5"/>
    <n v="0.4"/>
    <n v="17"/>
    <s v="A"/>
    <n v="9.58"/>
    <x v="2"/>
    <n v="79.39"/>
    <x v="2"/>
    <n v="4.5599999999999996"/>
    <n v="11.87"/>
    <n v="1858.3824"/>
    <n v="4837.4997999999996"/>
    <n v="2979.1173999999996"/>
    <n v="0.61583824768323503"/>
    <n v="39.042332000000002"/>
  </r>
  <r>
    <s v="BATCH01139"/>
    <x v="2"/>
    <x v="0"/>
    <x v="0"/>
    <n v="340.24"/>
    <n v="12.11"/>
    <n v="28.98"/>
    <n v="0.2"/>
    <n v="0.5"/>
    <n v="8"/>
    <s v="A"/>
    <n v="4.53"/>
    <x v="1"/>
    <n v="60.1"/>
    <x v="1"/>
    <n v="8.39"/>
    <n v="13.75"/>
    <n v="2854.6136000000001"/>
    <n v="4678.3"/>
    <n v="1823.6864"/>
    <n v="0.38981818181818179"/>
    <n v="15.412872000000002"/>
  </r>
  <r>
    <s v="BATCH01140"/>
    <x v="3"/>
    <x v="2"/>
    <x v="0"/>
    <n v="467.3"/>
    <n v="16.989999999999998"/>
    <n v="28.8"/>
    <n v="4.4000000000000004"/>
    <n v="0.2"/>
    <n v="2"/>
    <s v="B"/>
    <n v="3.25"/>
    <x v="0"/>
    <n v="98.48"/>
    <x v="1"/>
    <n v="7.87"/>
    <n v="11.65"/>
    <n v="3677.6510000000003"/>
    <n v="5444.0450000000001"/>
    <n v="1766.3939999999998"/>
    <n v="0.32446351931330469"/>
    <n v="15.187250000000001"/>
  </r>
  <r>
    <s v="BATCH01141"/>
    <x v="2"/>
    <x v="3"/>
    <x v="1"/>
    <n v="478.65"/>
    <n v="16.96"/>
    <n v="21.82"/>
    <n v="3.8"/>
    <n v="0.2"/>
    <n v="26"/>
    <s v="C"/>
    <n v="5.55"/>
    <x v="2"/>
    <n v="71.39"/>
    <x v="0"/>
    <n v="5.53"/>
    <n v="10.62"/>
    <n v="2646.9344999999998"/>
    <n v="5083.262999999999"/>
    <n v="2436.3284999999992"/>
    <n v="0.47928436911487754"/>
    <n v="26.565074999999997"/>
  </r>
  <r>
    <s v="BATCH01142"/>
    <x v="1"/>
    <x v="0"/>
    <x v="1"/>
    <n v="549.62"/>
    <n v="14.86"/>
    <n v="34.369999999999997"/>
    <n v="9.8000000000000007"/>
    <n v="1.2"/>
    <n v="13"/>
    <s v="A"/>
    <n v="8.11"/>
    <x v="1"/>
    <n v="78.3"/>
    <x v="1"/>
    <n v="5.25"/>
    <n v="12.1"/>
    <n v="2885.5050000000001"/>
    <n v="6650.402"/>
    <n v="3764.8969999999999"/>
    <n v="0.56611570247933884"/>
    <n v="44.574182"/>
  </r>
  <r>
    <s v="BATCH01143"/>
    <x v="0"/>
    <x v="3"/>
    <x v="0"/>
    <n v="446.47"/>
    <n v="16.59"/>
    <n v="24.27"/>
    <n v="2.2999999999999998"/>
    <n v="2.5"/>
    <n v="22"/>
    <s v="B"/>
    <n v="5.01"/>
    <x v="1"/>
    <n v="85.13"/>
    <x v="1"/>
    <n v="3.01"/>
    <n v="12.51"/>
    <n v="1343.8747000000001"/>
    <n v="5585.3397000000004"/>
    <n v="4241.4650000000001"/>
    <n v="0.75939248601119103"/>
    <n v="22.368147"/>
  </r>
  <r>
    <s v="BATCH01144"/>
    <x v="1"/>
    <x v="0"/>
    <x v="1"/>
    <n v="551.15"/>
    <n v="8.89"/>
    <n v="23.94"/>
    <n v="5.5"/>
    <n v="0.5"/>
    <n v="16"/>
    <s v="C"/>
    <n v="6.63"/>
    <x v="2"/>
    <n v="80.680000000000007"/>
    <x v="2"/>
    <n v="3.44"/>
    <n v="6.86"/>
    <n v="1895.9559999999999"/>
    <n v="3780.8890000000001"/>
    <n v="1884.9330000000002"/>
    <n v="0.4985422740524782"/>
    <n v="36.541244999999996"/>
  </r>
  <r>
    <s v="BATCH01145"/>
    <x v="3"/>
    <x v="1"/>
    <x v="1"/>
    <n v="693.52"/>
    <n v="16.649999999999999"/>
    <n v="28.26"/>
    <n v="3.5"/>
    <n v="0.2"/>
    <n v="16"/>
    <s v="C"/>
    <n v="5.25"/>
    <x v="0"/>
    <n v="65.55"/>
    <x v="0"/>
    <n v="7.36"/>
    <n v="6.1"/>
    <n v="5104.3072000000002"/>
    <n v="4230.4719999999998"/>
    <n v="-873.83520000000044"/>
    <n v="-0.20655737704918045"/>
    <n v="36.409799999999997"/>
  </r>
  <r>
    <s v="BATCH01146"/>
    <x v="0"/>
    <x v="2"/>
    <x v="1"/>
    <n v="581.54999999999995"/>
    <n v="11.21"/>
    <n v="24.56"/>
    <n v="3.7"/>
    <n v="0.3"/>
    <n v="6"/>
    <s v="A"/>
    <n v="6.5"/>
    <x v="2"/>
    <n v="89.89"/>
    <x v="0"/>
    <n v="6.6"/>
    <n v="5.75"/>
    <n v="3838.2299999999996"/>
    <n v="3343.9124999999999"/>
    <n v="-494.31749999999965"/>
    <n v="-0.14782608695652164"/>
    <n v="37.800750000000001"/>
  </r>
  <r>
    <s v="BATCH01147"/>
    <x v="3"/>
    <x v="3"/>
    <x v="1"/>
    <n v="495.19"/>
    <n v="9.7799999999999994"/>
    <n v="31.68"/>
    <n v="1.7"/>
    <n v="0.6"/>
    <n v="22"/>
    <s v="A"/>
    <n v="1.81"/>
    <x v="0"/>
    <n v="55.51"/>
    <x v="1"/>
    <n v="6.04"/>
    <n v="8.74"/>
    <n v="2990.9476"/>
    <n v="4327.9606000000003"/>
    <n v="1337.0130000000004"/>
    <n v="0.30892448512585818"/>
    <n v="8.9629390000000004"/>
  </r>
  <r>
    <s v="BATCH01148"/>
    <x v="0"/>
    <x v="0"/>
    <x v="1"/>
    <n v="481.68"/>
    <n v="10.39"/>
    <n v="27.43"/>
    <n v="1"/>
    <n v="0.3"/>
    <n v="24"/>
    <s v="A"/>
    <n v="0.87"/>
    <x v="0"/>
    <n v="78.45"/>
    <x v="1"/>
    <n v="8.7899999999999991"/>
    <n v="9.98"/>
    <n v="4233.9672"/>
    <n v="4807.1664000000001"/>
    <n v="573.19920000000002"/>
    <n v="0.11923847695390782"/>
    <n v="4.1906160000000003"/>
  </r>
  <r>
    <s v="BATCH01149"/>
    <x v="2"/>
    <x v="3"/>
    <x v="1"/>
    <n v="464.33"/>
    <n v="12.18"/>
    <n v="28.98"/>
    <n v="5.5"/>
    <n v="0.3"/>
    <n v="4"/>
    <s v="C"/>
    <n v="1.8"/>
    <x v="1"/>
    <n v="63.67"/>
    <x v="2"/>
    <n v="6.53"/>
    <n v="11.16"/>
    <n v="3032.0749000000001"/>
    <n v="5181.9228000000003"/>
    <n v="2149.8479000000002"/>
    <n v="0.41487455197132617"/>
    <n v="8.3579399999999993"/>
  </r>
  <r>
    <s v="BATCH01150"/>
    <x v="2"/>
    <x v="3"/>
    <x v="1"/>
    <n v="618.05999999999995"/>
    <n v="10.51"/>
    <n v="30.74"/>
    <n v="1.1000000000000001"/>
    <n v="1.3"/>
    <n v="3"/>
    <s v="A"/>
    <n v="3.22"/>
    <x v="0"/>
    <n v="80.790000000000006"/>
    <x v="1"/>
    <n v="5.69"/>
    <n v="14.58"/>
    <n v="3516.7613999999999"/>
    <n v="9011.3148000000001"/>
    <n v="5494.5534000000007"/>
    <n v="0.60973936899862835"/>
    <n v="19.901532"/>
  </r>
  <r>
    <s v="BATCH01151"/>
    <x v="2"/>
    <x v="2"/>
    <x v="0"/>
    <n v="437.27"/>
    <n v="11.21"/>
    <n v="24.07"/>
    <n v="1.5"/>
    <n v="0"/>
    <n v="6"/>
    <s v="C"/>
    <n v="2.91"/>
    <x v="0"/>
    <n v="60.9"/>
    <x v="1"/>
    <n v="4.13"/>
    <n v="8.31"/>
    <n v="1805.9250999999999"/>
    <n v="3633.7137000000002"/>
    <n v="1827.7886000000003"/>
    <n v="0.50300842358604092"/>
    <n v="12.724556999999999"/>
  </r>
  <r>
    <s v="BATCH01152"/>
    <x v="1"/>
    <x v="1"/>
    <x v="1"/>
    <n v="504.52"/>
    <n v="9.35"/>
    <n v="23.12"/>
    <n v="1.2"/>
    <n v="0.8"/>
    <n v="4"/>
    <s v="B"/>
    <n v="6.34"/>
    <x v="2"/>
    <n v="88.61"/>
    <x v="0"/>
    <n v="8.74"/>
    <n v="12.61"/>
    <n v="4409.5047999999997"/>
    <n v="6361.9971999999998"/>
    <n v="1952.4924000000001"/>
    <n v="0.3068992862807296"/>
    <n v="31.986567999999998"/>
  </r>
  <r>
    <s v="BATCH01153"/>
    <x v="3"/>
    <x v="3"/>
    <x v="1"/>
    <n v="505.12"/>
    <n v="10.96"/>
    <n v="37.61"/>
    <n v="1.7"/>
    <n v="1.6"/>
    <n v="18"/>
    <s v="C"/>
    <n v="4.83"/>
    <x v="2"/>
    <n v="61.38"/>
    <x v="1"/>
    <n v="7.03"/>
    <n v="10.31"/>
    <n v="3550.9936000000002"/>
    <n v="5207.7872000000007"/>
    <n v="1656.7936000000004"/>
    <n v="0.31813773035887494"/>
    <n v="24.397296000000001"/>
  </r>
  <r>
    <s v="BATCH01154"/>
    <x v="1"/>
    <x v="0"/>
    <x v="1"/>
    <n v="449.82"/>
    <n v="13.72"/>
    <n v="28.67"/>
    <n v="1.3"/>
    <n v="0.3"/>
    <n v="6"/>
    <s v="A"/>
    <n v="0.87"/>
    <x v="0"/>
    <n v="94.52"/>
    <x v="2"/>
    <n v="3.65"/>
    <n v="7.2"/>
    <n v="1641.8429999999998"/>
    <n v="3238.7040000000002"/>
    <n v="1596.8610000000003"/>
    <n v="0.49305555555555564"/>
    <n v="3.9134339999999996"/>
  </r>
  <r>
    <s v="BATCH01155"/>
    <x v="2"/>
    <x v="0"/>
    <x v="1"/>
    <n v="362.75"/>
    <n v="12.42"/>
    <n v="28.24"/>
    <n v="0.1"/>
    <n v="0.9"/>
    <n v="26"/>
    <s v="C"/>
    <n v="0.83"/>
    <x v="1"/>
    <n v="93.08"/>
    <x v="0"/>
    <n v="7.54"/>
    <n v="11.15"/>
    <n v="2735.1350000000002"/>
    <n v="4044.6624999999999"/>
    <n v="1309.5274999999997"/>
    <n v="0.32376681614349767"/>
    <n v="3.0108249999999996"/>
  </r>
  <r>
    <s v="BATCH01156"/>
    <x v="3"/>
    <x v="1"/>
    <x v="1"/>
    <n v="532.29999999999995"/>
    <n v="11.47"/>
    <n v="20.71"/>
    <n v="4.3"/>
    <n v="1.1000000000000001"/>
    <n v="5"/>
    <s v="A"/>
    <n v="1.36"/>
    <x v="2"/>
    <n v="68.12"/>
    <x v="0"/>
    <n v="5.98"/>
    <n v="14.67"/>
    <n v="3183.154"/>
    <n v="7808.8409999999994"/>
    <n v="4625.6869999999999"/>
    <n v="0.59236537150647584"/>
    <n v="7.2392799999999999"/>
  </r>
  <r>
    <s v="BATCH01157"/>
    <x v="2"/>
    <x v="0"/>
    <x v="1"/>
    <n v="493.9"/>
    <n v="15.46"/>
    <n v="29.96"/>
    <n v="1.2"/>
    <n v="1.1000000000000001"/>
    <n v="27"/>
    <s v="B"/>
    <n v="3.85"/>
    <x v="1"/>
    <n v="69.290000000000006"/>
    <x v="1"/>
    <n v="8.68"/>
    <n v="6.24"/>
    <n v="4287.0519999999997"/>
    <n v="3081.9360000000001"/>
    <n v="-1205.1159999999995"/>
    <n v="-0.39102564102564086"/>
    <n v="19.015149999999998"/>
  </r>
  <r>
    <s v="BATCH01158"/>
    <x v="1"/>
    <x v="1"/>
    <x v="1"/>
    <n v="550.02"/>
    <n v="16.940000000000001"/>
    <n v="31.08"/>
    <n v="1.8"/>
    <n v="0.6"/>
    <n v="9"/>
    <s v="A"/>
    <n v="0.56000000000000005"/>
    <x v="2"/>
    <n v="85.08"/>
    <x v="2"/>
    <n v="9.43"/>
    <n v="10.07"/>
    <n v="5186.6885999999995"/>
    <n v="5538.7013999999999"/>
    <n v="352.01280000000042"/>
    <n v="6.3555114200595911E-2"/>
    <n v="3.0801120000000002"/>
  </r>
  <r>
    <s v="BATCH01159"/>
    <x v="1"/>
    <x v="0"/>
    <x v="1"/>
    <n v="446.64"/>
    <n v="15.57"/>
    <n v="31.18"/>
    <n v="0.3"/>
    <n v="0.4"/>
    <n v="11"/>
    <s v="A"/>
    <n v="5.19"/>
    <x v="2"/>
    <n v="54.52"/>
    <x v="0"/>
    <n v="7.2"/>
    <n v="5.52"/>
    <n v="3215.808"/>
    <n v="2465.4527999999996"/>
    <n v="-750.35520000000042"/>
    <n v="-0.30434782608695676"/>
    <n v="23.180616000000001"/>
  </r>
  <r>
    <s v="BATCH01160"/>
    <x v="1"/>
    <x v="2"/>
    <x v="0"/>
    <n v="622.08000000000004"/>
    <n v="11.32"/>
    <n v="34.14"/>
    <n v="0"/>
    <n v="1.8"/>
    <n v="6"/>
    <s v="A"/>
    <n v="3.93"/>
    <x v="0"/>
    <n v="54.05"/>
    <x v="2"/>
    <n v="8.1199999999999992"/>
    <n v="8.2100000000000009"/>
    <n v="5051.2896000000001"/>
    <n v="5107.2768000000005"/>
    <n v="55.987200000000485"/>
    <n v="1.0962241169305819E-2"/>
    <n v="24.447744000000004"/>
  </r>
  <r>
    <s v="BATCH01161"/>
    <x v="2"/>
    <x v="3"/>
    <x v="1"/>
    <n v="412.32"/>
    <n v="15.44"/>
    <n v="23.55"/>
    <n v="0.6"/>
    <n v="1.4"/>
    <n v="16"/>
    <s v="A"/>
    <n v="5.78"/>
    <x v="2"/>
    <n v="56.82"/>
    <x v="2"/>
    <n v="3.4"/>
    <n v="11.21"/>
    <n v="1401.8879999999999"/>
    <n v="4622.1072000000004"/>
    <n v="3220.2192000000005"/>
    <n v="0.69669937555753791"/>
    <n v="23.832096"/>
  </r>
  <r>
    <s v="BATCH01162"/>
    <x v="3"/>
    <x v="2"/>
    <x v="1"/>
    <n v="671.2"/>
    <n v="9.52"/>
    <n v="25.04"/>
    <n v="2.4"/>
    <n v="0.4"/>
    <n v="19"/>
    <s v="A"/>
    <n v="7.35"/>
    <x v="2"/>
    <n v="78.12"/>
    <x v="1"/>
    <n v="6.92"/>
    <n v="13.41"/>
    <n v="4644.7040000000006"/>
    <n v="9000.7920000000013"/>
    <n v="4356.0880000000006"/>
    <n v="0.48396718866517524"/>
    <n v="49.333199999999998"/>
  </r>
  <r>
    <s v="BATCH01163"/>
    <x v="3"/>
    <x v="3"/>
    <x v="1"/>
    <n v="325.24"/>
    <n v="9.3000000000000007"/>
    <n v="36.21"/>
    <n v="0.2"/>
    <n v="0.1"/>
    <n v="11"/>
    <s v="A"/>
    <n v="2.88"/>
    <x v="1"/>
    <n v="57.45"/>
    <x v="2"/>
    <n v="8.2899999999999991"/>
    <n v="12.3"/>
    <n v="2696.2395999999999"/>
    <n v="4000.4520000000002"/>
    <n v="1304.2124000000003"/>
    <n v="0.32601626016260171"/>
    <n v="9.3669119999999992"/>
  </r>
  <r>
    <s v="BATCH01164"/>
    <x v="2"/>
    <x v="3"/>
    <x v="1"/>
    <n v="543.48"/>
    <n v="11.46"/>
    <n v="38.94"/>
    <n v="4.8"/>
    <n v="0.1"/>
    <n v="21"/>
    <s v="B"/>
    <n v="1.99"/>
    <x v="2"/>
    <n v="63.88"/>
    <x v="0"/>
    <n v="6.48"/>
    <n v="9.6300000000000008"/>
    <n v="3521.7504000000004"/>
    <n v="5233.7124000000003"/>
    <n v="1711.962"/>
    <n v="0.32710280373831774"/>
    <n v="10.815252000000001"/>
  </r>
  <r>
    <s v="BATCH01165"/>
    <x v="3"/>
    <x v="3"/>
    <x v="0"/>
    <n v="547.54"/>
    <n v="16.079999999999998"/>
    <n v="22.72"/>
    <n v="0.5"/>
    <n v="0.1"/>
    <n v="15"/>
    <s v="B"/>
    <n v="3.14"/>
    <x v="2"/>
    <n v="82.35"/>
    <x v="1"/>
    <n v="7.15"/>
    <n v="14.09"/>
    <n v="3914.9110000000001"/>
    <n v="7714.8385999999991"/>
    <n v="3799.9275999999991"/>
    <n v="0.4925479063165365"/>
    <n v="17.192755999999999"/>
  </r>
  <r>
    <s v="BATCH01166"/>
    <x v="2"/>
    <x v="2"/>
    <x v="0"/>
    <n v="420.44"/>
    <n v="10.46"/>
    <n v="29.95"/>
    <n v="0.5"/>
    <n v="0.9"/>
    <n v="26"/>
    <s v="C"/>
    <n v="0.52"/>
    <x v="1"/>
    <n v="50.78"/>
    <x v="0"/>
    <n v="9.2899999999999991"/>
    <n v="8.0299999999999994"/>
    <n v="3905.8875999999996"/>
    <n v="3376.1331999999998"/>
    <n v="-529.75439999999981"/>
    <n v="-0.15691158156911578"/>
    <n v="2.1862880000000002"/>
  </r>
  <r>
    <s v="BATCH01167"/>
    <x v="3"/>
    <x v="3"/>
    <x v="0"/>
    <n v="542.44000000000005"/>
    <n v="8.6300000000000008"/>
    <n v="24.28"/>
    <n v="0.4"/>
    <n v="0.1"/>
    <n v="24"/>
    <s v="A"/>
    <n v="1.64"/>
    <x v="0"/>
    <n v="59.01"/>
    <x v="2"/>
    <n v="4.3899999999999997"/>
    <n v="12.54"/>
    <n v="2381.3116"/>
    <n v="6802.1976000000004"/>
    <n v="4420.8860000000004"/>
    <n v="0.64992025518341312"/>
    <n v="8.8960160000000013"/>
  </r>
  <r>
    <s v="BATCH01168"/>
    <x v="0"/>
    <x v="2"/>
    <x v="0"/>
    <n v="627.95000000000005"/>
    <n v="9.32"/>
    <n v="21.2"/>
    <n v="0"/>
    <n v="0.4"/>
    <n v="9"/>
    <s v="C"/>
    <n v="7.63"/>
    <x v="0"/>
    <n v="96.5"/>
    <x v="2"/>
    <n v="3.69"/>
    <n v="9.74"/>
    <n v="2317.1355000000003"/>
    <n v="6116.2330000000002"/>
    <n v="3799.0974999999999"/>
    <n v="0.62114989733059545"/>
    <n v="47.912585"/>
  </r>
  <r>
    <s v="BATCH01169"/>
    <x v="0"/>
    <x v="1"/>
    <x v="0"/>
    <n v="278.32"/>
    <n v="16.59"/>
    <n v="26.51"/>
    <n v="3"/>
    <n v="1.4"/>
    <n v="24"/>
    <s v="B"/>
    <n v="2.62"/>
    <x v="2"/>
    <n v="83.18"/>
    <x v="1"/>
    <n v="7.83"/>
    <n v="13.99"/>
    <n v="2179.2455999999997"/>
    <n v="3893.6968000000002"/>
    <n v="1714.4512000000004"/>
    <n v="0.44031451036454622"/>
    <n v="7.2919840000000002"/>
  </r>
  <r>
    <s v="BATCH01170"/>
    <x v="1"/>
    <x v="0"/>
    <x v="0"/>
    <n v="550.27"/>
    <n v="14.34"/>
    <n v="22.87"/>
    <n v="4.2"/>
    <n v="0.3"/>
    <n v="19"/>
    <s v="B"/>
    <n v="9.9499999999999993"/>
    <x v="2"/>
    <n v="65.28"/>
    <x v="1"/>
    <n v="8.76"/>
    <n v="12.97"/>
    <n v="4820.3651999999993"/>
    <n v="7137.0019000000002"/>
    <n v="2316.6367000000009"/>
    <n v="0.32459521973785671"/>
    <n v="54.751864999999995"/>
  </r>
  <r>
    <s v="BATCH01171"/>
    <x v="0"/>
    <x v="0"/>
    <x v="0"/>
    <n v="250.67"/>
    <n v="10.53"/>
    <n v="34.200000000000003"/>
    <n v="1.9"/>
    <n v="1.4"/>
    <n v="25"/>
    <s v="A"/>
    <n v="2.09"/>
    <x v="1"/>
    <n v="52.27"/>
    <x v="0"/>
    <n v="8.9499999999999993"/>
    <n v="14.01"/>
    <n v="2243.4964999999997"/>
    <n v="3511.8866999999996"/>
    <n v="1268.3901999999998"/>
    <n v="0.3611705924339757"/>
    <n v="5.2390029999999994"/>
  </r>
  <r>
    <s v="BATCH01172"/>
    <x v="0"/>
    <x v="3"/>
    <x v="0"/>
    <n v="403.43"/>
    <n v="13.55"/>
    <n v="30.67"/>
    <n v="0.4"/>
    <n v="1.4"/>
    <n v="19"/>
    <s v="A"/>
    <n v="7.99"/>
    <x v="0"/>
    <n v="79.3"/>
    <x v="0"/>
    <n v="7.49"/>
    <n v="7.14"/>
    <n v="3021.6907000000001"/>
    <n v="2880.4901999999997"/>
    <n v="-141.20050000000037"/>
    <n v="-4.9019607843137393E-2"/>
    <n v="32.234057"/>
  </r>
  <r>
    <s v="BATCH01173"/>
    <x v="0"/>
    <x v="2"/>
    <x v="0"/>
    <n v="662.92"/>
    <n v="13.28"/>
    <n v="22.88"/>
    <n v="0.7"/>
    <n v="0.3"/>
    <n v="24"/>
    <s v="C"/>
    <n v="7.2"/>
    <x v="0"/>
    <n v="61.14"/>
    <x v="2"/>
    <n v="8.83"/>
    <n v="11.68"/>
    <n v="5853.5835999999999"/>
    <n v="7742.9055999999991"/>
    <n v="1889.3219999999992"/>
    <n v="0.24400684931506841"/>
    <n v="47.730239999999995"/>
  </r>
  <r>
    <s v="BATCH01174"/>
    <x v="2"/>
    <x v="0"/>
    <x v="0"/>
    <n v="441.82"/>
    <n v="14.55"/>
    <n v="20.18"/>
    <n v="1.3"/>
    <n v="1.3"/>
    <n v="26"/>
    <s v="B"/>
    <n v="3.56"/>
    <x v="0"/>
    <n v="98.01"/>
    <x v="1"/>
    <n v="7.9"/>
    <n v="12.38"/>
    <n v="3490.3780000000002"/>
    <n v="5469.7316000000001"/>
    <n v="1979.3535999999999"/>
    <n v="0.36187399030694667"/>
    <n v="15.728792"/>
  </r>
  <r>
    <s v="BATCH01175"/>
    <x v="0"/>
    <x v="2"/>
    <x v="0"/>
    <n v="382.61"/>
    <n v="10.33"/>
    <n v="36.159999999999997"/>
    <n v="6.2"/>
    <n v="1.4"/>
    <n v="9"/>
    <s v="C"/>
    <n v="3.64"/>
    <x v="1"/>
    <n v="84.35"/>
    <x v="2"/>
    <n v="3.61"/>
    <n v="12.42"/>
    <n v="1381.2221"/>
    <n v="4752.0162"/>
    <n v="3370.7941000000001"/>
    <n v="0.7093397745571659"/>
    <n v="13.927004000000002"/>
  </r>
  <r>
    <s v="BATCH01176"/>
    <x v="0"/>
    <x v="2"/>
    <x v="0"/>
    <n v="480.21"/>
    <n v="16.64"/>
    <n v="23.52"/>
    <n v="0.6"/>
    <n v="0.5"/>
    <n v="23"/>
    <s v="C"/>
    <n v="5.85"/>
    <x v="1"/>
    <n v="98.71"/>
    <x v="2"/>
    <n v="8.33"/>
    <n v="10.039999999999999"/>
    <n v="4000.1493"/>
    <n v="4821.308399999999"/>
    <n v="821.15909999999894"/>
    <n v="0.17031872509960141"/>
    <n v="28.092284999999997"/>
  </r>
  <r>
    <s v="BATCH01177"/>
    <x v="1"/>
    <x v="3"/>
    <x v="0"/>
    <n v="706.79"/>
    <n v="11.09"/>
    <n v="32.119999999999997"/>
    <n v="2.6"/>
    <n v="0.2"/>
    <n v="4"/>
    <s v="C"/>
    <n v="8.6"/>
    <x v="1"/>
    <n v="92.44"/>
    <x v="0"/>
    <n v="4.26"/>
    <n v="5.1100000000000003"/>
    <n v="3010.9253999999996"/>
    <n v="3611.6968999999999"/>
    <n v="600.77150000000029"/>
    <n v="0.1663405088062623"/>
    <n v="60.783939999999994"/>
  </r>
  <r>
    <s v="BATCH01178"/>
    <x v="0"/>
    <x v="0"/>
    <x v="0"/>
    <n v="316.83"/>
    <n v="14.94"/>
    <n v="26.74"/>
    <n v="1.2"/>
    <n v="0.7"/>
    <n v="10"/>
    <s v="A"/>
    <n v="4.17"/>
    <x v="2"/>
    <n v="74.150000000000006"/>
    <x v="0"/>
    <n v="4.66"/>
    <n v="7.61"/>
    <n v="1476.4277999999999"/>
    <n v="2411.0763000000002"/>
    <n v="934.64850000000024"/>
    <n v="0.38764783180026291"/>
    <n v="13.211811000000001"/>
  </r>
  <r>
    <s v="BATCH01179"/>
    <x v="0"/>
    <x v="3"/>
    <x v="0"/>
    <n v="394.87"/>
    <n v="8.16"/>
    <n v="31.71"/>
    <n v="0.7"/>
    <n v="2.5"/>
    <n v="9"/>
    <s v="B"/>
    <n v="1.08"/>
    <x v="0"/>
    <n v="83.48"/>
    <x v="0"/>
    <n v="5.76"/>
    <n v="8.23"/>
    <n v="2274.4512"/>
    <n v="3249.7801000000004"/>
    <n v="975.32890000000043"/>
    <n v="0.30012150668286763"/>
    <n v="4.2645960000000001"/>
  </r>
  <r>
    <s v="BATCH01180"/>
    <x v="3"/>
    <x v="3"/>
    <x v="0"/>
    <n v="649.74"/>
    <n v="11.73"/>
    <n v="26.31"/>
    <n v="1.2"/>
    <n v="1"/>
    <n v="19"/>
    <s v="C"/>
    <n v="4.0599999999999996"/>
    <x v="2"/>
    <n v="90.61"/>
    <x v="1"/>
    <n v="5.2"/>
    <n v="13.52"/>
    <n v="3378.6480000000001"/>
    <n v="8784.4848000000002"/>
    <n v="5405.8368"/>
    <n v="0.61538461538461542"/>
    <n v="26.379443999999999"/>
  </r>
  <r>
    <s v="BATCH01181"/>
    <x v="1"/>
    <x v="0"/>
    <x v="1"/>
    <n v="685.77"/>
    <n v="11.52"/>
    <n v="21.74"/>
    <n v="0.1"/>
    <n v="0.2"/>
    <n v="15"/>
    <s v="B"/>
    <n v="2.4700000000000002"/>
    <x v="2"/>
    <n v="78.91"/>
    <x v="0"/>
    <n v="5.25"/>
    <n v="13.41"/>
    <n v="3600.2925"/>
    <n v="9196.1756999999998"/>
    <n v="5595.8832000000002"/>
    <n v="0.60850111856823275"/>
    <n v="16.938518999999999"/>
  </r>
  <r>
    <s v="BATCH01182"/>
    <x v="1"/>
    <x v="0"/>
    <x v="0"/>
    <n v="489.66"/>
    <n v="13.43"/>
    <n v="24.46"/>
    <n v="3.2"/>
    <n v="1.1000000000000001"/>
    <n v="19"/>
    <s v="B"/>
    <n v="9.42"/>
    <x v="1"/>
    <n v="53.07"/>
    <x v="1"/>
    <n v="4.18"/>
    <n v="6.05"/>
    <n v="2046.7788"/>
    <n v="2962.4430000000002"/>
    <n v="915.66420000000016"/>
    <n v="0.30909090909090914"/>
    <n v="46.125972000000004"/>
  </r>
  <r>
    <s v="BATCH01183"/>
    <x v="1"/>
    <x v="1"/>
    <x v="1"/>
    <n v="376.09"/>
    <n v="8.73"/>
    <n v="23.76"/>
    <n v="0.6"/>
    <n v="0.6"/>
    <n v="2"/>
    <s v="C"/>
    <n v="7.12"/>
    <x v="0"/>
    <n v="73.52"/>
    <x v="2"/>
    <n v="5.0599999999999996"/>
    <n v="14.5"/>
    <n v="1903.0153999999998"/>
    <n v="5453.3049999999994"/>
    <n v="3550.2895999999996"/>
    <n v="0.65103448275862075"/>
    <n v="26.777608000000001"/>
  </r>
  <r>
    <s v="BATCH01184"/>
    <x v="1"/>
    <x v="1"/>
    <x v="0"/>
    <n v="709.58"/>
    <n v="15.9"/>
    <n v="28.56"/>
    <n v="2.6"/>
    <n v="0.9"/>
    <n v="10"/>
    <s v="C"/>
    <n v="0.98"/>
    <x v="2"/>
    <n v="56.53"/>
    <x v="1"/>
    <n v="3.14"/>
    <n v="6.82"/>
    <n v="2228.0812000000001"/>
    <n v="4839.3356000000003"/>
    <n v="2611.2544000000003"/>
    <n v="0.53958944281524923"/>
    <n v="6.9538840000000004"/>
  </r>
  <r>
    <s v="BATCH01185"/>
    <x v="1"/>
    <x v="2"/>
    <x v="0"/>
    <n v="659.44"/>
    <n v="10.18"/>
    <n v="33.17"/>
    <n v="0.1"/>
    <n v="1.3"/>
    <n v="19"/>
    <s v="A"/>
    <n v="3.28"/>
    <x v="0"/>
    <n v="85.74"/>
    <x v="0"/>
    <n v="6.31"/>
    <n v="9.14"/>
    <n v="4161.0663999999997"/>
    <n v="6027.2816000000012"/>
    <n v="1866.2152000000015"/>
    <n v="0.30962800875273544"/>
    <n v="21.629632000000001"/>
  </r>
  <r>
    <s v="BATCH01186"/>
    <x v="1"/>
    <x v="0"/>
    <x v="1"/>
    <n v="567.89"/>
    <n v="14.77"/>
    <n v="25.28"/>
    <n v="6.2"/>
    <n v="0.7"/>
    <n v="17"/>
    <s v="B"/>
    <n v="0.98"/>
    <x v="2"/>
    <n v="84.03"/>
    <x v="1"/>
    <n v="8.3800000000000008"/>
    <n v="7.15"/>
    <n v="4758.9182000000001"/>
    <n v="4060.4135000000001"/>
    <n v="-698.50469999999996"/>
    <n v="-0.17202797202797201"/>
    <n v="5.5653220000000001"/>
  </r>
  <r>
    <s v="BATCH01187"/>
    <x v="2"/>
    <x v="1"/>
    <x v="0"/>
    <n v="418.76"/>
    <n v="16.03"/>
    <n v="20.239999999999998"/>
    <n v="0.4"/>
    <n v="1.7"/>
    <n v="20"/>
    <s v="C"/>
    <n v="8.39"/>
    <x v="1"/>
    <n v="99.65"/>
    <x v="1"/>
    <n v="9.0399999999999991"/>
    <n v="13.6"/>
    <n v="3785.5903999999996"/>
    <n v="5695.1359999999995"/>
    <n v="1909.5455999999999"/>
    <n v="0.33529411764705885"/>
    <n v="35.133963999999999"/>
  </r>
  <r>
    <s v="BATCH01188"/>
    <x v="0"/>
    <x v="2"/>
    <x v="1"/>
    <n v="495.1"/>
    <n v="13.62"/>
    <n v="30.38"/>
    <n v="4.3"/>
    <n v="1.3"/>
    <n v="24"/>
    <s v="C"/>
    <n v="9.11"/>
    <x v="2"/>
    <n v="81.44"/>
    <x v="0"/>
    <n v="8.74"/>
    <n v="12.49"/>
    <n v="4327.174"/>
    <n v="6183.799"/>
    <n v="1856.625"/>
    <n v="0.300240192153723"/>
    <n v="45.103609999999996"/>
  </r>
  <r>
    <s v="BATCH01189"/>
    <x v="1"/>
    <x v="2"/>
    <x v="1"/>
    <n v="483.96"/>
    <n v="15.41"/>
    <n v="32.119999999999997"/>
    <n v="3.3"/>
    <n v="1"/>
    <n v="21"/>
    <s v="B"/>
    <n v="1.57"/>
    <x v="1"/>
    <n v="90.01"/>
    <x v="0"/>
    <n v="5.92"/>
    <n v="8.5399999999999991"/>
    <n v="2865.0432000000001"/>
    <n v="4133.018399999999"/>
    <n v="1267.9751999999989"/>
    <n v="0.30679156908665089"/>
    <n v="7.5981719999999999"/>
  </r>
  <r>
    <s v="BATCH01190"/>
    <x v="0"/>
    <x v="2"/>
    <x v="1"/>
    <n v="533.09"/>
    <n v="14.62"/>
    <n v="39.26"/>
    <n v="6.9"/>
    <n v="0.2"/>
    <n v="2"/>
    <s v="C"/>
    <n v="4.68"/>
    <x v="0"/>
    <n v="63.41"/>
    <x v="2"/>
    <n v="8.11"/>
    <n v="11.82"/>
    <n v="4323.3599000000004"/>
    <n v="6301.1238000000003"/>
    <n v="1977.7638999999999"/>
    <n v="0.31387478849407779"/>
    <n v="24.948611999999997"/>
  </r>
  <r>
    <s v="BATCH01191"/>
    <x v="0"/>
    <x v="1"/>
    <x v="0"/>
    <n v="645.1"/>
    <n v="11.56"/>
    <n v="31.79"/>
    <n v="1.3"/>
    <n v="1.8"/>
    <n v="19"/>
    <s v="B"/>
    <n v="9.35"/>
    <x v="2"/>
    <n v="67"/>
    <x v="1"/>
    <n v="5.0199999999999996"/>
    <n v="6.84"/>
    <n v="3238.402"/>
    <n v="4412.4840000000004"/>
    <n v="1174.0820000000003"/>
    <n v="0.26608187134502931"/>
    <n v="60.316850000000002"/>
  </r>
  <r>
    <s v="BATCH01192"/>
    <x v="2"/>
    <x v="0"/>
    <x v="0"/>
    <n v="587.94000000000005"/>
    <n v="16.09"/>
    <n v="29.42"/>
    <n v="2.6"/>
    <n v="2.7"/>
    <n v="17"/>
    <s v="C"/>
    <n v="1.88"/>
    <x v="2"/>
    <n v="95.85"/>
    <x v="2"/>
    <n v="3.39"/>
    <n v="8.82"/>
    <n v="1993.1166000000003"/>
    <n v="5185.6308000000008"/>
    <n v="3192.5142000000005"/>
    <n v="0.61564625850340138"/>
    <n v="11.053272"/>
  </r>
  <r>
    <s v="BATCH01193"/>
    <x v="1"/>
    <x v="3"/>
    <x v="0"/>
    <n v="392.26"/>
    <n v="10.95"/>
    <n v="31.47"/>
    <n v="0.9"/>
    <n v="0.1"/>
    <n v="18"/>
    <s v="B"/>
    <n v="3.27"/>
    <x v="1"/>
    <n v="87.76"/>
    <x v="2"/>
    <n v="7.73"/>
    <n v="8.77"/>
    <n v="3032.1698000000001"/>
    <n v="3440.1201999999998"/>
    <n v="407.95039999999972"/>
    <n v="0.11858608893956663"/>
    <n v="12.826902"/>
  </r>
  <r>
    <s v="BATCH01194"/>
    <x v="3"/>
    <x v="2"/>
    <x v="1"/>
    <n v="637.65"/>
    <n v="13.71"/>
    <n v="38.56"/>
    <n v="0.4"/>
    <n v="0.7"/>
    <n v="17"/>
    <s v="C"/>
    <n v="3.39"/>
    <x v="1"/>
    <n v="82.76"/>
    <x v="1"/>
    <n v="7.54"/>
    <n v="7.38"/>
    <n v="4807.8809999999994"/>
    <n v="4705.857"/>
    <n v="-102.02399999999943"/>
    <n v="-2.16802168021679E-2"/>
    <n v="21.616334999999999"/>
  </r>
  <r>
    <s v="BATCH01195"/>
    <x v="2"/>
    <x v="1"/>
    <x v="1"/>
    <n v="531.30999999999995"/>
    <n v="15.45"/>
    <n v="36.57"/>
    <n v="1.2"/>
    <n v="0.3"/>
    <n v="2"/>
    <s v="C"/>
    <n v="0.79"/>
    <x v="0"/>
    <n v="62.7"/>
    <x v="2"/>
    <n v="8.61"/>
    <n v="13.76"/>
    <n v="4574.579099999999"/>
    <n v="7310.8255999999992"/>
    <n v="2736.2465000000002"/>
    <n v="0.37427325581395354"/>
    <n v="4.197349"/>
  </r>
  <r>
    <s v="BATCH01196"/>
    <x v="3"/>
    <x v="1"/>
    <x v="0"/>
    <n v="568.71"/>
    <n v="11.79"/>
    <n v="26.46"/>
    <n v="0.4"/>
    <n v="1.4"/>
    <n v="19"/>
    <s v="A"/>
    <n v="0.84"/>
    <x v="1"/>
    <n v="84.93"/>
    <x v="1"/>
    <n v="7.31"/>
    <n v="11.79"/>
    <n v="4157.2700999999997"/>
    <n v="6705.0909000000001"/>
    <n v="2547.8208000000004"/>
    <n v="0.37998303647158616"/>
    <n v="4.777164"/>
  </r>
  <r>
    <s v="BATCH01197"/>
    <x v="0"/>
    <x v="3"/>
    <x v="0"/>
    <n v="646.65"/>
    <n v="11.03"/>
    <n v="24.75"/>
    <n v="8"/>
    <n v="1.3"/>
    <n v="1"/>
    <s v="B"/>
    <n v="9.5500000000000007"/>
    <x v="0"/>
    <n v="94.34"/>
    <x v="2"/>
    <n v="4.0999999999999996"/>
    <n v="7.8"/>
    <n v="2651.2649999999999"/>
    <n v="5043.87"/>
    <n v="2392.605"/>
    <n v="0.47435897435897439"/>
    <n v="61.755075000000005"/>
  </r>
  <r>
    <s v="BATCH01198"/>
    <x v="0"/>
    <x v="3"/>
    <x v="0"/>
    <n v="388.84"/>
    <n v="12.59"/>
    <n v="25.25"/>
    <n v="0.2"/>
    <n v="0.2"/>
    <n v="11"/>
    <s v="A"/>
    <n v="5.93"/>
    <x v="2"/>
    <n v="61.54"/>
    <x v="2"/>
    <n v="8.9700000000000006"/>
    <n v="7.42"/>
    <n v="3487.8948"/>
    <n v="2885.1927999999998"/>
    <n v="-602.70200000000023"/>
    <n v="-0.20889487870619955"/>
    <n v="23.058211999999997"/>
  </r>
  <r>
    <s v="BATCH01199"/>
    <x v="2"/>
    <x v="1"/>
    <x v="0"/>
    <n v="496.42"/>
    <n v="16.18"/>
    <n v="30.09"/>
    <n v="1.8"/>
    <n v="2.1"/>
    <n v="25"/>
    <s v="C"/>
    <n v="3.41"/>
    <x v="0"/>
    <n v="85.31"/>
    <x v="1"/>
    <n v="7.39"/>
    <n v="5.18"/>
    <n v="3668.5437999999999"/>
    <n v="2571.4555999999998"/>
    <n v="-1097.0882000000001"/>
    <n v="-0.42664092664092673"/>
    <n v="16.927922000000002"/>
  </r>
  <r>
    <s v="BATCH01200"/>
    <x v="2"/>
    <x v="0"/>
    <x v="0"/>
    <n v="446.85"/>
    <n v="17.3"/>
    <n v="34.880000000000003"/>
    <n v="2"/>
    <n v="0.2"/>
    <n v="10"/>
    <s v="B"/>
    <n v="4.0999999999999996"/>
    <x v="0"/>
    <n v="69.680000000000007"/>
    <x v="0"/>
    <n v="8.65"/>
    <n v="8.4700000000000006"/>
    <n v="3865.2525000000005"/>
    <n v="3784.8195000000005"/>
    <n v="-80.432999999999993"/>
    <n v="-2.1251475796930337E-2"/>
    <n v="18.32085"/>
  </r>
  <r>
    <s v="BATCH01201"/>
    <x v="3"/>
    <x v="3"/>
    <x v="1"/>
    <n v="343.21"/>
    <n v="13.45"/>
    <n v="30.06"/>
    <n v="1.5"/>
    <n v="1.6"/>
    <n v="5"/>
    <s v="B"/>
    <n v="7.29"/>
    <x v="0"/>
    <n v="55.94"/>
    <x v="1"/>
    <n v="8.42"/>
    <n v="10.27"/>
    <n v="2889.8281999999999"/>
    <n v="3524.7666999999997"/>
    <n v="634.93849999999975"/>
    <n v="0.18013631937682564"/>
    <n v="25.020009000000002"/>
  </r>
  <r>
    <s v="BATCH01202"/>
    <x v="1"/>
    <x v="1"/>
    <x v="1"/>
    <n v="534.66999999999996"/>
    <n v="14.61"/>
    <n v="21.36"/>
    <n v="2.2000000000000002"/>
    <n v="0.6"/>
    <n v="16"/>
    <s v="C"/>
    <n v="3.98"/>
    <x v="2"/>
    <n v="88.17"/>
    <x v="0"/>
    <n v="5.09"/>
    <n v="7.78"/>
    <n v="2721.4702999999995"/>
    <n v="4159.7325999999994"/>
    <n v="1438.2622999999999"/>
    <n v="0.34575835475578409"/>
    <n v="21.279865999999998"/>
  </r>
  <r>
    <s v="BATCH01203"/>
    <x v="3"/>
    <x v="3"/>
    <x v="1"/>
    <n v="751.16"/>
    <n v="17.03"/>
    <n v="34.47"/>
    <n v="0.2"/>
    <n v="0.4"/>
    <n v="24"/>
    <s v="C"/>
    <n v="2.66"/>
    <x v="2"/>
    <n v="58.36"/>
    <x v="1"/>
    <n v="3.52"/>
    <n v="12"/>
    <n v="2644.0832"/>
    <n v="9013.92"/>
    <n v="6369.8368"/>
    <n v="0.70666666666666667"/>
    <n v="19.980856000000003"/>
  </r>
  <r>
    <s v="BATCH01204"/>
    <x v="2"/>
    <x v="0"/>
    <x v="0"/>
    <n v="315.99"/>
    <n v="8.99"/>
    <n v="36.119999999999997"/>
    <n v="1.6"/>
    <n v="0.2"/>
    <n v="5"/>
    <s v="C"/>
    <n v="1.47"/>
    <x v="1"/>
    <n v="62.64"/>
    <x v="1"/>
    <n v="4.24"/>
    <n v="9.1199999999999992"/>
    <n v="1339.7976000000001"/>
    <n v="2881.8287999999998"/>
    <n v="1542.0311999999997"/>
    <n v="0.5350877192982455"/>
    <n v="4.6450529999999999"/>
  </r>
  <r>
    <s v="BATCH01205"/>
    <x v="3"/>
    <x v="2"/>
    <x v="1"/>
    <n v="496.77"/>
    <n v="10.32"/>
    <n v="25.79"/>
    <n v="0.7"/>
    <n v="0.2"/>
    <n v="24"/>
    <s v="C"/>
    <n v="7.42"/>
    <x v="0"/>
    <n v="89.15"/>
    <x v="0"/>
    <n v="3.65"/>
    <n v="8.16"/>
    <n v="1813.2104999999999"/>
    <n v="4053.6432"/>
    <n v="2240.4327000000003"/>
    <n v="0.55269607843137258"/>
    <n v="36.860333999999995"/>
  </r>
  <r>
    <s v="BATCH01206"/>
    <x v="2"/>
    <x v="3"/>
    <x v="1"/>
    <n v="564.04999999999995"/>
    <n v="15.09"/>
    <n v="33.28"/>
    <n v="5.6"/>
    <n v="1.1000000000000001"/>
    <n v="23"/>
    <s v="B"/>
    <n v="2.2200000000000002"/>
    <x v="2"/>
    <n v="87.11"/>
    <x v="0"/>
    <n v="4.7"/>
    <n v="14.39"/>
    <n v="2651.0349999999999"/>
    <n v="8116.6794999999993"/>
    <n v="5465.6444999999994"/>
    <n v="0.6733842946490618"/>
    <n v="12.52191"/>
  </r>
  <r>
    <s v="BATCH01207"/>
    <x v="3"/>
    <x v="0"/>
    <x v="1"/>
    <n v="512.30999999999995"/>
    <n v="16.239999999999998"/>
    <n v="28.53"/>
    <n v="2.9"/>
    <n v="0.8"/>
    <n v="12"/>
    <s v="A"/>
    <n v="1.1599999999999999"/>
    <x v="0"/>
    <n v="62.71"/>
    <x v="1"/>
    <n v="6.22"/>
    <n v="7.63"/>
    <n v="3186.5681999999997"/>
    <n v="3908.9252999999994"/>
    <n v="722.35709999999972"/>
    <n v="0.18479685452162511"/>
    <n v="5.9427959999999986"/>
  </r>
  <r>
    <s v="BATCH01208"/>
    <x v="2"/>
    <x v="1"/>
    <x v="1"/>
    <n v="488.69"/>
    <n v="16.57"/>
    <n v="37.78"/>
    <n v="7.2"/>
    <n v="0.1"/>
    <n v="4"/>
    <s v="B"/>
    <n v="4.5599999999999996"/>
    <x v="0"/>
    <n v="97.05"/>
    <x v="1"/>
    <n v="9.35"/>
    <n v="8.98"/>
    <n v="4569.2514999999994"/>
    <n v="4388.4362000000001"/>
    <n v="-180.8152999999993"/>
    <n v="-4.1202672605790483E-2"/>
    <n v="22.284263999999997"/>
  </r>
  <r>
    <s v="BATCH01209"/>
    <x v="2"/>
    <x v="3"/>
    <x v="1"/>
    <n v="370.08"/>
    <n v="12.15"/>
    <n v="36.9"/>
    <n v="0.1"/>
    <n v="0.1"/>
    <n v="23"/>
    <s v="B"/>
    <n v="0.88"/>
    <x v="0"/>
    <n v="60.76"/>
    <x v="1"/>
    <n v="9.1"/>
    <n v="8.82"/>
    <n v="3367.7279999999996"/>
    <n v="3264.1055999999999"/>
    <n v="-103.62239999999974"/>
    <n v="-3.1746031746031668E-2"/>
    <n v="3.2567039999999996"/>
  </r>
  <r>
    <s v="BATCH01210"/>
    <x v="2"/>
    <x v="3"/>
    <x v="0"/>
    <n v="523.28"/>
    <n v="8.89"/>
    <n v="30.51"/>
    <n v="0.7"/>
    <n v="0.1"/>
    <n v="6"/>
    <s v="B"/>
    <n v="9.67"/>
    <x v="2"/>
    <n v="99.68"/>
    <x v="0"/>
    <n v="8.0299999999999994"/>
    <n v="7.41"/>
    <n v="4201.9383999999991"/>
    <n v="3877.5047999999997"/>
    <n v="-324.43359999999939"/>
    <n v="-8.3670715249662464E-2"/>
    <n v="50.601175999999995"/>
  </r>
  <r>
    <s v="BATCH01211"/>
    <x v="1"/>
    <x v="1"/>
    <x v="1"/>
    <n v="424.32"/>
    <n v="12.38"/>
    <n v="33.83"/>
    <n v="0.4"/>
    <n v="1.4"/>
    <n v="19"/>
    <s v="B"/>
    <n v="6.46"/>
    <x v="0"/>
    <n v="86.89"/>
    <x v="1"/>
    <n v="3.17"/>
    <n v="7.17"/>
    <n v="1345.0944"/>
    <n v="3042.3743999999997"/>
    <n v="1697.2799999999997"/>
    <n v="0.55788005578800559"/>
    <n v="27.411072000000001"/>
  </r>
  <r>
    <s v="BATCH01212"/>
    <x v="3"/>
    <x v="2"/>
    <x v="0"/>
    <n v="281.01"/>
    <n v="10.31"/>
    <n v="37.67"/>
    <n v="0"/>
    <n v="1.2"/>
    <n v="9"/>
    <s v="C"/>
    <n v="1.95"/>
    <x v="0"/>
    <n v="69.63"/>
    <x v="0"/>
    <n v="5.39"/>
    <n v="8.02"/>
    <n v="1514.6438999999998"/>
    <n v="2253.7001999999998"/>
    <n v="739.05629999999996"/>
    <n v="0.32793017456359103"/>
    <n v="5.4796949999999995"/>
  </r>
  <r>
    <s v="BATCH01213"/>
    <x v="3"/>
    <x v="1"/>
    <x v="0"/>
    <n v="619.46"/>
    <n v="10.91"/>
    <n v="29.91"/>
    <n v="0.6"/>
    <n v="0.1"/>
    <n v="12"/>
    <s v="A"/>
    <n v="2.14"/>
    <x v="1"/>
    <n v="56.52"/>
    <x v="2"/>
    <n v="7.78"/>
    <n v="13.64"/>
    <n v="4819.3988000000008"/>
    <n v="8449.4344000000001"/>
    <n v="3630.0355999999992"/>
    <n v="0.42961876832844564"/>
    <n v="13.256444000000002"/>
  </r>
  <r>
    <s v="BATCH01214"/>
    <x v="3"/>
    <x v="3"/>
    <x v="0"/>
    <n v="595.84"/>
    <n v="15.72"/>
    <n v="26.27"/>
    <n v="2.2999999999999998"/>
    <n v="0.8"/>
    <n v="26"/>
    <s v="B"/>
    <n v="5.91"/>
    <x v="0"/>
    <n v="66.03"/>
    <x v="0"/>
    <n v="3.9"/>
    <n v="12.67"/>
    <n v="2323.7760000000003"/>
    <n v="7549.2928000000002"/>
    <n v="5225.5167999999994"/>
    <n v="0.69218626677190209"/>
    <n v="35.214144000000005"/>
  </r>
  <r>
    <s v="BATCH01215"/>
    <x v="2"/>
    <x v="1"/>
    <x v="0"/>
    <n v="505.17"/>
    <n v="8.76"/>
    <n v="35.07"/>
    <n v="0.5"/>
    <n v="0.1"/>
    <n v="15"/>
    <s v="B"/>
    <n v="3.89"/>
    <x v="1"/>
    <n v="59.69"/>
    <x v="2"/>
    <n v="8.61"/>
    <n v="11.81"/>
    <n v="4349.5136999999995"/>
    <n v="5966.0577000000003"/>
    <n v="1616.5440000000008"/>
    <n v="0.27095681625740908"/>
    <n v="19.651112999999999"/>
  </r>
  <r>
    <s v="BATCH01216"/>
    <x v="3"/>
    <x v="0"/>
    <x v="0"/>
    <n v="522.91"/>
    <n v="16.28"/>
    <n v="24.4"/>
    <n v="1.4"/>
    <n v="2.2999999999999998"/>
    <n v="16"/>
    <s v="A"/>
    <n v="7.86"/>
    <x v="0"/>
    <n v="81.09"/>
    <x v="1"/>
    <n v="9.4"/>
    <n v="9.57"/>
    <n v="4915.3540000000003"/>
    <n v="5004.2487000000001"/>
    <n v="88.89469999999983"/>
    <n v="1.7763845350052213E-2"/>
    <n v="41.100725999999995"/>
  </r>
  <r>
    <s v="BATCH01217"/>
    <x v="3"/>
    <x v="1"/>
    <x v="1"/>
    <n v="607.42999999999995"/>
    <n v="12.28"/>
    <n v="27.77"/>
    <n v="4.4000000000000004"/>
    <n v="2.4"/>
    <n v="13"/>
    <s v="C"/>
    <n v="5.69"/>
    <x v="1"/>
    <n v="67.84"/>
    <x v="1"/>
    <n v="5.48"/>
    <n v="10.08"/>
    <n v="3328.7163999999998"/>
    <n v="6122.8943999999992"/>
    <n v="2794.1779999999994"/>
    <n v="0.45634920634920634"/>
    <n v="34.562767000000001"/>
  </r>
  <r>
    <s v="BATCH01218"/>
    <x v="2"/>
    <x v="3"/>
    <x v="1"/>
    <n v="522.42999999999995"/>
    <n v="13.96"/>
    <n v="37.31"/>
    <n v="2.4"/>
    <n v="1.2"/>
    <n v="25"/>
    <s v="B"/>
    <n v="4.62"/>
    <x v="2"/>
    <n v="64.75"/>
    <x v="0"/>
    <n v="7.94"/>
    <n v="7.67"/>
    <n v="4148.0941999999995"/>
    <n v="4007.0380999999998"/>
    <n v="-141.05609999999979"/>
    <n v="-3.5202086049543627E-2"/>
    <n v="24.136265999999996"/>
  </r>
  <r>
    <s v="BATCH01219"/>
    <x v="0"/>
    <x v="1"/>
    <x v="0"/>
    <n v="590.4"/>
    <n v="8.9"/>
    <n v="34.49"/>
    <n v="1"/>
    <n v="2.6"/>
    <n v="21"/>
    <s v="C"/>
    <n v="9.65"/>
    <x v="2"/>
    <n v="87.86"/>
    <x v="2"/>
    <n v="4.04"/>
    <n v="5.74"/>
    <n v="2385.2159999999999"/>
    <n v="3388.8960000000002"/>
    <n v="1003.6800000000003"/>
    <n v="0.29616724738675965"/>
    <n v="56.973599999999998"/>
  </r>
  <r>
    <s v="BATCH01220"/>
    <x v="2"/>
    <x v="2"/>
    <x v="0"/>
    <n v="470.25"/>
    <n v="11.37"/>
    <n v="28.08"/>
    <n v="0.9"/>
    <n v="1.7"/>
    <n v="24"/>
    <s v="B"/>
    <n v="4.21"/>
    <x v="0"/>
    <n v="61.53"/>
    <x v="1"/>
    <n v="7.84"/>
    <n v="8.31"/>
    <n v="3686.7599999999998"/>
    <n v="3907.7775000000001"/>
    <n v="221.01750000000038"/>
    <n v="5.6558363417569292E-2"/>
    <n v="19.797525"/>
  </r>
  <r>
    <s v="BATCH01221"/>
    <x v="3"/>
    <x v="1"/>
    <x v="0"/>
    <n v="631.20000000000005"/>
    <n v="8.9"/>
    <n v="24.29"/>
    <n v="1.2"/>
    <n v="1.8"/>
    <n v="7"/>
    <s v="B"/>
    <n v="4.3099999999999996"/>
    <x v="1"/>
    <n v="79.34"/>
    <x v="1"/>
    <n v="3.15"/>
    <n v="9.9600000000000009"/>
    <n v="1988.2800000000002"/>
    <n v="6286.7520000000013"/>
    <n v="4298.4720000000016"/>
    <n v="0.68373493975903621"/>
    <n v="27.204719999999998"/>
  </r>
  <r>
    <s v="BATCH01222"/>
    <x v="2"/>
    <x v="2"/>
    <x v="1"/>
    <n v="532.08000000000004"/>
    <n v="17.62"/>
    <n v="27.12"/>
    <n v="0.4"/>
    <n v="0.8"/>
    <n v="25"/>
    <s v="A"/>
    <n v="6.82"/>
    <x v="2"/>
    <n v="59.73"/>
    <x v="2"/>
    <n v="4.0599999999999996"/>
    <n v="5.57"/>
    <n v="2160.2447999999999"/>
    <n v="2963.6856000000002"/>
    <n v="803.44080000000031"/>
    <n v="0.27109515260323169"/>
    <n v="36.287856000000005"/>
  </r>
  <r>
    <s v="BATCH01223"/>
    <x v="0"/>
    <x v="0"/>
    <x v="0"/>
    <n v="519.41"/>
    <n v="16.07"/>
    <n v="25.68"/>
    <n v="2"/>
    <n v="0.4"/>
    <n v="23"/>
    <s v="A"/>
    <n v="8.19"/>
    <x v="0"/>
    <n v="85.74"/>
    <x v="1"/>
    <n v="7.97"/>
    <n v="5.88"/>
    <n v="4139.6976999999997"/>
    <n v="3054.1307999999999"/>
    <n v="-1085.5668999999998"/>
    <n v="-0.35544217687074825"/>
    <n v="42.539679"/>
  </r>
  <r>
    <s v="BATCH01224"/>
    <x v="2"/>
    <x v="2"/>
    <x v="1"/>
    <n v="372.99"/>
    <n v="12.6"/>
    <n v="23.52"/>
    <n v="0.9"/>
    <n v="0.2"/>
    <n v="20"/>
    <s v="C"/>
    <n v="6.45"/>
    <x v="0"/>
    <n v="81.260000000000005"/>
    <x v="1"/>
    <n v="7.98"/>
    <n v="7.63"/>
    <n v="2976.4602000000004"/>
    <n v="2845.9137000000001"/>
    <n v="-130.54650000000038"/>
    <n v="-4.5871559633027657E-2"/>
    <n v="24.057855"/>
  </r>
  <r>
    <s v="BATCH01225"/>
    <x v="3"/>
    <x v="1"/>
    <x v="0"/>
    <n v="528.70000000000005"/>
    <n v="10.24"/>
    <n v="34.869999999999997"/>
    <n v="3.8"/>
    <n v="0.4"/>
    <n v="4"/>
    <s v="B"/>
    <n v="7.14"/>
    <x v="1"/>
    <n v="89.91"/>
    <x v="0"/>
    <n v="7.49"/>
    <n v="8.67"/>
    <n v="3959.9630000000006"/>
    <n v="4583.8290000000006"/>
    <n v="623.86599999999999"/>
    <n v="0.13610149942329872"/>
    <n v="37.749180000000003"/>
  </r>
  <r>
    <s v="BATCH01226"/>
    <x v="0"/>
    <x v="3"/>
    <x v="1"/>
    <n v="416.8"/>
    <n v="17.329999999999998"/>
    <n v="25.04"/>
    <n v="2.8"/>
    <n v="1"/>
    <n v="11"/>
    <s v="C"/>
    <n v="4.04"/>
    <x v="1"/>
    <n v="53.42"/>
    <x v="1"/>
    <n v="6.34"/>
    <n v="8.93"/>
    <n v="2642.5120000000002"/>
    <n v="3722.0239999999999"/>
    <n v="1079.5119999999997"/>
    <n v="0.29003359462485995"/>
    <n v="16.838720000000002"/>
  </r>
  <r>
    <s v="BATCH01227"/>
    <x v="1"/>
    <x v="2"/>
    <x v="0"/>
    <n v="436.17"/>
    <n v="11.45"/>
    <n v="29.08"/>
    <n v="1.9"/>
    <n v="0.2"/>
    <n v="8"/>
    <s v="A"/>
    <n v="5.0599999999999996"/>
    <x v="0"/>
    <n v="60.51"/>
    <x v="2"/>
    <n v="7.72"/>
    <n v="6.18"/>
    <n v="3367.2323999999999"/>
    <n v="2695.5306"/>
    <n v="-671.70179999999982"/>
    <n v="-0.24919093851132679"/>
    <n v="22.070201999999998"/>
  </r>
  <r>
    <s v="BATCH01228"/>
    <x v="3"/>
    <x v="0"/>
    <x v="1"/>
    <n v="418.46"/>
    <n v="9.61"/>
    <n v="27.72"/>
    <n v="0.9"/>
    <n v="0.3"/>
    <n v="6"/>
    <s v="A"/>
    <n v="2.37"/>
    <x v="1"/>
    <n v="57.72"/>
    <x v="1"/>
    <n v="8.42"/>
    <n v="7.26"/>
    <n v="3523.4331999999999"/>
    <n v="3038.0195999999996"/>
    <n v="-485.41360000000032"/>
    <n v="-0.15977961432506899"/>
    <n v="9.9175019999999989"/>
  </r>
  <r>
    <s v="BATCH01229"/>
    <x v="0"/>
    <x v="2"/>
    <x v="0"/>
    <n v="393.38"/>
    <n v="13.63"/>
    <n v="39.64"/>
    <n v="0.5"/>
    <n v="0.6"/>
    <n v="25"/>
    <s v="A"/>
    <n v="6.96"/>
    <x v="1"/>
    <n v="59.53"/>
    <x v="0"/>
    <n v="9.77"/>
    <n v="7.62"/>
    <n v="3843.3226"/>
    <n v="2997.5556000000001"/>
    <n v="-845.76699999999983"/>
    <n v="-0.28215223097112851"/>
    <n v="27.379247999999997"/>
  </r>
  <r>
    <s v="BATCH01230"/>
    <x v="0"/>
    <x v="2"/>
    <x v="1"/>
    <n v="712.48"/>
    <n v="17.440000000000001"/>
    <n v="27.82"/>
    <n v="3"/>
    <n v="0.3"/>
    <n v="10"/>
    <s v="A"/>
    <n v="2.6"/>
    <x v="2"/>
    <n v="55.15"/>
    <x v="1"/>
    <n v="9.2200000000000006"/>
    <n v="5.68"/>
    <n v="6569.0656000000008"/>
    <n v="4046.8863999999999"/>
    <n v="-2522.1792000000009"/>
    <n v="-0.62323943661971859"/>
    <n v="18.524480000000001"/>
  </r>
  <r>
    <s v="BATCH01231"/>
    <x v="1"/>
    <x v="2"/>
    <x v="1"/>
    <n v="633.13"/>
    <n v="8.0399999999999991"/>
    <n v="21.6"/>
    <n v="1.3"/>
    <n v="0.9"/>
    <n v="7"/>
    <s v="A"/>
    <n v="0.51"/>
    <x v="1"/>
    <n v="78.099999999999994"/>
    <x v="2"/>
    <n v="8.56"/>
    <n v="8.26"/>
    <n v="5419.5928000000004"/>
    <n v="5229.6538"/>
    <n v="-189.93900000000031"/>
    <n v="-3.6319612590799091E-2"/>
    <n v="3.2289629999999998"/>
  </r>
  <r>
    <s v="BATCH01232"/>
    <x v="2"/>
    <x v="0"/>
    <x v="1"/>
    <n v="692.04"/>
    <n v="10.38"/>
    <n v="21.8"/>
    <n v="0.5"/>
    <n v="2.6"/>
    <n v="7"/>
    <s v="C"/>
    <n v="9.3699999999999992"/>
    <x v="0"/>
    <n v="79.67"/>
    <x v="1"/>
    <n v="7.86"/>
    <n v="5.72"/>
    <n v="5439.4344000000001"/>
    <n v="3958.4687999999996"/>
    <n v="-1480.9656000000004"/>
    <n v="-0.37412587412587428"/>
    <n v="64.84414799999999"/>
  </r>
  <r>
    <s v="BATCH01233"/>
    <x v="2"/>
    <x v="1"/>
    <x v="1"/>
    <n v="377.71"/>
    <n v="17.38"/>
    <n v="31.82"/>
    <n v="0.4"/>
    <n v="1.4"/>
    <n v="4"/>
    <s v="C"/>
    <n v="3.41"/>
    <x v="1"/>
    <n v="92.17"/>
    <x v="2"/>
    <n v="7.02"/>
    <n v="12.03"/>
    <n v="2651.5241999999998"/>
    <n v="4543.8512999999994"/>
    <n v="1892.3270999999995"/>
    <n v="0.41645885286783035"/>
    <n v="12.879911"/>
  </r>
  <r>
    <s v="BATCH01234"/>
    <x v="3"/>
    <x v="2"/>
    <x v="1"/>
    <n v="507.13"/>
    <n v="9.7100000000000009"/>
    <n v="31.99"/>
    <n v="0.4"/>
    <n v="1.1000000000000001"/>
    <n v="3"/>
    <s v="A"/>
    <n v="2.37"/>
    <x v="0"/>
    <n v="70.89"/>
    <x v="0"/>
    <n v="3.84"/>
    <n v="8.86"/>
    <n v="1947.3791999999999"/>
    <n v="4493.1718000000001"/>
    <n v="2545.7926000000002"/>
    <n v="0.56659142212189617"/>
    <n v="12.018981000000002"/>
  </r>
  <r>
    <s v="BATCH01235"/>
    <x v="1"/>
    <x v="2"/>
    <x v="1"/>
    <n v="370.65"/>
    <n v="9.1300000000000008"/>
    <n v="28.38"/>
    <n v="3"/>
    <n v="0.9"/>
    <n v="24"/>
    <s v="B"/>
    <n v="3.05"/>
    <x v="0"/>
    <n v="76.62"/>
    <x v="1"/>
    <n v="4.16"/>
    <n v="8.27"/>
    <n v="1541.904"/>
    <n v="3065.2754999999997"/>
    <n v="1523.3714999999997"/>
    <n v="0.49697702539298666"/>
    <n v="11.304824999999999"/>
  </r>
  <r>
    <s v="BATCH01236"/>
    <x v="2"/>
    <x v="3"/>
    <x v="1"/>
    <n v="430.43"/>
    <n v="13.7"/>
    <n v="28.64"/>
    <n v="0.5"/>
    <n v="0.7"/>
    <n v="7"/>
    <s v="B"/>
    <n v="3.64"/>
    <x v="1"/>
    <n v="99.57"/>
    <x v="1"/>
    <n v="8.74"/>
    <n v="6.27"/>
    <n v="3761.9582"/>
    <n v="2698.7961"/>
    <n v="-1063.1621"/>
    <n v="-0.39393939393939392"/>
    <n v="15.667652"/>
  </r>
  <r>
    <s v="BATCH01237"/>
    <x v="1"/>
    <x v="0"/>
    <x v="0"/>
    <n v="408.19"/>
    <n v="16.62"/>
    <n v="21.08"/>
    <n v="1.5"/>
    <n v="0.2"/>
    <n v="4"/>
    <s v="B"/>
    <n v="5.01"/>
    <x v="1"/>
    <n v="76.59"/>
    <x v="0"/>
    <n v="8.6199999999999992"/>
    <n v="7.27"/>
    <n v="3518.5977999999996"/>
    <n v="2967.5412999999999"/>
    <n v="-551.05649999999969"/>
    <n v="-0.18569463548830803"/>
    <n v="20.450319"/>
  </r>
  <r>
    <s v="BATCH01238"/>
    <x v="2"/>
    <x v="2"/>
    <x v="0"/>
    <n v="623.96"/>
    <n v="12.77"/>
    <n v="30.33"/>
    <n v="1.2"/>
    <n v="2.2999999999999998"/>
    <n v="13"/>
    <s v="B"/>
    <n v="1.1599999999999999"/>
    <x v="1"/>
    <n v="78.680000000000007"/>
    <x v="2"/>
    <n v="7.3"/>
    <n v="7.33"/>
    <n v="4554.9080000000004"/>
    <n v="4573.6268"/>
    <n v="18.718799999999646"/>
    <n v="4.0927694406547657E-3"/>
    <n v="7.2379359999999995"/>
  </r>
  <r>
    <s v="BATCH01239"/>
    <x v="0"/>
    <x v="0"/>
    <x v="0"/>
    <n v="460.38"/>
    <n v="17.95"/>
    <n v="30.09"/>
    <n v="1.7"/>
    <n v="0.3"/>
    <n v="20"/>
    <s v="B"/>
    <n v="1"/>
    <x v="2"/>
    <n v="99.8"/>
    <x v="2"/>
    <n v="6.07"/>
    <n v="14.85"/>
    <n v="2794.5066000000002"/>
    <n v="6836.643"/>
    <n v="4042.1363999999999"/>
    <n v="0.59124579124579124"/>
    <n v="4.6037999999999997"/>
  </r>
  <r>
    <s v="BATCH01240"/>
    <x v="2"/>
    <x v="2"/>
    <x v="0"/>
    <n v="606.84"/>
    <n v="14.79"/>
    <n v="22.99"/>
    <n v="4.2"/>
    <n v="0.1"/>
    <n v="17"/>
    <s v="A"/>
    <n v="3.28"/>
    <x v="2"/>
    <n v="99.71"/>
    <x v="1"/>
    <n v="3.18"/>
    <n v="13.35"/>
    <n v="1929.7512000000002"/>
    <n v="8101.3140000000003"/>
    <n v="6171.5627999999997"/>
    <n v="0.76179775280898865"/>
    <n v="19.904351999999999"/>
  </r>
  <r>
    <s v="BATCH01241"/>
    <x v="1"/>
    <x v="1"/>
    <x v="0"/>
    <n v="560.41"/>
    <n v="8.74"/>
    <n v="22.08"/>
    <n v="4"/>
    <n v="1.4"/>
    <n v="27"/>
    <s v="C"/>
    <n v="3.31"/>
    <x v="1"/>
    <n v="71.2"/>
    <x v="2"/>
    <n v="5.29"/>
    <n v="5.15"/>
    <n v="2964.5688999999998"/>
    <n v="2886.1115"/>
    <n v="-78.45739999999978"/>
    <n v="-2.7184466019417399E-2"/>
    <n v="18.549571"/>
  </r>
  <r>
    <s v="BATCH01242"/>
    <x v="0"/>
    <x v="1"/>
    <x v="1"/>
    <n v="730.36"/>
    <n v="17.93"/>
    <n v="22.47"/>
    <n v="1.2"/>
    <n v="0.2"/>
    <n v="7"/>
    <s v="A"/>
    <n v="1.62"/>
    <x v="0"/>
    <n v="81.75"/>
    <x v="2"/>
    <n v="5.94"/>
    <n v="11.17"/>
    <n v="4338.3384000000005"/>
    <n v="8158.1212000000005"/>
    <n v="3819.7828"/>
    <n v="0.46821844225604292"/>
    <n v="11.831832000000002"/>
  </r>
  <r>
    <s v="BATCH01243"/>
    <x v="0"/>
    <x v="2"/>
    <x v="1"/>
    <n v="352.06"/>
    <n v="12.08"/>
    <n v="22.02"/>
    <n v="0"/>
    <n v="0.5"/>
    <n v="17"/>
    <s v="B"/>
    <n v="4.3499999999999996"/>
    <x v="1"/>
    <n v="74.040000000000006"/>
    <x v="1"/>
    <n v="6.4"/>
    <n v="7.56"/>
    <n v="2253.1840000000002"/>
    <n v="2661.5735999999997"/>
    <n v="408.38959999999952"/>
    <n v="0.15343915343915326"/>
    <n v="15.314609999999998"/>
  </r>
  <r>
    <s v="BATCH01244"/>
    <x v="0"/>
    <x v="1"/>
    <x v="1"/>
    <n v="625.91999999999996"/>
    <n v="10.87"/>
    <n v="32.19"/>
    <n v="1.1000000000000001"/>
    <n v="0"/>
    <n v="26"/>
    <s v="B"/>
    <n v="3.2"/>
    <x v="2"/>
    <n v="86.04"/>
    <x v="2"/>
    <n v="9.51"/>
    <n v="6.04"/>
    <n v="5952.4991999999993"/>
    <n v="3780.5567999999998"/>
    <n v="-2171.9423999999995"/>
    <n v="-0.57450331125827803"/>
    <n v="20.029440000000001"/>
  </r>
  <r>
    <s v="BATCH01245"/>
    <x v="1"/>
    <x v="2"/>
    <x v="1"/>
    <n v="614.64"/>
    <n v="13.58"/>
    <n v="23.93"/>
    <n v="1.9"/>
    <n v="0.1"/>
    <n v="26"/>
    <s v="C"/>
    <n v="0.75"/>
    <x v="2"/>
    <n v="96.92"/>
    <x v="2"/>
    <n v="3.76"/>
    <n v="12.06"/>
    <n v="2311.0463999999997"/>
    <n v="7412.5583999999999"/>
    <n v="5101.5120000000006"/>
    <n v="0.68822553897180772"/>
    <n v="4.6097999999999999"/>
  </r>
  <r>
    <s v="BATCH01246"/>
    <x v="3"/>
    <x v="1"/>
    <x v="1"/>
    <n v="402.66"/>
    <n v="11.04"/>
    <n v="25.03"/>
    <n v="1.6"/>
    <n v="0.2"/>
    <n v="4"/>
    <s v="A"/>
    <n v="8.91"/>
    <x v="1"/>
    <n v="65.48"/>
    <x v="1"/>
    <n v="6.63"/>
    <n v="6.32"/>
    <n v="2669.6358"/>
    <n v="2544.8112000000001"/>
    <n v="-124.82459999999992"/>
    <n v="-4.9050632911392368E-2"/>
    <n v="35.877006000000002"/>
  </r>
  <r>
    <s v="BATCH01247"/>
    <x v="3"/>
    <x v="3"/>
    <x v="0"/>
    <n v="600.71"/>
    <n v="8.86"/>
    <n v="23.47"/>
    <n v="2.1"/>
    <n v="0.1"/>
    <n v="11"/>
    <s v="C"/>
    <n v="8.92"/>
    <x v="0"/>
    <n v="90.94"/>
    <x v="1"/>
    <n v="5.58"/>
    <n v="9.44"/>
    <n v="3351.9618"/>
    <n v="5670.7024000000001"/>
    <n v="2318.7406000000001"/>
    <n v="0.40889830508474578"/>
    <n v="53.583331999999999"/>
  </r>
  <r>
    <s v="BATCH01248"/>
    <x v="3"/>
    <x v="3"/>
    <x v="0"/>
    <n v="533.61"/>
    <n v="8.01"/>
    <n v="39.159999999999997"/>
    <n v="0.3"/>
    <n v="1.1000000000000001"/>
    <n v="3"/>
    <s v="B"/>
    <n v="2.4900000000000002"/>
    <x v="0"/>
    <n v="82.74"/>
    <x v="2"/>
    <n v="9.93"/>
    <n v="11.32"/>
    <n v="5298.7473"/>
    <n v="6040.4652000000006"/>
    <n v="741.71790000000055"/>
    <n v="0.12279151943462906"/>
    <n v="13.286889"/>
  </r>
  <r>
    <s v="BATCH01249"/>
    <x v="1"/>
    <x v="3"/>
    <x v="0"/>
    <n v="477.25"/>
    <n v="12.5"/>
    <n v="37.090000000000003"/>
    <n v="2.1"/>
    <n v="1.8"/>
    <n v="11"/>
    <s v="B"/>
    <n v="2.0499999999999998"/>
    <x v="2"/>
    <n v="64.010000000000005"/>
    <x v="1"/>
    <n v="9.0299999999999994"/>
    <n v="10.54"/>
    <n v="4309.5675000000001"/>
    <n v="5030.2149999999992"/>
    <n v="720.64749999999913"/>
    <n v="0.14326375711574937"/>
    <n v="9.7836249999999989"/>
  </r>
  <r>
    <s v="BATCH01250"/>
    <x v="0"/>
    <x v="0"/>
    <x v="0"/>
    <n v="417.61"/>
    <n v="16.37"/>
    <n v="24.61"/>
    <n v="0.4"/>
    <n v="0.5"/>
    <n v="3"/>
    <s v="C"/>
    <n v="5.7"/>
    <x v="2"/>
    <n v="89.86"/>
    <x v="2"/>
    <n v="6.07"/>
    <n v="14.78"/>
    <n v="2534.8927000000003"/>
    <n v="6172.2758000000003"/>
    <n v="3637.3831"/>
    <n v="0.58930987821380243"/>
    <n v="23.80377"/>
  </r>
  <r>
    <s v="BATCH01251"/>
    <x v="3"/>
    <x v="0"/>
    <x v="1"/>
    <n v="428.09"/>
    <n v="13.72"/>
    <n v="26.55"/>
    <n v="2.8"/>
    <n v="2.1"/>
    <n v="12"/>
    <s v="B"/>
    <n v="6.49"/>
    <x v="2"/>
    <n v="71.36"/>
    <x v="2"/>
    <n v="10"/>
    <n v="12.86"/>
    <n v="4280.8999999999996"/>
    <n v="5505.2373999999991"/>
    <n v="1224.3373999999994"/>
    <n v="0.22239502332814923"/>
    <n v="27.783040999999997"/>
  </r>
  <r>
    <s v="BATCH01252"/>
    <x v="1"/>
    <x v="3"/>
    <x v="1"/>
    <n v="704.98"/>
    <n v="17.989999999999998"/>
    <n v="24.2"/>
    <n v="0.8"/>
    <n v="0.2"/>
    <n v="1"/>
    <s v="A"/>
    <n v="9.6"/>
    <x v="0"/>
    <n v="56.02"/>
    <x v="2"/>
    <n v="6.6"/>
    <n v="12.74"/>
    <n v="4652.8679999999995"/>
    <n v="8981.4452000000001"/>
    <n v="4328.5772000000006"/>
    <n v="0.48194662480376771"/>
    <n v="67.678079999999994"/>
  </r>
  <r>
    <s v="BATCH01253"/>
    <x v="3"/>
    <x v="0"/>
    <x v="1"/>
    <n v="500.07"/>
    <n v="10.87"/>
    <n v="29.84"/>
    <n v="2.5"/>
    <n v="0.4"/>
    <n v="4"/>
    <s v="B"/>
    <n v="4.08"/>
    <x v="2"/>
    <n v="99.67"/>
    <x v="2"/>
    <n v="4.17"/>
    <n v="8.56"/>
    <n v="2085.2918999999997"/>
    <n v="4280.5992000000006"/>
    <n v="2195.3073000000009"/>
    <n v="0.51285046728971972"/>
    <n v="20.402856"/>
  </r>
  <r>
    <s v="BATCH01254"/>
    <x v="2"/>
    <x v="1"/>
    <x v="0"/>
    <n v="578.21"/>
    <n v="10.8"/>
    <n v="20.39"/>
    <n v="0.1"/>
    <n v="0.2"/>
    <n v="14"/>
    <s v="B"/>
    <n v="6.37"/>
    <x v="2"/>
    <n v="71.28"/>
    <x v="1"/>
    <n v="6.89"/>
    <n v="5.08"/>
    <n v="3983.8669"/>
    <n v="2937.3068000000003"/>
    <n v="-1046.5600999999997"/>
    <n v="-0.35629921259842506"/>
    <n v="36.831977000000002"/>
  </r>
  <r>
    <s v="BATCH01255"/>
    <x v="3"/>
    <x v="2"/>
    <x v="1"/>
    <n v="420.91"/>
    <n v="9.6"/>
    <n v="33.43"/>
    <n v="1"/>
    <n v="1"/>
    <n v="1"/>
    <s v="A"/>
    <n v="8.84"/>
    <x v="0"/>
    <n v="77.08"/>
    <x v="1"/>
    <n v="4.58"/>
    <n v="12.34"/>
    <n v="1927.7678000000001"/>
    <n v="5194.0294000000004"/>
    <n v="3266.2616000000003"/>
    <n v="0.62884927066450569"/>
    <n v="37.208444"/>
  </r>
  <r>
    <s v="BATCH01256"/>
    <x v="3"/>
    <x v="2"/>
    <x v="0"/>
    <n v="422.01"/>
    <n v="9.64"/>
    <n v="30.46"/>
    <n v="2.4"/>
    <n v="0.5"/>
    <n v="14"/>
    <s v="B"/>
    <n v="4.7699999999999996"/>
    <x v="2"/>
    <n v="90.4"/>
    <x v="0"/>
    <n v="7.45"/>
    <n v="15"/>
    <n v="3143.9744999999998"/>
    <n v="6330.15"/>
    <n v="3186.1754999999998"/>
    <n v="0.5033333333333333"/>
    <n v="20.129876999999997"/>
  </r>
  <r>
    <s v="BATCH01257"/>
    <x v="0"/>
    <x v="2"/>
    <x v="1"/>
    <n v="608.20000000000005"/>
    <n v="10.85"/>
    <n v="37.97"/>
    <n v="0.5"/>
    <n v="1"/>
    <n v="13"/>
    <s v="C"/>
    <n v="1.66"/>
    <x v="2"/>
    <n v="98.04"/>
    <x v="1"/>
    <n v="9.56"/>
    <n v="9.06"/>
    <n v="5814.3920000000007"/>
    <n v="5510.2920000000004"/>
    <n v="-304.10000000000036"/>
    <n v="-5.5187637969094983E-2"/>
    <n v="10.096120000000001"/>
  </r>
  <r>
    <s v="BATCH01258"/>
    <x v="1"/>
    <x v="3"/>
    <x v="1"/>
    <n v="365.04"/>
    <n v="15.93"/>
    <n v="23.29"/>
    <n v="3.2"/>
    <n v="1.4"/>
    <n v="13"/>
    <s v="C"/>
    <n v="4.09"/>
    <x v="1"/>
    <n v="93.64"/>
    <x v="0"/>
    <n v="8.5"/>
    <n v="14.86"/>
    <n v="3102.84"/>
    <n v="5424.4944000000005"/>
    <n v="2321.6544000000004"/>
    <n v="0.42799461641991926"/>
    <n v="14.930135999999999"/>
  </r>
  <r>
    <s v="BATCH01259"/>
    <x v="0"/>
    <x v="0"/>
    <x v="0"/>
    <n v="458.48"/>
    <n v="17.059999999999999"/>
    <n v="36.08"/>
    <n v="2"/>
    <n v="0.8"/>
    <n v="24"/>
    <s v="B"/>
    <n v="1.8"/>
    <x v="2"/>
    <n v="76.25"/>
    <x v="2"/>
    <n v="4.91"/>
    <n v="6.42"/>
    <n v="2251.1368000000002"/>
    <n v="2943.4416000000001"/>
    <n v="692.30479999999989"/>
    <n v="0.23520249221183795"/>
    <n v="8.2526399999999995"/>
  </r>
  <r>
    <s v="BATCH01260"/>
    <x v="0"/>
    <x v="1"/>
    <x v="1"/>
    <n v="503.4"/>
    <n v="17.75"/>
    <n v="35.840000000000003"/>
    <n v="1.8"/>
    <n v="1"/>
    <n v="15"/>
    <s v="A"/>
    <n v="0.66"/>
    <x v="1"/>
    <n v="77.28"/>
    <x v="1"/>
    <n v="5.08"/>
    <n v="7.97"/>
    <n v="2557.2719999999999"/>
    <n v="4012.0979999999995"/>
    <n v="1454.8259999999996"/>
    <n v="0.36260978670012539"/>
    <n v="3.3224400000000003"/>
  </r>
  <r>
    <s v="BATCH01261"/>
    <x v="0"/>
    <x v="1"/>
    <x v="1"/>
    <n v="511.14"/>
    <n v="10.32"/>
    <n v="22.54"/>
    <n v="0.9"/>
    <n v="2.7"/>
    <n v="17"/>
    <s v="A"/>
    <n v="7.64"/>
    <x v="2"/>
    <n v="64.040000000000006"/>
    <x v="2"/>
    <n v="3.49"/>
    <n v="6.71"/>
    <n v="1783.8786"/>
    <n v="3429.7493999999997"/>
    <n v="1645.8707999999997"/>
    <n v="0.47988077496274212"/>
    <n v="39.051096000000001"/>
  </r>
  <r>
    <s v="BATCH01262"/>
    <x v="0"/>
    <x v="3"/>
    <x v="0"/>
    <n v="482.09"/>
    <n v="16.809999999999999"/>
    <n v="27.97"/>
    <n v="1.3"/>
    <n v="0.4"/>
    <n v="12"/>
    <s v="C"/>
    <n v="2.77"/>
    <x v="2"/>
    <n v="73.14"/>
    <x v="0"/>
    <n v="5"/>
    <n v="9.75"/>
    <n v="2410.4499999999998"/>
    <n v="4700.3774999999996"/>
    <n v="2289.9274999999998"/>
    <n v="0.48717948717948717"/>
    <n v="13.353893000000001"/>
  </r>
  <r>
    <s v="BATCH01263"/>
    <x v="0"/>
    <x v="1"/>
    <x v="1"/>
    <n v="539.58000000000004"/>
    <n v="11.28"/>
    <n v="23.4"/>
    <n v="1.8"/>
    <n v="0.4"/>
    <n v="22"/>
    <s v="B"/>
    <n v="0.52"/>
    <x v="1"/>
    <n v="97.34"/>
    <x v="1"/>
    <n v="3.65"/>
    <n v="12.97"/>
    <n v="1969.4670000000001"/>
    <n v="6998.3526000000011"/>
    <n v="5028.8856000000014"/>
    <n v="0.71858134155744036"/>
    <n v="2.8058160000000005"/>
  </r>
  <r>
    <s v="BATCH01264"/>
    <x v="3"/>
    <x v="1"/>
    <x v="0"/>
    <n v="569.29"/>
    <n v="9.1300000000000008"/>
    <n v="25.09"/>
    <n v="1.3"/>
    <n v="1.3"/>
    <n v="23"/>
    <s v="A"/>
    <n v="8.7899999999999991"/>
    <x v="2"/>
    <n v="86.35"/>
    <x v="1"/>
    <n v="6.5"/>
    <n v="8.41"/>
    <n v="3700.3849999999998"/>
    <n v="4787.7289000000001"/>
    <n v="1087.3439000000003"/>
    <n v="0.22711058263971468"/>
    <n v="50.040590999999992"/>
  </r>
  <r>
    <s v="BATCH01265"/>
    <x v="0"/>
    <x v="1"/>
    <x v="1"/>
    <n v="573.46"/>
    <n v="16.7"/>
    <n v="25.26"/>
    <n v="2.4"/>
    <n v="0.9"/>
    <n v="26"/>
    <s v="A"/>
    <n v="4.72"/>
    <x v="1"/>
    <n v="50.59"/>
    <x v="1"/>
    <n v="7.96"/>
    <n v="14.06"/>
    <n v="4564.7416000000003"/>
    <n v="8062.847600000001"/>
    <n v="3498.1060000000007"/>
    <n v="0.4338549075391181"/>
    <n v="27.067312000000001"/>
  </r>
  <r>
    <s v="BATCH01266"/>
    <x v="0"/>
    <x v="1"/>
    <x v="1"/>
    <n v="401.42"/>
    <n v="14.36"/>
    <n v="31.12"/>
    <n v="1.1000000000000001"/>
    <n v="0.2"/>
    <n v="14"/>
    <s v="C"/>
    <n v="2.77"/>
    <x v="2"/>
    <n v="55.83"/>
    <x v="1"/>
    <n v="8.26"/>
    <n v="10.45"/>
    <n v="3315.7292000000002"/>
    <n v="4194.8389999999999"/>
    <n v="879.10979999999972"/>
    <n v="0.20956937799043057"/>
    <n v="11.119334000000002"/>
  </r>
  <r>
    <s v="BATCH01267"/>
    <x v="1"/>
    <x v="0"/>
    <x v="1"/>
    <n v="471.58"/>
    <n v="9.65"/>
    <n v="28.23"/>
    <n v="0.5"/>
    <n v="0.5"/>
    <n v="12"/>
    <s v="C"/>
    <n v="3"/>
    <x v="1"/>
    <n v="96.19"/>
    <x v="2"/>
    <n v="3.42"/>
    <n v="9.65"/>
    <n v="1612.8036"/>
    <n v="4550.7470000000003"/>
    <n v="2937.9434000000001"/>
    <n v="0.64559585492227978"/>
    <n v="14.147399999999999"/>
  </r>
  <r>
    <s v="BATCH01268"/>
    <x v="2"/>
    <x v="1"/>
    <x v="1"/>
    <n v="619.48"/>
    <n v="12.3"/>
    <n v="38.950000000000003"/>
    <n v="0.5"/>
    <n v="0.6"/>
    <n v="18"/>
    <s v="A"/>
    <n v="2.79"/>
    <x v="1"/>
    <n v="92.44"/>
    <x v="1"/>
    <n v="5.38"/>
    <n v="12.87"/>
    <n v="3332.8024"/>
    <n v="7972.7075999999997"/>
    <n v="4639.9051999999992"/>
    <n v="0.58197358197358184"/>
    <n v="17.283492000000003"/>
  </r>
  <r>
    <s v="BATCH01269"/>
    <x v="3"/>
    <x v="2"/>
    <x v="1"/>
    <n v="589.46"/>
    <n v="10.87"/>
    <n v="22.53"/>
    <n v="0"/>
    <n v="0.5"/>
    <n v="4"/>
    <s v="C"/>
    <n v="2.35"/>
    <x v="2"/>
    <n v="74.31"/>
    <x v="0"/>
    <n v="5.0199999999999996"/>
    <n v="6.01"/>
    <n v="2959.0891999999999"/>
    <n v="3542.6546000000003"/>
    <n v="583.56540000000041"/>
    <n v="0.16472545757071558"/>
    <n v="13.852310000000003"/>
  </r>
  <r>
    <s v="BATCH01270"/>
    <x v="3"/>
    <x v="3"/>
    <x v="1"/>
    <n v="362.71"/>
    <n v="15.37"/>
    <n v="39.47"/>
    <n v="0.7"/>
    <n v="0.2"/>
    <n v="27"/>
    <s v="A"/>
    <n v="8.49"/>
    <x v="2"/>
    <n v="80.849999999999994"/>
    <x v="1"/>
    <n v="3.73"/>
    <n v="12.74"/>
    <n v="1352.9082999999998"/>
    <n v="4620.9254000000001"/>
    <n v="3268.0171"/>
    <n v="0.70722135007849296"/>
    <n v="30.794078999999996"/>
  </r>
  <r>
    <s v="BATCH01271"/>
    <x v="3"/>
    <x v="0"/>
    <x v="1"/>
    <n v="535.15"/>
    <n v="12.53"/>
    <n v="24.61"/>
    <n v="2.8"/>
    <n v="2.6"/>
    <n v="14"/>
    <s v="B"/>
    <n v="2.12"/>
    <x v="1"/>
    <n v="64.48"/>
    <x v="0"/>
    <n v="5.54"/>
    <n v="7.43"/>
    <n v="2964.7309999999998"/>
    <n v="3976.1644999999999"/>
    <n v="1011.4335000000001"/>
    <n v="0.25437415881561243"/>
    <n v="11.345180000000001"/>
  </r>
  <r>
    <s v="BATCH01272"/>
    <x v="0"/>
    <x v="1"/>
    <x v="1"/>
    <n v="302.18"/>
    <n v="17.89"/>
    <n v="35.46"/>
    <n v="3.2"/>
    <n v="1.4"/>
    <n v="19"/>
    <s v="C"/>
    <n v="5.84"/>
    <x v="0"/>
    <n v="89.64"/>
    <x v="0"/>
    <n v="5.0999999999999996"/>
    <n v="7.81"/>
    <n v="1541.1179999999999"/>
    <n v="2360.0257999999999"/>
    <n v="818.90779999999995"/>
    <n v="0.34699103713188217"/>
    <n v="17.647311999999999"/>
  </r>
  <r>
    <s v="BATCH01273"/>
    <x v="0"/>
    <x v="0"/>
    <x v="0"/>
    <n v="504.69"/>
    <n v="8.5500000000000007"/>
    <n v="26.78"/>
    <n v="0.5"/>
    <n v="0.7"/>
    <n v="29"/>
    <s v="C"/>
    <n v="1.23"/>
    <x v="2"/>
    <n v="80.17"/>
    <x v="2"/>
    <n v="7.44"/>
    <n v="10.99"/>
    <n v="3754.8936000000003"/>
    <n v="5546.5430999999999"/>
    <n v="1791.6494999999995"/>
    <n v="0.32302092811646943"/>
    <n v="6.207687"/>
  </r>
  <r>
    <s v="BATCH01274"/>
    <x v="0"/>
    <x v="1"/>
    <x v="0"/>
    <n v="689.78"/>
    <n v="11.55"/>
    <n v="22.86"/>
    <n v="6.4"/>
    <n v="1.1000000000000001"/>
    <n v="13"/>
    <s v="B"/>
    <n v="9.52"/>
    <x v="2"/>
    <n v="84.74"/>
    <x v="1"/>
    <n v="9.18"/>
    <n v="14.02"/>
    <n v="6332.1803999999993"/>
    <n v="9670.7155999999995"/>
    <n v="3338.5352000000003"/>
    <n v="0.34522111269614841"/>
    <n v="65.667055999999988"/>
  </r>
  <r>
    <s v="BATCH01275"/>
    <x v="1"/>
    <x v="2"/>
    <x v="1"/>
    <n v="405.21"/>
    <n v="12.82"/>
    <n v="37.159999999999997"/>
    <n v="1.4"/>
    <n v="2.2999999999999998"/>
    <n v="25"/>
    <s v="A"/>
    <n v="6.23"/>
    <x v="0"/>
    <n v="68.75"/>
    <x v="0"/>
    <n v="6.18"/>
    <n v="10.78"/>
    <n v="2504.1977999999999"/>
    <n v="4368.1637999999994"/>
    <n v="1863.9659999999994"/>
    <n v="0.42671614100185523"/>
    <n v="25.244583000000002"/>
  </r>
  <r>
    <s v="BATCH01276"/>
    <x v="2"/>
    <x v="3"/>
    <x v="1"/>
    <n v="416.57"/>
    <n v="13.03"/>
    <n v="26.18"/>
    <n v="5"/>
    <n v="0.1"/>
    <n v="23"/>
    <s v="A"/>
    <n v="9.08"/>
    <x v="0"/>
    <n v="71.52"/>
    <x v="1"/>
    <n v="8.23"/>
    <n v="11.49"/>
    <n v="3428.3711000000003"/>
    <n v="4786.3892999999998"/>
    <n v="1358.0181999999995"/>
    <n v="0.28372497824194942"/>
    <n v="37.824556000000001"/>
  </r>
  <r>
    <s v="BATCH01277"/>
    <x v="0"/>
    <x v="1"/>
    <x v="0"/>
    <n v="576.4"/>
    <n v="11.16"/>
    <n v="33.18"/>
    <n v="2.5"/>
    <n v="0.3"/>
    <n v="18"/>
    <s v="C"/>
    <n v="4.28"/>
    <x v="1"/>
    <n v="60.38"/>
    <x v="2"/>
    <n v="4.0199999999999996"/>
    <n v="12.77"/>
    <n v="2317.1279999999997"/>
    <n v="7360.6279999999997"/>
    <n v="5043.5"/>
    <n v="0.68519968676585752"/>
    <n v="24.669920000000001"/>
  </r>
  <r>
    <s v="BATCH01278"/>
    <x v="2"/>
    <x v="1"/>
    <x v="1"/>
    <n v="345.72"/>
    <n v="15.29"/>
    <n v="31.33"/>
    <n v="2.6"/>
    <n v="0.8"/>
    <n v="11"/>
    <s v="A"/>
    <n v="8.1999999999999993"/>
    <x v="2"/>
    <n v="97.4"/>
    <x v="2"/>
    <n v="9.26"/>
    <n v="7.59"/>
    <n v="3201.3672000000001"/>
    <n v="2624.0148000000004"/>
    <n v="-577.35239999999976"/>
    <n v="-0.22002635046113295"/>
    <n v="28.349039999999999"/>
  </r>
  <r>
    <s v="BATCH01279"/>
    <x v="1"/>
    <x v="1"/>
    <x v="1"/>
    <n v="436.72"/>
    <n v="16.75"/>
    <n v="29.44"/>
    <n v="0.2"/>
    <n v="1.6"/>
    <n v="28"/>
    <s v="A"/>
    <n v="8.61"/>
    <x v="1"/>
    <n v="97.33"/>
    <x v="1"/>
    <n v="4.07"/>
    <n v="13.27"/>
    <n v="1777.4504000000002"/>
    <n v="5795.2744000000002"/>
    <n v="4017.8240000000001"/>
    <n v="0.69329314242652595"/>
    <n v="37.601592000000004"/>
  </r>
  <r>
    <s v="BATCH01280"/>
    <x v="3"/>
    <x v="1"/>
    <x v="0"/>
    <n v="559.64"/>
    <n v="17.39"/>
    <n v="29.92"/>
    <n v="0.5"/>
    <n v="0"/>
    <n v="6"/>
    <s v="B"/>
    <n v="7.18"/>
    <x v="2"/>
    <n v="90.89"/>
    <x v="0"/>
    <n v="4.34"/>
    <n v="9.18"/>
    <n v="2428.8375999999998"/>
    <n v="5137.4951999999994"/>
    <n v="2708.6575999999995"/>
    <n v="0.52723311546840956"/>
    <n v="40.182151999999995"/>
  </r>
  <r>
    <s v="BATCH01281"/>
    <x v="0"/>
    <x v="3"/>
    <x v="1"/>
    <n v="436.57"/>
    <n v="16.05"/>
    <n v="34.64"/>
    <n v="0"/>
    <n v="4.0999999999999996"/>
    <n v="9"/>
    <s v="B"/>
    <n v="1.38"/>
    <x v="0"/>
    <n v="96.78"/>
    <x v="2"/>
    <n v="3.75"/>
    <n v="6.76"/>
    <n v="1637.1375"/>
    <n v="2951.2131999999997"/>
    <n v="1314.0756999999996"/>
    <n v="0.44526627218934905"/>
    <n v="6.0246659999999999"/>
  </r>
  <r>
    <s v="BATCH01282"/>
    <x v="2"/>
    <x v="3"/>
    <x v="1"/>
    <n v="476.4"/>
    <n v="16.510000000000002"/>
    <n v="21.76"/>
    <n v="2.5"/>
    <n v="0.6"/>
    <n v="12"/>
    <s v="B"/>
    <n v="0.65"/>
    <x v="1"/>
    <n v="83.27"/>
    <x v="0"/>
    <n v="5.17"/>
    <n v="8.5"/>
    <n v="2462.9879999999998"/>
    <n v="4049.3999999999996"/>
    <n v="1586.4119999999998"/>
    <n v="0.3917647058823529"/>
    <n v="3.0965999999999996"/>
  </r>
  <r>
    <s v="BATCH01283"/>
    <x v="2"/>
    <x v="2"/>
    <x v="0"/>
    <n v="574.41999999999996"/>
    <n v="13.51"/>
    <n v="33.36"/>
    <n v="0.8"/>
    <n v="0.4"/>
    <n v="19"/>
    <s v="C"/>
    <n v="2.1"/>
    <x v="2"/>
    <n v="61.73"/>
    <x v="0"/>
    <n v="6.87"/>
    <n v="7.46"/>
    <n v="3946.2653999999998"/>
    <n v="4285.1731999999993"/>
    <n v="338.9077999999995"/>
    <n v="7.9088471849865852E-2"/>
    <n v="12.062819999999999"/>
  </r>
  <r>
    <s v="BATCH01284"/>
    <x v="0"/>
    <x v="3"/>
    <x v="1"/>
    <n v="542.15"/>
    <n v="16.260000000000002"/>
    <n v="37.92"/>
    <n v="3.1"/>
    <n v="0.3"/>
    <n v="14"/>
    <s v="B"/>
    <n v="1.62"/>
    <x v="2"/>
    <n v="88.01"/>
    <x v="1"/>
    <n v="9.92"/>
    <n v="7.29"/>
    <n v="5378.1279999999997"/>
    <n v="3952.2734999999998"/>
    <n v="-1425.8544999999999"/>
    <n v="-0.3607681755829904"/>
    <n v="8.7828300000000006"/>
  </r>
  <r>
    <s v="BATCH01285"/>
    <x v="3"/>
    <x v="1"/>
    <x v="1"/>
    <n v="526.67999999999995"/>
    <n v="11.04"/>
    <n v="21.16"/>
    <n v="0.8"/>
    <n v="0.2"/>
    <n v="15"/>
    <s v="B"/>
    <n v="7.39"/>
    <x v="0"/>
    <n v="66.260000000000005"/>
    <x v="2"/>
    <n v="8.5500000000000007"/>
    <n v="7.83"/>
    <n v="4503.1139999999996"/>
    <n v="4123.9043999999994"/>
    <n v="-379.20960000000014"/>
    <n v="-9.1954022988505787E-2"/>
    <n v="38.921651999999995"/>
  </r>
  <r>
    <s v="BATCH01286"/>
    <x v="3"/>
    <x v="2"/>
    <x v="0"/>
    <n v="466.09"/>
    <n v="11.98"/>
    <n v="22.81"/>
    <n v="3.4"/>
    <n v="1.6"/>
    <n v="11"/>
    <s v="A"/>
    <n v="5.79"/>
    <x v="0"/>
    <n v="72.02"/>
    <x v="1"/>
    <n v="5.66"/>
    <n v="6.81"/>
    <n v="2638.0693999999999"/>
    <n v="3174.0728999999997"/>
    <n v="536.0034999999998"/>
    <n v="0.16886930983847279"/>
    <n v="26.986610999999996"/>
  </r>
  <r>
    <s v="BATCH01287"/>
    <x v="3"/>
    <x v="2"/>
    <x v="1"/>
    <n v="537.01"/>
    <n v="11.17"/>
    <n v="34.33"/>
    <n v="0.3"/>
    <n v="3.1"/>
    <n v="6"/>
    <s v="B"/>
    <n v="5.5"/>
    <x v="2"/>
    <n v="63.72"/>
    <x v="1"/>
    <n v="7.03"/>
    <n v="11.68"/>
    <n v="3775.1803"/>
    <n v="6272.2767999999996"/>
    <n v="2497.0964999999997"/>
    <n v="0.39811643835616434"/>
    <n v="29.535549999999997"/>
  </r>
  <r>
    <s v="BATCH01288"/>
    <x v="1"/>
    <x v="2"/>
    <x v="0"/>
    <n v="487.63"/>
    <n v="12.67"/>
    <n v="28.75"/>
    <n v="0.4"/>
    <n v="0.5"/>
    <n v="14"/>
    <s v="C"/>
    <n v="2.9"/>
    <x v="0"/>
    <n v="71.180000000000007"/>
    <x v="1"/>
    <n v="7.36"/>
    <n v="10.8"/>
    <n v="3588.9567999999999"/>
    <n v="5266.4040000000005"/>
    <n v="1677.4472000000005"/>
    <n v="0.31851851851851859"/>
    <n v="14.141269999999999"/>
  </r>
  <r>
    <s v="BATCH01289"/>
    <x v="2"/>
    <x v="1"/>
    <x v="1"/>
    <n v="545.78"/>
    <n v="10.86"/>
    <n v="28.07"/>
    <n v="0.8"/>
    <n v="3"/>
    <n v="3"/>
    <s v="B"/>
    <n v="1.97"/>
    <x v="0"/>
    <n v="83.97"/>
    <x v="0"/>
    <n v="8.76"/>
    <n v="11.48"/>
    <n v="4781.0328"/>
    <n v="6265.5544"/>
    <n v="1484.5216"/>
    <n v="0.23693379790940766"/>
    <n v="10.751866"/>
  </r>
  <r>
    <s v="BATCH01290"/>
    <x v="2"/>
    <x v="0"/>
    <x v="1"/>
    <n v="450.31"/>
    <n v="17.62"/>
    <n v="22.74"/>
    <n v="1.1000000000000001"/>
    <n v="1.7"/>
    <n v="19"/>
    <s v="C"/>
    <n v="2.46"/>
    <x v="1"/>
    <n v="55.53"/>
    <x v="1"/>
    <n v="8.16"/>
    <n v="8.44"/>
    <n v="3674.5296000000003"/>
    <n v="3800.6163999999999"/>
    <n v="126.08679999999958"/>
    <n v="3.3175355450236858E-2"/>
    <n v="11.077626"/>
  </r>
  <r>
    <s v="BATCH01291"/>
    <x v="2"/>
    <x v="1"/>
    <x v="0"/>
    <n v="481.74"/>
    <n v="11.13"/>
    <n v="30.14"/>
    <n v="0.9"/>
    <n v="0.7"/>
    <n v="20"/>
    <s v="A"/>
    <n v="4.3"/>
    <x v="2"/>
    <n v="55.26"/>
    <x v="2"/>
    <n v="6.99"/>
    <n v="12.7"/>
    <n v="3367.3626000000004"/>
    <n v="6118.098"/>
    <n v="2750.7353999999996"/>
    <n v="0.44960629921259837"/>
    <n v="20.71482"/>
  </r>
  <r>
    <s v="BATCH01292"/>
    <x v="1"/>
    <x v="3"/>
    <x v="0"/>
    <n v="401"/>
    <n v="8.98"/>
    <n v="22.53"/>
    <n v="2.9"/>
    <n v="1.1000000000000001"/>
    <n v="25"/>
    <s v="A"/>
    <n v="7.53"/>
    <x v="1"/>
    <n v="84.19"/>
    <x v="0"/>
    <n v="7.68"/>
    <n v="6.3"/>
    <n v="3079.68"/>
    <n v="2526.2999999999997"/>
    <n v="-553.38000000000011"/>
    <n v="-0.2190476190476191"/>
    <n v="30.195300000000003"/>
  </r>
  <r>
    <s v="BATCH01293"/>
    <x v="2"/>
    <x v="3"/>
    <x v="1"/>
    <n v="496.5"/>
    <n v="13.27"/>
    <n v="29.53"/>
    <n v="0.2"/>
    <n v="0.6"/>
    <n v="11"/>
    <s v="B"/>
    <n v="2.92"/>
    <x v="0"/>
    <n v="88.98"/>
    <x v="1"/>
    <n v="8.2200000000000006"/>
    <n v="10.71"/>
    <n v="4081.2300000000005"/>
    <n v="5317.5150000000003"/>
    <n v="1236.2849999999999"/>
    <n v="0.2324929971988795"/>
    <n v="14.4978"/>
  </r>
  <r>
    <s v="BATCH01294"/>
    <x v="1"/>
    <x v="1"/>
    <x v="0"/>
    <n v="418.9"/>
    <n v="8.57"/>
    <n v="35.270000000000003"/>
    <n v="0.9"/>
    <n v="0.8"/>
    <n v="29"/>
    <s v="A"/>
    <n v="7.14"/>
    <x v="2"/>
    <n v="77.569999999999993"/>
    <x v="2"/>
    <n v="3.93"/>
    <n v="7.75"/>
    <n v="1646.277"/>
    <n v="3246.4749999999999"/>
    <n v="1600.1979999999999"/>
    <n v="0.49290322580645157"/>
    <n v="29.909459999999999"/>
  </r>
  <r>
    <s v="BATCH01295"/>
    <x v="3"/>
    <x v="1"/>
    <x v="0"/>
    <n v="388.6"/>
    <n v="9.11"/>
    <n v="25.17"/>
    <n v="3.6"/>
    <n v="0.1"/>
    <n v="24"/>
    <s v="B"/>
    <n v="5.17"/>
    <x v="0"/>
    <n v="59.08"/>
    <x v="1"/>
    <n v="4.4000000000000004"/>
    <n v="10.28"/>
    <n v="1709.8400000000001"/>
    <n v="3994.808"/>
    <n v="2284.9679999999998"/>
    <n v="0.57198443579766534"/>
    <n v="20.090620000000001"/>
  </r>
  <r>
    <s v="BATCH01296"/>
    <x v="0"/>
    <x v="2"/>
    <x v="1"/>
    <n v="525.87"/>
    <n v="10.19"/>
    <n v="29.62"/>
    <n v="0.1"/>
    <n v="1.2"/>
    <n v="17"/>
    <s v="A"/>
    <n v="8.91"/>
    <x v="0"/>
    <n v="71.540000000000006"/>
    <x v="1"/>
    <n v="7.82"/>
    <n v="8.24"/>
    <n v="4112.3033999999998"/>
    <n v="4333.1688000000004"/>
    <n v="220.86540000000059"/>
    <n v="5.0970873786407897E-2"/>
    <n v="46.855016999999997"/>
  </r>
  <r>
    <s v="BATCH01297"/>
    <x v="2"/>
    <x v="1"/>
    <x v="1"/>
    <n v="521.27"/>
    <n v="12.64"/>
    <n v="39.840000000000003"/>
    <n v="5.7"/>
    <n v="0.1"/>
    <n v="29"/>
    <s v="C"/>
    <n v="2.71"/>
    <x v="2"/>
    <n v="87.91"/>
    <x v="1"/>
    <n v="8.9499999999999993"/>
    <n v="12.91"/>
    <n v="4665.3664999999992"/>
    <n v="6729.5956999999999"/>
    <n v="2064.2292000000007"/>
    <n v="0.30673896204492651"/>
    <n v="14.126416999999998"/>
  </r>
  <r>
    <s v="BATCH01298"/>
    <x v="2"/>
    <x v="2"/>
    <x v="1"/>
    <n v="578.29"/>
    <n v="12.33"/>
    <n v="33.729999999999997"/>
    <n v="8.6"/>
    <n v="1.7"/>
    <n v="28"/>
    <s v="A"/>
    <n v="4.78"/>
    <x v="0"/>
    <n v="84.29"/>
    <x v="0"/>
    <n v="5.86"/>
    <n v="13.91"/>
    <n v="3388.7793999999999"/>
    <n v="8044.0138999999999"/>
    <n v="4655.2345000000005"/>
    <n v="0.57872034507548531"/>
    <n v="27.642262000000002"/>
  </r>
  <r>
    <s v="BATCH01299"/>
    <x v="3"/>
    <x v="3"/>
    <x v="0"/>
    <n v="456.89"/>
    <n v="16"/>
    <n v="36.83"/>
    <n v="0.2"/>
    <n v="1.7"/>
    <n v="27"/>
    <s v="B"/>
    <n v="1.42"/>
    <x v="1"/>
    <n v="55.49"/>
    <x v="1"/>
    <n v="9.86"/>
    <n v="12.43"/>
    <n v="4504.9353999999994"/>
    <n v="5679.1426999999994"/>
    <n v="1174.2073"/>
    <n v="0.20675784392598553"/>
    <n v="6.4878379999999991"/>
  </r>
  <r>
    <s v="BATCH01300"/>
    <x v="0"/>
    <x v="2"/>
    <x v="0"/>
    <n v="540.80999999999995"/>
    <n v="15.39"/>
    <n v="28.3"/>
    <n v="0.7"/>
    <n v="0.3"/>
    <n v="17"/>
    <s v="B"/>
    <n v="3.68"/>
    <x v="2"/>
    <n v="98.46"/>
    <x v="2"/>
    <n v="4.51"/>
    <n v="6.76"/>
    <n v="2439.0530999999996"/>
    <n v="3655.8755999999994"/>
    <n v="1216.8224999999998"/>
    <n v="0.33284023668639051"/>
    <n v="19.901807999999999"/>
  </r>
  <r>
    <s v="BATCH01301"/>
    <x v="1"/>
    <x v="1"/>
    <x v="0"/>
    <n v="555.08000000000004"/>
    <n v="12.26"/>
    <n v="35.36"/>
    <n v="0.9"/>
    <n v="0.4"/>
    <n v="23"/>
    <s v="B"/>
    <n v="5.32"/>
    <x v="0"/>
    <n v="61.17"/>
    <x v="1"/>
    <n v="5.92"/>
    <n v="7.75"/>
    <n v="3286.0736000000002"/>
    <n v="4301.87"/>
    <n v="1015.7963999999997"/>
    <n v="0.23612903225806445"/>
    <n v="29.530256000000005"/>
  </r>
  <r>
    <s v="BATCH01302"/>
    <x v="0"/>
    <x v="3"/>
    <x v="0"/>
    <n v="544.48"/>
    <n v="11.34"/>
    <n v="20.81"/>
    <n v="3"/>
    <n v="0.7"/>
    <n v="3"/>
    <s v="C"/>
    <n v="7.46"/>
    <x v="0"/>
    <n v="61.02"/>
    <x v="1"/>
    <n v="5.65"/>
    <n v="14.19"/>
    <n v="3076.3120000000004"/>
    <n v="7726.1711999999998"/>
    <n v="4649.859199999999"/>
    <n v="0.60183227625088076"/>
    <n v="40.618208000000003"/>
  </r>
  <r>
    <s v="BATCH01303"/>
    <x v="3"/>
    <x v="0"/>
    <x v="1"/>
    <n v="417.43"/>
    <n v="11.16"/>
    <n v="22.46"/>
    <n v="1.8"/>
    <n v="0.9"/>
    <n v="14"/>
    <s v="A"/>
    <n v="2.38"/>
    <x v="0"/>
    <n v="72.989999999999995"/>
    <x v="0"/>
    <n v="9.51"/>
    <n v="9.3699999999999992"/>
    <n v="3969.7593000000002"/>
    <n v="3911.3190999999997"/>
    <n v="-58.440200000000459"/>
    <n v="-1.4941302027748252E-2"/>
    <n v="9.9348340000000004"/>
  </r>
  <r>
    <s v="BATCH01304"/>
    <x v="3"/>
    <x v="2"/>
    <x v="0"/>
    <n v="514.94000000000005"/>
    <n v="15.74"/>
    <n v="24.06"/>
    <n v="2.1"/>
    <n v="0.3"/>
    <n v="27"/>
    <s v="B"/>
    <n v="2.57"/>
    <x v="2"/>
    <n v="66.36"/>
    <x v="1"/>
    <n v="5"/>
    <n v="14.41"/>
    <n v="2574.7000000000003"/>
    <n v="7420.2854000000007"/>
    <n v="4845.5853999999999"/>
    <n v="0.65301873698820256"/>
    <n v="13.233957999999999"/>
  </r>
  <r>
    <s v="BATCH01305"/>
    <x v="0"/>
    <x v="3"/>
    <x v="1"/>
    <n v="536.41"/>
    <n v="8.52"/>
    <n v="28.04"/>
    <n v="2.8"/>
    <n v="0.9"/>
    <n v="7"/>
    <s v="C"/>
    <n v="6.5"/>
    <x v="1"/>
    <n v="99.2"/>
    <x v="2"/>
    <n v="6.3"/>
    <n v="8.92"/>
    <n v="3379.3829999999998"/>
    <n v="4784.7771999999995"/>
    <n v="1405.3941999999997"/>
    <n v="0.29372197309417036"/>
    <n v="34.86665"/>
  </r>
  <r>
    <s v="BATCH01306"/>
    <x v="1"/>
    <x v="2"/>
    <x v="0"/>
    <n v="500.72"/>
    <n v="8.1300000000000008"/>
    <n v="36.909999999999997"/>
    <n v="0.3"/>
    <n v="0.4"/>
    <n v="25"/>
    <s v="C"/>
    <n v="4.13"/>
    <x v="0"/>
    <n v="53.82"/>
    <x v="2"/>
    <n v="4.3099999999999996"/>
    <n v="14.52"/>
    <n v="2158.1032"/>
    <n v="7270.4544000000005"/>
    <n v="5112.351200000001"/>
    <n v="0.70316804407713507"/>
    <n v="20.679736000000002"/>
  </r>
  <r>
    <s v="BATCH01307"/>
    <x v="1"/>
    <x v="3"/>
    <x v="1"/>
    <n v="291.35000000000002"/>
    <n v="15.96"/>
    <n v="26.93"/>
    <n v="3.6"/>
    <n v="0.1"/>
    <n v="19"/>
    <s v="C"/>
    <n v="5.08"/>
    <x v="0"/>
    <n v="65.319999999999993"/>
    <x v="1"/>
    <n v="6.65"/>
    <n v="14.26"/>
    <n v="1937.4775000000002"/>
    <n v="4154.6509999999998"/>
    <n v="2217.1734999999999"/>
    <n v="0.53366058906030855"/>
    <n v="14.800580000000002"/>
  </r>
  <r>
    <s v="BATCH01308"/>
    <x v="2"/>
    <x v="3"/>
    <x v="1"/>
    <n v="516.04999999999995"/>
    <n v="12.77"/>
    <n v="33.090000000000003"/>
    <n v="2.4"/>
    <n v="0"/>
    <n v="3"/>
    <s v="A"/>
    <n v="8.44"/>
    <x v="0"/>
    <n v="69.14"/>
    <x v="2"/>
    <n v="9"/>
    <n v="11.61"/>
    <n v="4644.45"/>
    <n v="5991.3404999999993"/>
    <n v="1346.8904999999995"/>
    <n v="0.22480620155038755"/>
    <n v="43.554619999999993"/>
  </r>
  <r>
    <s v="BATCH01309"/>
    <x v="1"/>
    <x v="2"/>
    <x v="1"/>
    <n v="721.25"/>
    <n v="9.31"/>
    <n v="34.19"/>
    <n v="1.7"/>
    <n v="0.1"/>
    <n v="2"/>
    <s v="A"/>
    <n v="5.24"/>
    <x v="2"/>
    <n v="74.67"/>
    <x v="2"/>
    <n v="5.13"/>
    <n v="5.09"/>
    <n v="3700.0124999999998"/>
    <n v="3671.1624999999999"/>
    <n v="-28.849999999999909"/>
    <n v="-7.8585461689587178E-3"/>
    <n v="37.793500000000002"/>
  </r>
  <r>
    <s v="BATCH01310"/>
    <x v="0"/>
    <x v="0"/>
    <x v="0"/>
    <n v="464"/>
    <n v="10.36"/>
    <n v="31.72"/>
    <n v="4.4000000000000004"/>
    <n v="1.6"/>
    <n v="26"/>
    <s v="A"/>
    <n v="6.7"/>
    <x v="0"/>
    <n v="50.82"/>
    <x v="1"/>
    <n v="8.68"/>
    <n v="9"/>
    <n v="4027.52"/>
    <n v="4176"/>
    <n v="148.48000000000002"/>
    <n v="3.5555555555555562E-2"/>
    <n v="31.088000000000001"/>
  </r>
  <r>
    <s v="BATCH01311"/>
    <x v="3"/>
    <x v="3"/>
    <x v="1"/>
    <n v="427.19"/>
    <n v="17.329999999999998"/>
    <n v="27.14"/>
    <n v="2.4"/>
    <n v="3.3"/>
    <n v="17"/>
    <s v="C"/>
    <n v="6.74"/>
    <x v="0"/>
    <n v="54.12"/>
    <x v="2"/>
    <n v="9.3800000000000008"/>
    <n v="14.11"/>
    <n v="4007.0422000000003"/>
    <n v="6027.6508999999996"/>
    <n v="2020.6086999999993"/>
    <n v="0.3352232459248759"/>
    <n v="28.792605999999999"/>
  </r>
  <r>
    <s v="BATCH01312"/>
    <x v="2"/>
    <x v="3"/>
    <x v="1"/>
    <n v="537.33000000000004"/>
    <n v="16.600000000000001"/>
    <n v="31.54"/>
    <n v="0.5"/>
    <n v="0.6"/>
    <n v="9"/>
    <s v="A"/>
    <n v="8.1300000000000008"/>
    <x v="0"/>
    <n v="62.89"/>
    <x v="2"/>
    <n v="3.51"/>
    <n v="13.85"/>
    <n v="1886.0282999999999"/>
    <n v="7442.0205000000005"/>
    <n v="5555.9922000000006"/>
    <n v="0.74657039711191342"/>
    <n v="43.684929000000011"/>
  </r>
  <r>
    <s v="BATCH01313"/>
    <x v="2"/>
    <x v="3"/>
    <x v="0"/>
    <n v="531.24"/>
    <n v="15.1"/>
    <n v="26.85"/>
    <n v="1.1000000000000001"/>
    <n v="0.7"/>
    <n v="22"/>
    <s v="B"/>
    <n v="6.56"/>
    <x v="2"/>
    <n v="77.7"/>
    <x v="1"/>
    <n v="8.2899999999999991"/>
    <n v="6.87"/>
    <n v="4403.9795999999997"/>
    <n v="3649.6188000000002"/>
    <n v="-754.36079999999947"/>
    <n v="-0.20669577874818035"/>
    <n v="34.849343999999995"/>
  </r>
  <r>
    <s v="BATCH01314"/>
    <x v="3"/>
    <x v="0"/>
    <x v="1"/>
    <n v="619.27"/>
    <n v="12.82"/>
    <n v="21.68"/>
    <n v="1.4"/>
    <n v="0.2"/>
    <n v="6"/>
    <s v="C"/>
    <n v="1.1200000000000001"/>
    <x v="1"/>
    <n v="88.39"/>
    <x v="0"/>
    <n v="4.79"/>
    <n v="8.99"/>
    <n v="2966.3033"/>
    <n v="5567.2372999999998"/>
    <n v="2600.9339999999997"/>
    <n v="0.46718576195773076"/>
    <n v="6.9358240000000002"/>
  </r>
  <r>
    <s v="BATCH01315"/>
    <x v="1"/>
    <x v="0"/>
    <x v="0"/>
    <n v="374.21"/>
    <n v="13.2"/>
    <n v="39.86"/>
    <n v="0.1"/>
    <n v="0.8"/>
    <n v="24"/>
    <s v="A"/>
    <n v="3.75"/>
    <x v="2"/>
    <n v="84.32"/>
    <x v="0"/>
    <n v="4.2300000000000004"/>
    <n v="13.36"/>
    <n v="1582.9083000000001"/>
    <n v="4999.4455999999991"/>
    <n v="3416.537299999999"/>
    <n v="0.68338323353293406"/>
    <n v="14.032874999999999"/>
  </r>
  <r>
    <s v="BATCH01316"/>
    <x v="3"/>
    <x v="1"/>
    <x v="0"/>
    <n v="573.14"/>
    <n v="17.75"/>
    <n v="22.54"/>
    <n v="6.2"/>
    <n v="0.2"/>
    <n v="27"/>
    <s v="C"/>
    <n v="9.9"/>
    <x v="1"/>
    <n v="78.349999999999994"/>
    <x v="1"/>
    <n v="7.21"/>
    <n v="10.78"/>
    <n v="4132.3393999999998"/>
    <n v="6178.4491999999991"/>
    <n v="2046.1097999999993"/>
    <n v="0.33116883116883111"/>
    <n v="56.740860000000005"/>
  </r>
  <r>
    <s v="BATCH01317"/>
    <x v="1"/>
    <x v="2"/>
    <x v="1"/>
    <n v="559.04"/>
    <n v="17.66"/>
    <n v="21.45"/>
    <n v="0.3"/>
    <n v="0.9"/>
    <n v="21"/>
    <s v="C"/>
    <n v="2.37"/>
    <x v="1"/>
    <n v="69.86"/>
    <x v="0"/>
    <n v="7.94"/>
    <n v="13.47"/>
    <n v="4438.7776000000003"/>
    <n v="7530.2687999999998"/>
    <n v="3091.4911999999995"/>
    <n v="0.41054194506310315"/>
    <n v="13.249248"/>
  </r>
  <r>
    <s v="BATCH01318"/>
    <x v="3"/>
    <x v="0"/>
    <x v="1"/>
    <n v="485.79"/>
    <n v="10.15"/>
    <n v="37.57"/>
    <n v="2.4"/>
    <n v="2.7"/>
    <n v="9"/>
    <s v="A"/>
    <n v="6.07"/>
    <x v="2"/>
    <n v="93.53"/>
    <x v="0"/>
    <n v="5.76"/>
    <n v="13.27"/>
    <n v="2798.1504"/>
    <n v="6446.4332999999997"/>
    <n v="3648.2828999999997"/>
    <n v="0.56593820648078375"/>
    <n v="29.487453000000002"/>
  </r>
  <r>
    <s v="BATCH01319"/>
    <x v="0"/>
    <x v="2"/>
    <x v="0"/>
    <n v="533.87"/>
    <n v="16.11"/>
    <n v="26.04"/>
    <n v="1.4"/>
    <n v="0.2"/>
    <n v="27"/>
    <s v="C"/>
    <n v="8.51"/>
    <x v="0"/>
    <n v="72.989999999999995"/>
    <x v="0"/>
    <n v="3.27"/>
    <n v="14.07"/>
    <n v="1745.7549000000001"/>
    <n v="7511.5509000000002"/>
    <n v="5765.7960000000003"/>
    <n v="0.76759061833688702"/>
    <n v="45.432336999999997"/>
  </r>
  <r>
    <s v="BATCH01320"/>
    <x v="1"/>
    <x v="1"/>
    <x v="1"/>
    <n v="602.95000000000005"/>
    <n v="9.9700000000000006"/>
    <n v="33.01"/>
    <n v="0.1"/>
    <n v="1.4"/>
    <n v="5"/>
    <s v="A"/>
    <n v="6.07"/>
    <x v="1"/>
    <n v="64.959999999999994"/>
    <x v="0"/>
    <n v="9.36"/>
    <n v="6.17"/>
    <n v="5643.6120000000001"/>
    <n v="3720.2015000000001"/>
    <n v="-1923.4105"/>
    <n v="-0.51701782820097242"/>
    <n v="36.599065000000003"/>
  </r>
  <r>
    <s v="BATCH01321"/>
    <x v="0"/>
    <x v="2"/>
    <x v="0"/>
    <n v="587.23"/>
    <n v="10.14"/>
    <n v="26.58"/>
    <n v="5.2"/>
    <n v="0"/>
    <n v="2"/>
    <s v="A"/>
    <n v="4.04"/>
    <x v="0"/>
    <n v="81.47"/>
    <x v="1"/>
    <n v="8.1199999999999992"/>
    <n v="6.45"/>
    <n v="4768.3076000000001"/>
    <n v="3787.6335000000004"/>
    <n v="-980.67409999999973"/>
    <n v="-0.25891472868217047"/>
    <n v="23.724091999999999"/>
  </r>
  <r>
    <s v="BATCH01322"/>
    <x v="2"/>
    <x v="0"/>
    <x v="0"/>
    <n v="385.7"/>
    <n v="14.76"/>
    <n v="27.83"/>
    <n v="3.8"/>
    <n v="0.5"/>
    <n v="22"/>
    <s v="A"/>
    <n v="1.26"/>
    <x v="1"/>
    <n v="84.61"/>
    <x v="0"/>
    <n v="4.9000000000000004"/>
    <n v="5.83"/>
    <n v="1889.93"/>
    <n v="2248.6309999999999"/>
    <n v="358.70099999999979"/>
    <n v="0.15951972555746133"/>
    <n v="4.85982"/>
  </r>
  <r>
    <s v="BATCH01323"/>
    <x v="3"/>
    <x v="2"/>
    <x v="0"/>
    <n v="582.02"/>
    <n v="12.05"/>
    <n v="25.24"/>
    <n v="1.5"/>
    <n v="0.1"/>
    <n v="15"/>
    <s v="C"/>
    <n v="3.94"/>
    <x v="0"/>
    <n v="69.92"/>
    <x v="0"/>
    <n v="6.48"/>
    <n v="14.35"/>
    <n v="3771.4896000000003"/>
    <n v="8351.9869999999992"/>
    <n v="4580.4973999999984"/>
    <n v="0.54843205574912879"/>
    <n v="22.931587999999998"/>
  </r>
  <r>
    <s v="BATCH01324"/>
    <x v="2"/>
    <x v="0"/>
    <x v="1"/>
    <n v="493.53"/>
    <n v="17.32"/>
    <n v="26.86"/>
    <n v="0.5"/>
    <n v="0.4"/>
    <n v="9"/>
    <s v="C"/>
    <n v="2.23"/>
    <x v="0"/>
    <n v="51.41"/>
    <x v="1"/>
    <n v="3.19"/>
    <n v="9.75"/>
    <n v="1574.3607"/>
    <n v="4811.9174999999996"/>
    <n v="3237.5567999999994"/>
    <n v="0.67282051282051281"/>
    <n v="11.005718999999999"/>
  </r>
  <r>
    <s v="BATCH01325"/>
    <x v="2"/>
    <x v="2"/>
    <x v="0"/>
    <n v="507.29"/>
    <n v="8.89"/>
    <n v="28.21"/>
    <n v="0.3"/>
    <n v="0.2"/>
    <n v="19"/>
    <s v="A"/>
    <n v="9.6300000000000008"/>
    <x v="2"/>
    <n v="54.71"/>
    <x v="1"/>
    <n v="5.37"/>
    <n v="5.64"/>
    <n v="2724.1473000000001"/>
    <n v="2861.1156000000001"/>
    <n v="136.9683"/>
    <n v="4.7872340425531915E-2"/>
    <n v="48.852027000000007"/>
  </r>
  <r>
    <s v="BATCH01326"/>
    <x v="2"/>
    <x v="0"/>
    <x v="1"/>
    <n v="507.32"/>
    <n v="13.12"/>
    <n v="34.409999999999997"/>
    <n v="0.9"/>
    <n v="0.5"/>
    <n v="10"/>
    <s v="C"/>
    <n v="7.29"/>
    <x v="0"/>
    <n v="92.28"/>
    <x v="0"/>
    <n v="6.66"/>
    <n v="8.2200000000000006"/>
    <n v="3378.7512000000002"/>
    <n v="4170.1704"/>
    <n v="791.41919999999982"/>
    <n v="0.18978102189781018"/>
    <n v="36.983627999999996"/>
  </r>
  <r>
    <s v="BATCH01327"/>
    <x v="2"/>
    <x v="0"/>
    <x v="1"/>
    <n v="484.98"/>
    <n v="17.190000000000001"/>
    <n v="30.23"/>
    <n v="0.6"/>
    <n v="0.5"/>
    <n v="4"/>
    <s v="A"/>
    <n v="7.62"/>
    <x v="1"/>
    <n v="52.83"/>
    <x v="2"/>
    <n v="6.62"/>
    <n v="8.51"/>
    <n v="3210.5676000000003"/>
    <n v="4127.1797999999999"/>
    <n v="916.61219999999958"/>
    <n v="0.22209165687426546"/>
    <n v="36.955476000000004"/>
  </r>
  <r>
    <s v="BATCH01328"/>
    <x v="3"/>
    <x v="2"/>
    <x v="1"/>
    <n v="619.16999999999996"/>
    <n v="17.04"/>
    <n v="38.869999999999997"/>
    <n v="1.4"/>
    <n v="0.4"/>
    <n v="10"/>
    <s v="B"/>
    <n v="4.6399999999999997"/>
    <x v="0"/>
    <n v="79.599999999999994"/>
    <x v="1"/>
    <n v="4.46"/>
    <n v="13.1"/>
    <n v="2761.4982"/>
    <n v="8111.1269999999995"/>
    <n v="5349.6287999999995"/>
    <n v="0.65954198473282444"/>
    <n v="28.729487999999996"/>
  </r>
  <r>
    <s v="BATCH01329"/>
    <x v="2"/>
    <x v="1"/>
    <x v="1"/>
    <n v="491.63"/>
    <n v="9.57"/>
    <n v="20.84"/>
    <n v="6.8"/>
    <n v="1.1000000000000001"/>
    <n v="27"/>
    <s v="C"/>
    <n v="1.54"/>
    <x v="0"/>
    <n v="59.19"/>
    <x v="1"/>
    <n v="8.44"/>
    <n v="12.35"/>
    <n v="4149.3571999999995"/>
    <n v="6071.6305000000002"/>
    <n v="1922.2733000000007"/>
    <n v="0.31659919028340094"/>
    <n v="7.5711019999999998"/>
  </r>
  <r>
    <s v="BATCH01330"/>
    <x v="3"/>
    <x v="3"/>
    <x v="0"/>
    <n v="388.05"/>
    <n v="11.67"/>
    <n v="30.06"/>
    <n v="1.7"/>
    <n v="2.5"/>
    <n v="8"/>
    <s v="C"/>
    <n v="3.03"/>
    <x v="0"/>
    <n v="61.45"/>
    <x v="0"/>
    <n v="5.09"/>
    <n v="11.89"/>
    <n v="1975.1745000000001"/>
    <n v="4613.9145000000008"/>
    <n v="2638.7400000000007"/>
    <n v="0.57190916736753583"/>
    <n v="11.757915000000001"/>
  </r>
  <r>
    <s v="BATCH01331"/>
    <x v="3"/>
    <x v="1"/>
    <x v="1"/>
    <n v="460.65"/>
    <n v="14.19"/>
    <n v="31.68"/>
    <n v="4.4000000000000004"/>
    <n v="0.5"/>
    <n v="22"/>
    <s v="B"/>
    <n v="2.97"/>
    <x v="1"/>
    <n v="63.67"/>
    <x v="2"/>
    <n v="7.06"/>
    <n v="5.22"/>
    <n v="3252.1889999999999"/>
    <n v="2404.5929999999998"/>
    <n v="-847.596"/>
    <n v="-0.35249042145593873"/>
    <n v="13.681305"/>
  </r>
  <r>
    <s v="BATCH01332"/>
    <x v="0"/>
    <x v="2"/>
    <x v="0"/>
    <n v="517.87"/>
    <n v="9.59"/>
    <n v="38.4"/>
    <n v="2.1"/>
    <n v="0.2"/>
    <n v="13"/>
    <s v="B"/>
    <n v="5.12"/>
    <x v="1"/>
    <n v="51.91"/>
    <x v="1"/>
    <n v="4.9000000000000004"/>
    <n v="14.11"/>
    <n v="2537.5630000000001"/>
    <n v="7307.1457"/>
    <n v="4769.5826999999999"/>
    <n v="0.65272856130403967"/>
    <n v="26.514944"/>
  </r>
  <r>
    <s v="BATCH01333"/>
    <x v="1"/>
    <x v="1"/>
    <x v="0"/>
    <n v="622.91999999999996"/>
    <n v="17.68"/>
    <n v="20.98"/>
    <n v="1.3"/>
    <n v="0.3"/>
    <n v="7"/>
    <s v="B"/>
    <n v="4.88"/>
    <x v="1"/>
    <n v="58.86"/>
    <x v="1"/>
    <n v="5.98"/>
    <n v="7.16"/>
    <n v="3725.0616"/>
    <n v="4460.1071999999995"/>
    <n v="735.04559999999947"/>
    <n v="0.16480446927374293"/>
    <n v="30.398495999999994"/>
  </r>
  <r>
    <s v="BATCH01334"/>
    <x v="1"/>
    <x v="0"/>
    <x v="1"/>
    <n v="560.30999999999995"/>
    <n v="17.149999999999999"/>
    <n v="31.47"/>
    <n v="3.9"/>
    <n v="1.9"/>
    <n v="7"/>
    <s v="A"/>
    <n v="4.62"/>
    <x v="0"/>
    <n v="82.52"/>
    <x v="1"/>
    <n v="4.45"/>
    <n v="11.29"/>
    <n v="2493.3795"/>
    <n v="6325.8998999999985"/>
    <n v="3832.5203999999985"/>
    <n v="0.60584588131089445"/>
    <n v="25.886322"/>
  </r>
  <r>
    <s v="BATCH01335"/>
    <x v="3"/>
    <x v="3"/>
    <x v="0"/>
    <n v="414.95"/>
    <n v="9.67"/>
    <n v="37.07"/>
    <n v="1.3"/>
    <n v="0.8"/>
    <n v="4"/>
    <s v="A"/>
    <n v="5.21"/>
    <x v="2"/>
    <n v="74.94"/>
    <x v="2"/>
    <n v="7.43"/>
    <n v="5.62"/>
    <n v="3083.0784999999996"/>
    <n v="2332.0189999999998"/>
    <n v="-751.05949999999984"/>
    <n v="-0.32206405693950174"/>
    <n v="21.618894999999998"/>
  </r>
  <r>
    <s v="BATCH01336"/>
    <x v="0"/>
    <x v="2"/>
    <x v="0"/>
    <n v="748.52"/>
    <n v="9.2100000000000009"/>
    <n v="24.84"/>
    <n v="4.0999999999999996"/>
    <n v="0.6"/>
    <n v="15"/>
    <s v="B"/>
    <n v="9.8800000000000008"/>
    <x v="1"/>
    <n v="89.87"/>
    <x v="1"/>
    <n v="5.98"/>
    <n v="5.82"/>
    <n v="4476.1496000000006"/>
    <n v="4356.3864000000003"/>
    <n v="-119.76320000000032"/>
    <n v="-2.7491408934707976E-2"/>
    <n v="73.953776000000005"/>
  </r>
  <r>
    <s v="BATCH01337"/>
    <x v="3"/>
    <x v="2"/>
    <x v="1"/>
    <n v="526.48"/>
    <n v="8.85"/>
    <n v="37.53"/>
    <n v="0.7"/>
    <n v="0.2"/>
    <n v="12"/>
    <s v="A"/>
    <n v="3.33"/>
    <x v="0"/>
    <n v="53.06"/>
    <x v="1"/>
    <n v="3.11"/>
    <n v="5.0999999999999996"/>
    <n v="1637.3527999999999"/>
    <n v="2685.0479999999998"/>
    <n v="1047.6951999999999"/>
    <n v="0.39019607843137255"/>
    <n v="17.531784000000002"/>
  </r>
  <r>
    <s v="BATCH01338"/>
    <x v="3"/>
    <x v="2"/>
    <x v="0"/>
    <n v="627.54"/>
    <n v="17.09"/>
    <n v="20.38"/>
    <n v="0.3"/>
    <n v="0.6"/>
    <n v="16"/>
    <s v="C"/>
    <n v="6.35"/>
    <x v="1"/>
    <n v="94.44"/>
    <x v="2"/>
    <n v="3.2"/>
    <n v="10.66"/>
    <n v="2008.1279999999999"/>
    <n v="6689.5763999999999"/>
    <n v="4681.4484000000002"/>
    <n v="0.69981238273921209"/>
    <n v="39.848789999999994"/>
  </r>
  <r>
    <s v="BATCH01339"/>
    <x v="3"/>
    <x v="3"/>
    <x v="0"/>
    <n v="484.83"/>
    <n v="9.94"/>
    <n v="34.65"/>
    <n v="3.9"/>
    <n v="0.3"/>
    <n v="6"/>
    <s v="B"/>
    <n v="2.78"/>
    <x v="2"/>
    <n v="99.82"/>
    <x v="1"/>
    <n v="6.3"/>
    <n v="11.29"/>
    <n v="3054.4289999999996"/>
    <n v="5473.7306999999992"/>
    <n v="2419.3016999999995"/>
    <n v="0.44198405668733393"/>
    <n v="13.478273999999999"/>
  </r>
  <r>
    <s v="BATCH01340"/>
    <x v="0"/>
    <x v="0"/>
    <x v="0"/>
    <n v="553.34"/>
    <n v="12.16"/>
    <n v="38.659999999999997"/>
    <n v="1.8"/>
    <n v="2.9"/>
    <n v="28"/>
    <s v="C"/>
    <n v="4.93"/>
    <x v="0"/>
    <n v="50.79"/>
    <x v="2"/>
    <n v="4.28"/>
    <n v="5.5"/>
    <n v="2368.2952000000005"/>
    <n v="3043.3700000000003"/>
    <n v="675.07479999999987"/>
    <n v="0.22181818181818175"/>
    <n v="27.279661999999998"/>
  </r>
  <r>
    <s v="BATCH01341"/>
    <x v="1"/>
    <x v="2"/>
    <x v="0"/>
    <n v="583.95000000000005"/>
    <n v="12.49"/>
    <n v="33.14"/>
    <n v="4.4000000000000004"/>
    <n v="2.2000000000000002"/>
    <n v="9"/>
    <s v="A"/>
    <n v="2.4"/>
    <x v="1"/>
    <n v="98.38"/>
    <x v="2"/>
    <n v="7.1"/>
    <n v="7.9"/>
    <n v="4146.0450000000001"/>
    <n v="4613.2050000000008"/>
    <n v="467.16000000000076"/>
    <n v="0.10126582278481028"/>
    <n v="14.014800000000001"/>
  </r>
  <r>
    <s v="BATCH01342"/>
    <x v="0"/>
    <x v="1"/>
    <x v="1"/>
    <n v="621.82000000000005"/>
    <n v="13.99"/>
    <n v="28.78"/>
    <n v="5.6"/>
    <n v="0.1"/>
    <n v="3"/>
    <s v="B"/>
    <n v="5.8"/>
    <x v="1"/>
    <n v="61.79"/>
    <x v="2"/>
    <n v="5.86"/>
    <n v="13.51"/>
    <n v="3643.8652000000006"/>
    <n v="8400.7882000000009"/>
    <n v="4756.9230000000007"/>
    <n v="0.56624722427831242"/>
    <n v="36.065559999999998"/>
  </r>
  <r>
    <s v="BATCH01343"/>
    <x v="2"/>
    <x v="2"/>
    <x v="0"/>
    <n v="605.74"/>
    <n v="8.7200000000000006"/>
    <n v="20.9"/>
    <n v="0.1"/>
    <n v="0.7"/>
    <n v="8"/>
    <s v="A"/>
    <n v="3.02"/>
    <x v="2"/>
    <n v="84.63"/>
    <x v="0"/>
    <n v="7.58"/>
    <n v="6.01"/>
    <n v="4591.5092000000004"/>
    <n v="3640.4973999999997"/>
    <n v="-951.01180000000068"/>
    <n v="-0.26123128119800354"/>
    <n v="18.293348000000002"/>
  </r>
  <r>
    <s v="BATCH01344"/>
    <x v="0"/>
    <x v="2"/>
    <x v="0"/>
    <n v="587.22"/>
    <n v="10.27"/>
    <n v="38.4"/>
    <n v="1.4"/>
    <n v="0.3"/>
    <n v="7"/>
    <s v="C"/>
    <n v="0.85"/>
    <x v="1"/>
    <n v="64.62"/>
    <x v="1"/>
    <n v="9.67"/>
    <n v="7.17"/>
    <n v="5678.4174000000003"/>
    <n v="4210.3674000000001"/>
    <n v="-1468.0500000000002"/>
    <n v="-0.34867503486750351"/>
    <n v="4.9913699999999999"/>
  </r>
  <r>
    <s v="BATCH01345"/>
    <x v="0"/>
    <x v="2"/>
    <x v="0"/>
    <n v="468.49"/>
    <n v="17.309999999999999"/>
    <n v="29.41"/>
    <n v="0.9"/>
    <n v="0.5"/>
    <n v="4"/>
    <s v="A"/>
    <n v="8.25"/>
    <x v="0"/>
    <n v="76.09"/>
    <x v="1"/>
    <n v="6.7"/>
    <n v="9.24"/>
    <n v="3138.8830000000003"/>
    <n v="4328.8476000000001"/>
    <n v="1189.9645999999998"/>
    <n v="0.27489177489177485"/>
    <n v="38.650424999999998"/>
  </r>
  <r>
    <s v="BATCH01346"/>
    <x v="0"/>
    <x v="2"/>
    <x v="0"/>
    <n v="442.83"/>
    <n v="17.079999999999998"/>
    <n v="20.58"/>
    <n v="2"/>
    <n v="2.1"/>
    <n v="26"/>
    <s v="C"/>
    <n v="1.72"/>
    <x v="0"/>
    <n v="75.52"/>
    <x v="1"/>
    <n v="8.51"/>
    <n v="13.42"/>
    <n v="3768.4832999999999"/>
    <n v="5942.7785999999996"/>
    <n v="2174.2952999999998"/>
    <n v="0.36587183308494781"/>
    <n v="7.616676"/>
  </r>
  <r>
    <s v="BATCH01347"/>
    <x v="0"/>
    <x v="0"/>
    <x v="1"/>
    <n v="533.26"/>
    <n v="15.81"/>
    <n v="33.799999999999997"/>
    <n v="3.2"/>
    <n v="0.7"/>
    <n v="13"/>
    <s v="A"/>
    <n v="4"/>
    <x v="2"/>
    <n v="68.06"/>
    <x v="2"/>
    <n v="8.27"/>
    <n v="7.55"/>
    <n v="4410.0601999999999"/>
    <n v="4026.1129999999998"/>
    <n v="-383.94720000000007"/>
    <n v="-9.5364238410596047E-2"/>
    <n v="21.330400000000001"/>
  </r>
  <r>
    <s v="BATCH01348"/>
    <x v="1"/>
    <x v="1"/>
    <x v="0"/>
    <n v="593.30999999999995"/>
    <n v="8.19"/>
    <n v="29.64"/>
    <n v="0.7"/>
    <n v="0.4"/>
    <n v="19"/>
    <s v="C"/>
    <n v="5.03"/>
    <x v="2"/>
    <n v="85.88"/>
    <x v="0"/>
    <n v="9.4499999999999993"/>
    <n v="14.97"/>
    <n v="5606.7794999999987"/>
    <n v="8881.8506999999991"/>
    <n v="3275.0712000000003"/>
    <n v="0.36873747494989989"/>
    <n v="29.843492999999999"/>
  </r>
  <r>
    <s v="BATCH01349"/>
    <x v="2"/>
    <x v="0"/>
    <x v="1"/>
    <n v="477.73"/>
    <n v="11.27"/>
    <n v="22.49"/>
    <n v="1.6"/>
    <n v="0.2"/>
    <n v="7"/>
    <s v="A"/>
    <n v="4.6100000000000003"/>
    <x v="2"/>
    <n v="79.98"/>
    <x v="2"/>
    <n v="4.5"/>
    <n v="8.5500000000000007"/>
    <n v="2149.7849999999999"/>
    <n v="4084.5915000000005"/>
    <n v="1934.8065000000006"/>
    <n v="0.47368421052631587"/>
    <n v="22.023353"/>
  </r>
  <r>
    <s v="BATCH01350"/>
    <x v="1"/>
    <x v="1"/>
    <x v="0"/>
    <n v="606.52"/>
    <n v="14.28"/>
    <n v="24.29"/>
    <n v="2.5"/>
    <n v="1.6"/>
    <n v="10"/>
    <s v="B"/>
    <n v="7.39"/>
    <x v="0"/>
    <n v="75.41"/>
    <x v="1"/>
    <n v="8.7899999999999991"/>
    <n v="8.86"/>
    <n v="5331.3107999999993"/>
    <n v="5373.7671999999993"/>
    <n v="42.456400000000031"/>
    <n v="7.9006772009029419E-3"/>
    <n v="44.821827999999996"/>
  </r>
  <r>
    <s v="BATCH01351"/>
    <x v="1"/>
    <x v="2"/>
    <x v="1"/>
    <n v="645.26"/>
    <n v="10.75"/>
    <n v="21.29"/>
    <n v="0.3"/>
    <n v="1"/>
    <n v="25"/>
    <s v="B"/>
    <n v="6.17"/>
    <x v="2"/>
    <n v="99.14"/>
    <x v="2"/>
    <n v="9.34"/>
    <n v="6.22"/>
    <n v="6026.7284"/>
    <n v="4013.5171999999998"/>
    <n v="-2013.2112000000002"/>
    <n v="-0.50160771704180074"/>
    <n v="39.812542000000001"/>
  </r>
  <r>
    <s v="BATCH01352"/>
    <x v="0"/>
    <x v="3"/>
    <x v="1"/>
    <n v="408.37"/>
    <n v="17.100000000000001"/>
    <n v="31.49"/>
    <n v="3.4"/>
    <n v="0.6"/>
    <n v="12"/>
    <s v="A"/>
    <n v="3.31"/>
    <x v="1"/>
    <n v="97"/>
    <x v="0"/>
    <n v="5.75"/>
    <n v="11.8"/>
    <n v="2348.1275000000001"/>
    <n v="4818.7660000000005"/>
    <n v="2470.6385000000005"/>
    <n v="0.51271186440677974"/>
    <n v="13.517047"/>
  </r>
  <r>
    <s v="BATCH01353"/>
    <x v="3"/>
    <x v="0"/>
    <x v="1"/>
    <n v="416.31"/>
    <n v="14.34"/>
    <n v="32.44"/>
    <n v="1.9"/>
    <n v="0.2"/>
    <n v="26"/>
    <s v="C"/>
    <n v="0.99"/>
    <x v="1"/>
    <n v="97.77"/>
    <x v="1"/>
    <n v="5.2"/>
    <n v="7.43"/>
    <n v="2164.8119999999999"/>
    <n v="3093.1832999999997"/>
    <n v="928.37129999999979"/>
    <n v="0.30013458950201882"/>
    <n v="4.1214690000000003"/>
  </r>
  <r>
    <s v="BATCH01354"/>
    <x v="3"/>
    <x v="3"/>
    <x v="1"/>
    <n v="485.96"/>
    <n v="8.7200000000000006"/>
    <n v="30.11"/>
    <n v="6"/>
    <n v="0.4"/>
    <n v="3"/>
    <s v="A"/>
    <n v="7.79"/>
    <x v="0"/>
    <n v="94.07"/>
    <x v="2"/>
    <n v="9.66"/>
    <n v="11.29"/>
    <n v="4694.3735999999999"/>
    <n v="5486.4883999999993"/>
    <n v="792.11479999999938"/>
    <n v="0.14437555358724524"/>
    <n v="37.856284000000002"/>
  </r>
  <r>
    <s v="BATCH01355"/>
    <x v="1"/>
    <x v="0"/>
    <x v="1"/>
    <n v="530.76"/>
    <n v="17.09"/>
    <n v="36.340000000000003"/>
    <n v="0.8"/>
    <n v="3.2"/>
    <n v="26"/>
    <s v="B"/>
    <n v="3.85"/>
    <x v="1"/>
    <n v="62.76"/>
    <x v="0"/>
    <n v="7.39"/>
    <n v="7.23"/>
    <n v="3922.3163999999997"/>
    <n v="3837.3948"/>
    <n v="-84.921599999999671"/>
    <n v="-2.2130013831258559E-2"/>
    <n v="20.434259999999998"/>
  </r>
  <r>
    <s v="BATCH01356"/>
    <x v="1"/>
    <x v="2"/>
    <x v="0"/>
    <n v="447.54"/>
    <n v="17.579999999999998"/>
    <n v="37.22"/>
    <n v="0.2"/>
    <n v="0.7"/>
    <n v="25"/>
    <s v="C"/>
    <n v="8.9499999999999993"/>
    <x v="2"/>
    <n v="67.5"/>
    <x v="2"/>
    <n v="5.66"/>
    <n v="8.8800000000000008"/>
    <n v="2533.0764000000004"/>
    <n v="3974.1552000000006"/>
    <n v="1441.0788000000002"/>
    <n v="0.36261261261261263"/>
    <n v="40.054829999999995"/>
  </r>
  <r>
    <s v="BATCH01357"/>
    <x v="0"/>
    <x v="0"/>
    <x v="0"/>
    <n v="635.22"/>
    <n v="8.7799999999999994"/>
    <n v="32.31"/>
    <n v="1.4"/>
    <n v="0.5"/>
    <n v="29"/>
    <s v="A"/>
    <n v="4.25"/>
    <x v="1"/>
    <n v="61.55"/>
    <x v="2"/>
    <n v="8.5399999999999991"/>
    <n v="13.57"/>
    <n v="5424.7788"/>
    <n v="8619.9354000000003"/>
    <n v="3195.1566000000003"/>
    <n v="0.37067059690493737"/>
    <n v="26.996849999999998"/>
  </r>
  <r>
    <s v="BATCH01358"/>
    <x v="1"/>
    <x v="2"/>
    <x v="0"/>
    <n v="542.41"/>
    <n v="13.32"/>
    <n v="20.260000000000002"/>
    <n v="0.2"/>
    <n v="0.7"/>
    <n v="24"/>
    <s v="A"/>
    <n v="7.32"/>
    <x v="2"/>
    <n v="99.31"/>
    <x v="1"/>
    <n v="5.13"/>
    <n v="12.39"/>
    <n v="2782.5632999999998"/>
    <n v="6720.4598999999998"/>
    <n v="3937.8966"/>
    <n v="0.58595641646489105"/>
    <n v="39.704411999999998"/>
  </r>
  <r>
    <s v="BATCH01359"/>
    <x v="0"/>
    <x v="0"/>
    <x v="1"/>
    <n v="503.94"/>
    <n v="11.03"/>
    <n v="33.9"/>
    <n v="7"/>
    <n v="1.5"/>
    <n v="12"/>
    <s v="C"/>
    <n v="9.43"/>
    <x v="1"/>
    <n v="57.63"/>
    <x v="0"/>
    <n v="4.2300000000000004"/>
    <n v="6.55"/>
    <n v="2131.6662000000001"/>
    <n v="3300.8069999999998"/>
    <n v="1169.1407999999997"/>
    <n v="0.35419847328244269"/>
    <n v="47.521541999999997"/>
  </r>
  <r>
    <s v="BATCH01360"/>
    <x v="3"/>
    <x v="2"/>
    <x v="0"/>
    <n v="356.41"/>
    <n v="11.93"/>
    <n v="28.36"/>
    <n v="0.1"/>
    <n v="0.4"/>
    <n v="19"/>
    <s v="A"/>
    <n v="6.69"/>
    <x v="0"/>
    <n v="68.33"/>
    <x v="2"/>
    <n v="6.81"/>
    <n v="11.08"/>
    <n v="2427.1521000000002"/>
    <n v="3949.0228000000002"/>
    <n v="1521.8706999999999"/>
    <n v="0.38537906137184114"/>
    <n v="23.843829000000007"/>
  </r>
  <r>
    <s v="BATCH01361"/>
    <x v="3"/>
    <x v="2"/>
    <x v="1"/>
    <n v="368.42"/>
    <n v="9.8000000000000007"/>
    <n v="31.31"/>
    <n v="2.8"/>
    <n v="0.2"/>
    <n v="15"/>
    <s v="B"/>
    <n v="4.43"/>
    <x v="2"/>
    <n v="59.95"/>
    <x v="0"/>
    <n v="6.96"/>
    <n v="11.29"/>
    <n v="2564.2031999999999"/>
    <n v="4159.4618"/>
    <n v="1595.2586000000001"/>
    <n v="0.38352524357838796"/>
    <n v="16.321006000000001"/>
  </r>
  <r>
    <s v="BATCH01362"/>
    <x v="2"/>
    <x v="1"/>
    <x v="1"/>
    <n v="528.1"/>
    <n v="13.78"/>
    <n v="32.979999999999997"/>
    <n v="1.5"/>
    <n v="0.9"/>
    <n v="8"/>
    <s v="B"/>
    <n v="5.89"/>
    <x v="1"/>
    <n v="61.17"/>
    <x v="1"/>
    <n v="8.7799999999999994"/>
    <n v="5.91"/>
    <n v="4636.7179999999998"/>
    <n v="3121.0710000000004"/>
    <n v="-1515.6469999999995"/>
    <n v="-0.48561759729272397"/>
    <n v="31.105090000000001"/>
  </r>
  <r>
    <s v="BATCH01363"/>
    <x v="3"/>
    <x v="2"/>
    <x v="0"/>
    <n v="286.74"/>
    <n v="17.579999999999998"/>
    <n v="27"/>
    <n v="0.9"/>
    <n v="1.1000000000000001"/>
    <n v="12"/>
    <s v="C"/>
    <n v="5.66"/>
    <x v="0"/>
    <n v="62.35"/>
    <x v="1"/>
    <n v="6.2"/>
    <n v="9.66"/>
    <n v="1777.788"/>
    <n v="2769.9084000000003"/>
    <n v="992.12040000000025"/>
    <n v="0.35817805383022777"/>
    <n v="16.229483999999999"/>
  </r>
  <r>
    <s v="BATCH01364"/>
    <x v="1"/>
    <x v="1"/>
    <x v="0"/>
    <n v="601.26"/>
    <n v="13.03"/>
    <n v="38.340000000000003"/>
    <n v="0.1"/>
    <n v="1.2"/>
    <n v="20"/>
    <s v="A"/>
    <n v="6.06"/>
    <x v="1"/>
    <n v="81.98"/>
    <x v="1"/>
    <n v="8.6999999999999993"/>
    <n v="7.61"/>
    <n v="5230.9619999999995"/>
    <n v="4575.5886"/>
    <n v="-655.37339999999949"/>
    <n v="-0.14323258869908004"/>
    <n v="36.436355999999996"/>
  </r>
  <r>
    <s v="BATCH01365"/>
    <x v="3"/>
    <x v="2"/>
    <x v="1"/>
    <n v="484.18"/>
    <n v="8.83"/>
    <n v="22.68"/>
    <n v="1.9"/>
    <n v="2.1"/>
    <n v="6"/>
    <s v="A"/>
    <n v="1.89"/>
    <x v="0"/>
    <n v="53.8"/>
    <x v="0"/>
    <n v="5.18"/>
    <n v="9.67"/>
    <n v="2508.0524"/>
    <n v="4682.0205999999998"/>
    <n v="2173.9681999999998"/>
    <n v="0.46432264736297824"/>
    <n v="9.1510020000000001"/>
  </r>
  <r>
    <s v="BATCH01366"/>
    <x v="0"/>
    <x v="3"/>
    <x v="1"/>
    <n v="824.31"/>
    <n v="14.2"/>
    <n v="33.43"/>
    <n v="1.8"/>
    <n v="0.5"/>
    <n v="28"/>
    <s v="B"/>
    <n v="7.14"/>
    <x v="1"/>
    <n v="78.63"/>
    <x v="0"/>
    <n v="7.03"/>
    <n v="12.77"/>
    <n v="5794.8993"/>
    <n v="10526.438699999999"/>
    <n v="4731.5393999999987"/>
    <n v="0.44949099451840246"/>
    <n v="58.855733999999991"/>
  </r>
  <r>
    <s v="BATCH01367"/>
    <x v="3"/>
    <x v="2"/>
    <x v="0"/>
    <n v="730.79"/>
    <n v="11.4"/>
    <n v="20.09"/>
    <n v="0.7"/>
    <n v="0.1"/>
    <n v="10"/>
    <s v="C"/>
    <n v="1.88"/>
    <x v="2"/>
    <n v="90.96"/>
    <x v="2"/>
    <n v="4.46"/>
    <n v="6.58"/>
    <n v="3259.3233999999998"/>
    <n v="4808.5981999999995"/>
    <n v="1549.2747999999997"/>
    <n v="0.32218844984802431"/>
    <n v="13.738852"/>
  </r>
  <r>
    <s v="BATCH01368"/>
    <x v="2"/>
    <x v="3"/>
    <x v="0"/>
    <n v="481.86"/>
    <n v="16.559999999999999"/>
    <n v="38.49"/>
    <n v="4.8"/>
    <n v="3.2"/>
    <n v="2"/>
    <s v="C"/>
    <n v="0.64"/>
    <x v="2"/>
    <n v="88.33"/>
    <x v="0"/>
    <n v="5.7"/>
    <n v="6.23"/>
    <n v="2746.6020000000003"/>
    <n v="3001.9878000000003"/>
    <n v="255.38580000000002"/>
    <n v="8.5072231139646862E-2"/>
    <n v="3.083904"/>
  </r>
  <r>
    <s v="BATCH01369"/>
    <x v="3"/>
    <x v="3"/>
    <x v="0"/>
    <n v="489.37"/>
    <n v="12.35"/>
    <n v="22.25"/>
    <n v="0.7"/>
    <n v="0.6"/>
    <n v="24"/>
    <s v="C"/>
    <n v="6.44"/>
    <x v="2"/>
    <n v="57.56"/>
    <x v="1"/>
    <n v="9"/>
    <n v="7.69"/>
    <n v="4404.33"/>
    <n v="3763.2553000000003"/>
    <n v="-641.07469999999967"/>
    <n v="-0.17035110533159939"/>
    <n v="31.515428"/>
  </r>
  <r>
    <s v="BATCH01370"/>
    <x v="0"/>
    <x v="2"/>
    <x v="0"/>
    <n v="599.55999999999995"/>
    <n v="9.93"/>
    <n v="21.9"/>
    <n v="1.2"/>
    <n v="1"/>
    <n v="13"/>
    <s v="B"/>
    <n v="1.61"/>
    <x v="2"/>
    <n v="95.74"/>
    <x v="2"/>
    <n v="4.51"/>
    <n v="14.52"/>
    <n v="2704.0155999999997"/>
    <n v="8705.6111999999994"/>
    <n v="6001.5955999999996"/>
    <n v="0.68939393939393945"/>
    <n v="9.6529159999999994"/>
  </r>
  <r>
    <s v="BATCH01371"/>
    <x v="0"/>
    <x v="3"/>
    <x v="1"/>
    <n v="670.32"/>
    <n v="9.91"/>
    <n v="26.66"/>
    <n v="1.6"/>
    <n v="1.1000000000000001"/>
    <n v="25"/>
    <s v="B"/>
    <n v="7.82"/>
    <x v="2"/>
    <n v="88.5"/>
    <x v="0"/>
    <n v="8.67"/>
    <n v="12.48"/>
    <n v="5811.6744000000008"/>
    <n v="8365.5936000000002"/>
    <n v="2553.9191999999994"/>
    <n v="0.30528846153846145"/>
    <n v="52.419024000000007"/>
  </r>
  <r>
    <s v="BATCH01372"/>
    <x v="1"/>
    <x v="1"/>
    <x v="0"/>
    <n v="336.2"/>
    <n v="15.69"/>
    <n v="27.47"/>
    <n v="0.2"/>
    <n v="0.8"/>
    <n v="7"/>
    <s v="C"/>
    <n v="8.73"/>
    <x v="1"/>
    <n v="50.27"/>
    <x v="1"/>
    <n v="4.9800000000000004"/>
    <n v="5.19"/>
    <n v="1674.2760000000001"/>
    <n v="1744.8780000000002"/>
    <n v="70.602000000000089"/>
    <n v="4.0462427745664789E-2"/>
    <n v="29.350259999999999"/>
  </r>
  <r>
    <s v="BATCH01373"/>
    <x v="3"/>
    <x v="0"/>
    <x v="0"/>
    <n v="321.36"/>
    <n v="10.66"/>
    <n v="24.29"/>
    <n v="5.4"/>
    <n v="0.2"/>
    <n v="8"/>
    <s v="C"/>
    <n v="9.4700000000000006"/>
    <x v="1"/>
    <n v="86.87"/>
    <x v="1"/>
    <n v="3.24"/>
    <n v="9.01"/>
    <n v="1041.2064"/>
    <n v="2895.4536000000003"/>
    <n v="1854.2472000000002"/>
    <n v="0.64039955604883469"/>
    <n v="30.432792000000003"/>
  </r>
  <r>
    <s v="BATCH01374"/>
    <x v="0"/>
    <x v="2"/>
    <x v="0"/>
    <n v="437.8"/>
    <n v="15.67"/>
    <n v="31.7"/>
    <n v="0.9"/>
    <n v="1.4"/>
    <n v="23"/>
    <s v="A"/>
    <n v="6.81"/>
    <x v="1"/>
    <n v="86.87"/>
    <x v="2"/>
    <n v="3.77"/>
    <n v="7.57"/>
    <n v="1650.5060000000001"/>
    <n v="3314.1460000000002"/>
    <n v="1663.64"/>
    <n v="0.50198150594451785"/>
    <n v="29.81418"/>
  </r>
  <r>
    <s v="BATCH01375"/>
    <x v="2"/>
    <x v="3"/>
    <x v="1"/>
    <n v="558.27"/>
    <n v="10.06"/>
    <n v="28.86"/>
    <n v="0.2"/>
    <n v="1.6"/>
    <n v="16"/>
    <s v="A"/>
    <n v="5.08"/>
    <x v="1"/>
    <n v="74.84"/>
    <x v="1"/>
    <n v="8.2200000000000006"/>
    <n v="11.38"/>
    <n v="4588.9794000000002"/>
    <n v="6353.1126000000004"/>
    <n v="1764.1332000000002"/>
    <n v="0.27768014059753954"/>
    <n v="28.360115999999998"/>
  </r>
  <r>
    <s v="BATCH01376"/>
    <x v="1"/>
    <x v="2"/>
    <x v="1"/>
    <n v="549.69000000000005"/>
    <n v="11.22"/>
    <n v="20.68"/>
    <n v="1"/>
    <n v="0.8"/>
    <n v="11"/>
    <s v="C"/>
    <n v="3.85"/>
    <x v="2"/>
    <n v="52.3"/>
    <x v="0"/>
    <n v="4.83"/>
    <n v="9.59"/>
    <n v="2655.0027000000005"/>
    <n v="5271.5271000000002"/>
    <n v="2616.5243999999998"/>
    <n v="0.4963503649635036"/>
    <n v="21.163065000000003"/>
  </r>
  <r>
    <s v="BATCH01377"/>
    <x v="2"/>
    <x v="1"/>
    <x v="1"/>
    <n v="606.98"/>
    <n v="12.65"/>
    <n v="26.39"/>
    <n v="1.8"/>
    <n v="0.7"/>
    <n v="26"/>
    <s v="B"/>
    <n v="5.16"/>
    <x v="0"/>
    <n v="79"/>
    <x v="1"/>
    <n v="7.58"/>
    <n v="14.64"/>
    <n v="4600.9084000000003"/>
    <n v="8886.1872000000003"/>
    <n v="4285.2788"/>
    <n v="0.48224043715846993"/>
    <n v="31.320168000000002"/>
  </r>
  <r>
    <s v="BATCH01378"/>
    <x v="3"/>
    <x v="2"/>
    <x v="1"/>
    <n v="380.03"/>
    <n v="17.43"/>
    <n v="36.21"/>
    <n v="1.4"/>
    <n v="0.1"/>
    <n v="4"/>
    <s v="B"/>
    <n v="2.31"/>
    <x v="2"/>
    <n v="88.29"/>
    <x v="2"/>
    <n v="7.89"/>
    <n v="7.19"/>
    <n v="2998.4366999999997"/>
    <n v="2732.4157"/>
    <n v="-266.02099999999973"/>
    <n v="-9.7357440890125074E-2"/>
    <n v="8.7786929999999987"/>
  </r>
  <r>
    <s v="BATCH01379"/>
    <x v="3"/>
    <x v="2"/>
    <x v="0"/>
    <n v="268.39"/>
    <n v="17.32"/>
    <n v="33.79"/>
    <n v="2.4"/>
    <n v="0.1"/>
    <n v="17"/>
    <s v="A"/>
    <n v="3.81"/>
    <x v="1"/>
    <n v="63.54"/>
    <x v="1"/>
    <n v="5.42"/>
    <n v="10.88"/>
    <n v="1454.6737999999998"/>
    <n v="2920.0832"/>
    <n v="1465.4094000000002"/>
    <n v="0.50183823529411775"/>
    <n v="10.225659"/>
  </r>
  <r>
    <s v="BATCH01380"/>
    <x v="3"/>
    <x v="3"/>
    <x v="1"/>
    <n v="585.79999999999995"/>
    <n v="10.07"/>
    <n v="34.5"/>
    <n v="0.1"/>
    <n v="0.4"/>
    <n v="16"/>
    <s v="C"/>
    <n v="7.32"/>
    <x v="2"/>
    <n v="83.35"/>
    <x v="1"/>
    <n v="6.32"/>
    <n v="12"/>
    <n v="3702.2559999999999"/>
    <n v="7029.5999999999995"/>
    <n v="3327.3439999999996"/>
    <n v="0.47333333333333333"/>
    <n v="42.880559999999996"/>
  </r>
  <r>
    <s v="BATCH01381"/>
    <x v="1"/>
    <x v="1"/>
    <x v="0"/>
    <n v="417.18"/>
    <n v="11.58"/>
    <n v="33.96"/>
    <n v="0.7"/>
    <n v="0.4"/>
    <n v="19"/>
    <s v="B"/>
    <n v="2.57"/>
    <x v="2"/>
    <n v="67.7"/>
    <x v="0"/>
    <n v="5.83"/>
    <n v="13.26"/>
    <n v="2432.1594"/>
    <n v="5531.8068000000003"/>
    <n v="3099.6474000000003"/>
    <n v="0.5603318250377074"/>
    <n v="10.721525999999999"/>
  </r>
  <r>
    <s v="BATCH01382"/>
    <x v="0"/>
    <x v="0"/>
    <x v="0"/>
    <n v="298.14999999999998"/>
    <n v="9.49"/>
    <n v="26.22"/>
    <n v="3.4"/>
    <n v="3.1"/>
    <n v="23"/>
    <s v="B"/>
    <n v="3.01"/>
    <x v="2"/>
    <n v="78.69"/>
    <x v="0"/>
    <n v="9.6300000000000008"/>
    <n v="9.07"/>
    <n v="2871.1844999999998"/>
    <n v="2704.2204999999999"/>
    <n v="-166.96399999999994"/>
    <n v="-6.1742006615214978E-2"/>
    <n v="8.9743149999999989"/>
  </r>
  <r>
    <s v="BATCH01383"/>
    <x v="1"/>
    <x v="0"/>
    <x v="0"/>
    <n v="514.51"/>
    <n v="13.1"/>
    <n v="21.99"/>
    <n v="0.2"/>
    <n v="1.5"/>
    <n v="27"/>
    <s v="B"/>
    <n v="7.62"/>
    <x v="0"/>
    <n v="69.23"/>
    <x v="0"/>
    <n v="5.24"/>
    <n v="11.87"/>
    <n v="2696.0324000000001"/>
    <n v="6107.2336999999998"/>
    <n v="3411.2012999999997"/>
    <n v="0.55855096882898059"/>
    <n v="39.205662000000004"/>
  </r>
  <r>
    <s v="BATCH01384"/>
    <x v="2"/>
    <x v="3"/>
    <x v="0"/>
    <n v="579.32000000000005"/>
    <n v="12.61"/>
    <n v="25.45"/>
    <n v="3.9"/>
    <n v="1.1000000000000001"/>
    <n v="11"/>
    <s v="B"/>
    <n v="2.19"/>
    <x v="2"/>
    <n v="65.19"/>
    <x v="0"/>
    <n v="4.28"/>
    <n v="8.0299999999999994"/>
    <n v="2479.4896000000003"/>
    <n v="4651.9395999999997"/>
    <n v="2172.4499999999994"/>
    <n v="0.46699875466998741"/>
    <n v="12.687108"/>
  </r>
  <r>
    <s v="BATCH01385"/>
    <x v="1"/>
    <x v="2"/>
    <x v="1"/>
    <n v="487.79"/>
    <n v="17.010000000000002"/>
    <n v="36.64"/>
    <n v="0.2"/>
    <n v="0.7"/>
    <n v="7"/>
    <s v="A"/>
    <n v="2.84"/>
    <x v="2"/>
    <n v="92.8"/>
    <x v="1"/>
    <n v="5.56"/>
    <n v="9.35"/>
    <n v="2712.1124"/>
    <n v="4560.8365000000003"/>
    <n v="1848.7241000000004"/>
    <n v="0.40534759358288774"/>
    <n v="13.853235999999999"/>
  </r>
  <r>
    <s v="BATCH01386"/>
    <x v="2"/>
    <x v="3"/>
    <x v="1"/>
    <n v="454.22"/>
    <n v="17.3"/>
    <n v="39.61"/>
    <n v="3.6"/>
    <n v="0.2"/>
    <n v="27"/>
    <s v="B"/>
    <n v="0.67"/>
    <x v="0"/>
    <n v="87.69"/>
    <x v="0"/>
    <n v="7.69"/>
    <n v="13.96"/>
    <n v="3492.9518000000003"/>
    <n v="6340.9112000000005"/>
    <n v="2847.9594000000002"/>
    <n v="0.4491404011461318"/>
    <n v="3.0432740000000003"/>
  </r>
  <r>
    <s v="BATCH01387"/>
    <x v="1"/>
    <x v="3"/>
    <x v="1"/>
    <n v="484.06"/>
    <n v="11.84"/>
    <n v="29.88"/>
    <n v="0.9"/>
    <n v="3.8"/>
    <n v="13"/>
    <s v="B"/>
    <n v="7.34"/>
    <x v="2"/>
    <n v="67.27"/>
    <x v="1"/>
    <n v="7.88"/>
    <n v="14.5"/>
    <n v="3814.3928000000001"/>
    <n v="7018.87"/>
    <n v="3204.4771999999998"/>
    <n v="0.45655172413793099"/>
    <n v="35.530003999999998"/>
  </r>
  <r>
    <s v="BATCH01388"/>
    <x v="0"/>
    <x v="3"/>
    <x v="0"/>
    <n v="462.94"/>
    <n v="12.92"/>
    <n v="20.190000000000001"/>
    <n v="1.9"/>
    <n v="0.5"/>
    <n v="19"/>
    <s v="C"/>
    <n v="6.37"/>
    <x v="2"/>
    <n v="71.73"/>
    <x v="0"/>
    <n v="9.4700000000000006"/>
    <n v="12.19"/>
    <n v="4384.0418"/>
    <n v="5643.2385999999997"/>
    <n v="1259.1967999999997"/>
    <n v="0.2231337161607875"/>
    <n v="29.489277999999999"/>
  </r>
  <r>
    <s v="BATCH01389"/>
    <x v="2"/>
    <x v="2"/>
    <x v="0"/>
    <n v="365.2"/>
    <n v="16.96"/>
    <n v="22.8"/>
    <n v="0.3"/>
    <n v="0.1"/>
    <n v="17"/>
    <s v="C"/>
    <n v="7.1"/>
    <x v="2"/>
    <n v="84.59"/>
    <x v="0"/>
    <n v="9.17"/>
    <n v="8.74"/>
    <n v="3348.884"/>
    <n v="3191.848"/>
    <n v="-157.03600000000006"/>
    <n v="-4.9199084668192242E-2"/>
    <n v="25.929199999999994"/>
  </r>
  <r>
    <s v="BATCH01390"/>
    <x v="3"/>
    <x v="1"/>
    <x v="0"/>
    <n v="428.53"/>
    <n v="16.07"/>
    <n v="26.44"/>
    <n v="0.1"/>
    <n v="0.7"/>
    <n v="26"/>
    <s v="A"/>
    <n v="2.54"/>
    <x v="2"/>
    <n v="90.55"/>
    <x v="0"/>
    <n v="5.0199999999999996"/>
    <n v="13.2"/>
    <n v="2151.2205999999996"/>
    <n v="5656.5959999999995"/>
    <n v="3505.3753999999999"/>
    <n v="0.61969696969696975"/>
    <n v="10.884661999999999"/>
  </r>
  <r>
    <s v="BATCH01391"/>
    <x v="3"/>
    <x v="3"/>
    <x v="0"/>
    <n v="552.13"/>
    <n v="8.0399999999999991"/>
    <n v="31.57"/>
    <n v="0.5"/>
    <n v="2.1"/>
    <n v="25"/>
    <s v="A"/>
    <n v="7.03"/>
    <x v="2"/>
    <n v="84.22"/>
    <x v="1"/>
    <n v="6.19"/>
    <n v="5.26"/>
    <n v="3417.6847000000002"/>
    <n v="2904.2037999999998"/>
    <n v="-513.48090000000047"/>
    <n v="-0.17680608365019029"/>
    <n v="38.814739000000003"/>
  </r>
  <r>
    <s v="BATCH01392"/>
    <x v="1"/>
    <x v="2"/>
    <x v="0"/>
    <n v="532.16999999999996"/>
    <n v="11.2"/>
    <n v="21.5"/>
    <n v="0.3"/>
    <n v="2.2000000000000002"/>
    <n v="28"/>
    <s v="A"/>
    <n v="6.17"/>
    <x v="1"/>
    <n v="77.05"/>
    <x v="0"/>
    <n v="8.23"/>
    <n v="6.03"/>
    <n v="4379.7591000000002"/>
    <n v="3208.9850999999999"/>
    <n v="-1170.7740000000003"/>
    <n v="-0.36484245439469332"/>
    <n v="32.834888999999997"/>
  </r>
  <r>
    <s v="BATCH01393"/>
    <x v="3"/>
    <x v="1"/>
    <x v="1"/>
    <n v="516.80999999999995"/>
    <n v="12.22"/>
    <n v="38.869999999999997"/>
    <n v="0.7"/>
    <n v="0"/>
    <n v="22"/>
    <s v="A"/>
    <n v="3.98"/>
    <x v="2"/>
    <n v="97.72"/>
    <x v="1"/>
    <n v="9.42"/>
    <n v="11.61"/>
    <n v="4868.3501999999999"/>
    <n v="6000.1640999999991"/>
    <n v="1131.8138999999992"/>
    <n v="0.18863049095607223"/>
    <n v="20.569037999999995"/>
  </r>
  <r>
    <s v="BATCH01394"/>
    <x v="2"/>
    <x v="3"/>
    <x v="0"/>
    <n v="400.49"/>
    <n v="10.3"/>
    <n v="27.3"/>
    <n v="1.4"/>
    <n v="2.2000000000000002"/>
    <n v="13"/>
    <s v="B"/>
    <n v="4.66"/>
    <x v="0"/>
    <n v="88.71"/>
    <x v="0"/>
    <n v="5.36"/>
    <n v="7.91"/>
    <n v="2146.6264000000001"/>
    <n v="3167.8759"/>
    <n v="1021.2494999999999"/>
    <n v="0.32237673830594182"/>
    <n v="18.662834"/>
  </r>
  <r>
    <s v="BATCH01395"/>
    <x v="3"/>
    <x v="0"/>
    <x v="1"/>
    <n v="481.85"/>
    <n v="10"/>
    <n v="38.25"/>
    <n v="1.8"/>
    <n v="0.3"/>
    <n v="29"/>
    <s v="C"/>
    <n v="5.9"/>
    <x v="2"/>
    <n v="55.78"/>
    <x v="0"/>
    <n v="6.11"/>
    <n v="14.51"/>
    <n v="2944.1035000000002"/>
    <n v="6991.6435000000001"/>
    <n v="4047.54"/>
    <n v="0.57891109579600275"/>
    <n v="28.429150000000003"/>
  </r>
  <r>
    <s v="BATCH01396"/>
    <x v="0"/>
    <x v="1"/>
    <x v="0"/>
    <n v="282.29000000000002"/>
    <n v="8.3800000000000008"/>
    <n v="35.61"/>
    <n v="3.1"/>
    <n v="0"/>
    <n v="12"/>
    <s v="B"/>
    <n v="5.19"/>
    <x v="1"/>
    <n v="77.91"/>
    <x v="2"/>
    <n v="9.3000000000000007"/>
    <n v="9.36"/>
    <n v="2625.2970000000005"/>
    <n v="2642.2343999999998"/>
    <n v="16.937399999999343"/>
    <n v="6.410256410256162E-3"/>
    <n v="14.650851000000003"/>
  </r>
  <r>
    <s v="BATCH01397"/>
    <x v="0"/>
    <x v="3"/>
    <x v="0"/>
    <n v="517.85"/>
    <n v="14.43"/>
    <n v="35.11"/>
    <n v="2.1"/>
    <n v="1.9"/>
    <n v="7"/>
    <s v="B"/>
    <n v="6.6"/>
    <x v="0"/>
    <n v="70.48"/>
    <x v="0"/>
    <n v="5.51"/>
    <n v="9.2899999999999991"/>
    <n v="2853.3535000000002"/>
    <n v="4810.8265000000001"/>
    <n v="1957.473"/>
    <n v="0.40688912809472549"/>
    <n v="34.178100000000001"/>
  </r>
  <r>
    <s v="BATCH01398"/>
    <x v="1"/>
    <x v="1"/>
    <x v="1"/>
    <n v="642.89"/>
    <n v="10.63"/>
    <n v="32.130000000000003"/>
    <n v="1.9"/>
    <n v="2"/>
    <n v="1"/>
    <s v="B"/>
    <n v="2.2200000000000002"/>
    <x v="0"/>
    <n v="89.75"/>
    <x v="1"/>
    <n v="6.36"/>
    <n v="11.78"/>
    <n v="4088.7804000000001"/>
    <n v="7573.2441999999992"/>
    <n v="3484.4637999999991"/>
    <n v="0.4601018675721561"/>
    <n v="14.272158000000001"/>
  </r>
  <r>
    <s v="BATCH01399"/>
    <x v="2"/>
    <x v="1"/>
    <x v="1"/>
    <n v="352.59"/>
    <n v="8.52"/>
    <n v="32.54"/>
    <n v="1.1000000000000001"/>
    <n v="0.9"/>
    <n v="1"/>
    <s v="C"/>
    <n v="5.64"/>
    <x v="2"/>
    <n v="52.23"/>
    <x v="2"/>
    <n v="9.33"/>
    <n v="12.68"/>
    <n v="3289.6646999999998"/>
    <n v="4470.8411999999998"/>
    <n v="1181.1765"/>
    <n v="0.26419558359621453"/>
    <n v="19.886075999999999"/>
  </r>
  <r>
    <s v="BATCH01400"/>
    <x v="0"/>
    <x v="1"/>
    <x v="0"/>
    <n v="441.41"/>
    <n v="10.31"/>
    <n v="32.76"/>
    <n v="1.3"/>
    <n v="0.9"/>
    <n v="20"/>
    <s v="A"/>
    <n v="4.78"/>
    <x v="1"/>
    <n v="70.540000000000006"/>
    <x v="1"/>
    <n v="8.6199999999999992"/>
    <n v="9.76"/>
    <n v="3804.9541999999997"/>
    <n v="4308.1616000000004"/>
    <n v="503.20740000000069"/>
    <n v="0.11680327868852473"/>
    <n v="21.099398000000001"/>
  </r>
  <r>
    <s v="BATCH01401"/>
    <x v="0"/>
    <x v="1"/>
    <x v="0"/>
    <n v="532.91"/>
    <n v="16.02"/>
    <n v="32.57"/>
    <n v="1.1000000000000001"/>
    <n v="1.7"/>
    <n v="23"/>
    <s v="A"/>
    <n v="4.88"/>
    <x v="2"/>
    <n v="65.91"/>
    <x v="1"/>
    <n v="4.7"/>
    <n v="7.14"/>
    <n v="2504.6770000000001"/>
    <n v="3804.9773999999998"/>
    <n v="1300.3003999999996"/>
    <n v="0.34173669467787104"/>
    <n v="26.006007999999998"/>
  </r>
  <r>
    <s v="BATCH01402"/>
    <x v="2"/>
    <x v="1"/>
    <x v="0"/>
    <n v="625.28"/>
    <n v="16.510000000000002"/>
    <n v="31.07"/>
    <n v="3.7"/>
    <n v="1.5"/>
    <n v="14"/>
    <s v="C"/>
    <n v="4.96"/>
    <x v="1"/>
    <n v="57.06"/>
    <x v="2"/>
    <n v="5.27"/>
    <n v="12.73"/>
    <n v="3295.2255999999998"/>
    <n v="7959.8144000000002"/>
    <n v="4664.5888000000004"/>
    <n v="0.58601728201099768"/>
    <n v="31.013887999999998"/>
  </r>
  <r>
    <s v="BATCH01403"/>
    <x v="3"/>
    <x v="1"/>
    <x v="0"/>
    <n v="455.18"/>
    <n v="12.83"/>
    <n v="39.729999999999997"/>
    <n v="0.5"/>
    <n v="2.2000000000000002"/>
    <n v="27"/>
    <s v="C"/>
    <n v="8.8699999999999992"/>
    <x v="1"/>
    <n v="68.94"/>
    <x v="0"/>
    <n v="5.47"/>
    <n v="8.1999999999999993"/>
    <n v="2489.8346000000001"/>
    <n v="3732.4759999999997"/>
    <n v="1242.6413999999995"/>
    <n v="0.33292682926829259"/>
    <n v="40.374465999999998"/>
  </r>
  <r>
    <s v="BATCH01404"/>
    <x v="3"/>
    <x v="3"/>
    <x v="1"/>
    <n v="430.77"/>
    <n v="12.16"/>
    <n v="34.65"/>
    <n v="0"/>
    <n v="0.8"/>
    <n v="15"/>
    <s v="A"/>
    <n v="8.2799999999999994"/>
    <x v="2"/>
    <n v="83.64"/>
    <x v="2"/>
    <n v="9.39"/>
    <n v="6.75"/>
    <n v="4044.9303"/>
    <n v="2907.6974999999998"/>
    <n v="-1137.2328000000002"/>
    <n v="-0.39111111111111124"/>
    <n v="35.667755999999997"/>
  </r>
  <r>
    <s v="BATCH01405"/>
    <x v="1"/>
    <x v="0"/>
    <x v="0"/>
    <n v="303.11"/>
    <n v="17.78"/>
    <n v="35.54"/>
    <n v="2.1"/>
    <n v="3.4"/>
    <n v="11"/>
    <s v="B"/>
    <n v="6.48"/>
    <x v="1"/>
    <n v="68.08"/>
    <x v="1"/>
    <n v="9.99"/>
    <n v="11.32"/>
    <n v="3028.0689000000002"/>
    <n v="3431.2052000000003"/>
    <n v="403.13630000000012"/>
    <n v="0.11749116607773855"/>
    <n v="19.641528000000005"/>
  </r>
  <r>
    <s v="BATCH01406"/>
    <x v="3"/>
    <x v="2"/>
    <x v="1"/>
    <n v="510.34"/>
    <n v="10.01"/>
    <n v="37.450000000000003"/>
    <n v="0.5"/>
    <n v="5.6"/>
    <n v="24"/>
    <s v="A"/>
    <n v="7.31"/>
    <x v="2"/>
    <n v="79"/>
    <x v="0"/>
    <n v="8.42"/>
    <n v="5.9"/>
    <n v="4297.0627999999997"/>
    <n v="3011.0059999999999"/>
    <n v="-1286.0567999999998"/>
    <n v="-0.42711864406779659"/>
    <n v="37.305853999999997"/>
  </r>
  <r>
    <s v="BATCH01407"/>
    <x v="2"/>
    <x v="1"/>
    <x v="0"/>
    <n v="704.21"/>
    <n v="10.15"/>
    <n v="24.31"/>
    <n v="4.4000000000000004"/>
    <n v="0.1"/>
    <n v="26"/>
    <s v="C"/>
    <n v="0.91"/>
    <x v="1"/>
    <n v="79.64"/>
    <x v="2"/>
    <n v="6.39"/>
    <n v="14.71"/>
    <n v="4499.9018999999998"/>
    <n v="10358.929100000001"/>
    <n v="5859.0272000000014"/>
    <n v="0.565601631543168"/>
    <n v="6.4083110000000012"/>
  </r>
  <r>
    <s v="BATCH01408"/>
    <x v="0"/>
    <x v="2"/>
    <x v="1"/>
    <n v="527.74"/>
    <n v="10.92"/>
    <n v="21.68"/>
    <n v="3.9"/>
    <n v="1.9"/>
    <n v="9"/>
    <s v="A"/>
    <n v="7.57"/>
    <x v="0"/>
    <n v="79.36"/>
    <x v="1"/>
    <n v="3.07"/>
    <n v="11.32"/>
    <n v="1620.1617999999999"/>
    <n v="5974.0168000000003"/>
    <n v="4353.8550000000005"/>
    <n v="0.72879858657243823"/>
    <n v="39.949918000000004"/>
  </r>
  <r>
    <s v="BATCH01409"/>
    <x v="3"/>
    <x v="3"/>
    <x v="1"/>
    <n v="497.77"/>
    <n v="9.73"/>
    <n v="29.66"/>
    <n v="0.2"/>
    <n v="0.7"/>
    <n v="17"/>
    <s v="A"/>
    <n v="5.12"/>
    <x v="2"/>
    <n v="76.48"/>
    <x v="0"/>
    <n v="7.88"/>
    <n v="14.86"/>
    <n v="3922.4276"/>
    <n v="7396.8621999999996"/>
    <n v="3474.4345999999996"/>
    <n v="0.46971736204576042"/>
    <n v="25.485823999999997"/>
  </r>
  <r>
    <s v="BATCH01410"/>
    <x v="1"/>
    <x v="1"/>
    <x v="0"/>
    <n v="532.21"/>
    <n v="11.79"/>
    <n v="30.28"/>
    <n v="0.2"/>
    <n v="0.5"/>
    <n v="4"/>
    <s v="A"/>
    <n v="3.52"/>
    <x v="1"/>
    <n v="55.85"/>
    <x v="1"/>
    <n v="5.73"/>
    <n v="8.39"/>
    <n v="3049.5633000000003"/>
    <n v="4465.2419000000009"/>
    <n v="1415.6786000000006"/>
    <n v="0.3170441001191896"/>
    <n v="18.733792000000001"/>
  </r>
  <r>
    <s v="BATCH01411"/>
    <x v="3"/>
    <x v="0"/>
    <x v="1"/>
    <n v="498.89"/>
    <n v="17.11"/>
    <n v="36.58"/>
    <n v="1.4"/>
    <n v="0.9"/>
    <n v="20"/>
    <s v="C"/>
    <n v="1.83"/>
    <x v="0"/>
    <n v="60.92"/>
    <x v="0"/>
    <n v="7.43"/>
    <n v="14.71"/>
    <n v="3706.7526999999995"/>
    <n v="7338.6719000000003"/>
    <n v="3631.9192000000007"/>
    <n v="0.494901427600272"/>
    <n v="9.1296870000000006"/>
  </r>
  <r>
    <s v="BATCH01412"/>
    <x v="2"/>
    <x v="2"/>
    <x v="0"/>
    <n v="418.7"/>
    <n v="14.15"/>
    <n v="28.88"/>
    <n v="1.9"/>
    <n v="0.1"/>
    <n v="19"/>
    <s v="C"/>
    <n v="1.21"/>
    <x v="0"/>
    <n v="90"/>
    <x v="0"/>
    <n v="7.25"/>
    <n v="6.46"/>
    <n v="3035.5749999999998"/>
    <n v="2704.8020000000001"/>
    <n v="-330.77299999999968"/>
    <n v="-0.1222910216718265"/>
    <n v="5.0662699999999994"/>
  </r>
  <r>
    <s v="BATCH01413"/>
    <x v="1"/>
    <x v="1"/>
    <x v="1"/>
    <n v="582.33000000000004"/>
    <n v="12.12"/>
    <n v="31.42"/>
    <n v="0.6"/>
    <n v="0.7"/>
    <n v="7"/>
    <s v="A"/>
    <n v="0.93"/>
    <x v="0"/>
    <n v="75.12"/>
    <x v="2"/>
    <n v="6.37"/>
    <n v="5.41"/>
    <n v="3709.4421000000002"/>
    <n v="3150.4053000000004"/>
    <n v="-559.03679999999986"/>
    <n v="-0.17744916820702397"/>
    <n v="5.4156690000000003"/>
  </r>
  <r>
    <s v="BATCH01414"/>
    <x v="3"/>
    <x v="3"/>
    <x v="0"/>
    <n v="522.58000000000004"/>
    <n v="17.34"/>
    <n v="30.54"/>
    <n v="2.5"/>
    <n v="2"/>
    <n v="1"/>
    <s v="A"/>
    <n v="2.04"/>
    <x v="0"/>
    <n v="85.3"/>
    <x v="0"/>
    <n v="9.61"/>
    <n v="5.33"/>
    <n v="5021.9938000000002"/>
    <n v="2785.3514000000005"/>
    <n v="-2236.6423999999997"/>
    <n v="-0.80300187617260765"/>
    <n v="10.660632"/>
  </r>
  <r>
    <s v="BATCH01415"/>
    <x v="1"/>
    <x v="0"/>
    <x v="1"/>
    <n v="501.76"/>
    <n v="8.48"/>
    <n v="20.76"/>
    <n v="1.8"/>
    <n v="0.2"/>
    <n v="9"/>
    <s v="B"/>
    <n v="0.79"/>
    <x v="2"/>
    <n v="78.5"/>
    <x v="1"/>
    <n v="3.16"/>
    <n v="9.65"/>
    <n v="1585.5616"/>
    <n v="4841.9840000000004"/>
    <n v="3256.4224000000004"/>
    <n v="0.67253886010362696"/>
    <n v="3.9639039999999999"/>
  </r>
  <r>
    <s v="BATCH01416"/>
    <x v="2"/>
    <x v="2"/>
    <x v="0"/>
    <n v="402.46"/>
    <n v="10.1"/>
    <n v="32.299999999999997"/>
    <n v="0.8"/>
    <n v="0.6"/>
    <n v="13"/>
    <s v="B"/>
    <n v="7.46"/>
    <x v="1"/>
    <n v="51.93"/>
    <x v="0"/>
    <n v="7.98"/>
    <n v="5.83"/>
    <n v="3211.6307999999999"/>
    <n v="2346.3417999999997"/>
    <n v="-865.28900000000021"/>
    <n v="-0.36878216123499158"/>
    <n v="30.023516000000001"/>
  </r>
  <r>
    <s v="BATCH01417"/>
    <x v="0"/>
    <x v="2"/>
    <x v="0"/>
    <n v="630.35"/>
    <n v="13.66"/>
    <n v="36.56"/>
    <n v="0.1"/>
    <n v="2.8"/>
    <n v="24"/>
    <s v="A"/>
    <n v="2.86"/>
    <x v="0"/>
    <n v="89.81"/>
    <x v="1"/>
    <n v="5.87"/>
    <n v="10.119999999999999"/>
    <n v="3700.1545000000001"/>
    <n v="6379.1419999999998"/>
    <n v="2678.9874999999997"/>
    <n v="0.41996047430830036"/>
    <n v="18.028009999999998"/>
  </r>
  <r>
    <s v="BATCH01418"/>
    <x v="2"/>
    <x v="1"/>
    <x v="1"/>
    <n v="566.47"/>
    <n v="14.16"/>
    <n v="23.15"/>
    <n v="2.8"/>
    <n v="0.6"/>
    <n v="2"/>
    <s v="C"/>
    <n v="4"/>
    <x v="1"/>
    <n v="53.22"/>
    <x v="0"/>
    <n v="8"/>
    <n v="8.2799999999999994"/>
    <n v="4531.76"/>
    <n v="4690.3715999999995"/>
    <n v="158.61159999999927"/>
    <n v="3.3816425120772792E-2"/>
    <n v="22.658799999999999"/>
  </r>
  <r>
    <s v="BATCH01419"/>
    <x v="2"/>
    <x v="0"/>
    <x v="1"/>
    <n v="444.71"/>
    <n v="8.4"/>
    <n v="31.89"/>
    <n v="0.5"/>
    <n v="0.4"/>
    <n v="2"/>
    <s v="B"/>
    <n v="8.32"/>
    <x v="1"/>
    <n v="97.16"/>
    <x v="0"/>
    <n v="7.73"/>
    <n v="8.36"/>
    <n v="3437.6082999999999"/>
    <n v="3717.7755999999995"/>
    <n v="280.16729999999961"/>
    <n v="7.5358851674641056E-2"/>
    <n v="36.999872000000003"/>
  </r>
  <r>
    <s v="BATCH01420"/>
    <x v="2"/>
    <x v="0"/>
    <x v="1"/>
    <n v="600.17999999999995"/>
    <n v="12.03"/>
    <n v="31.87"/>
    <n v="3.6"/>
    <n v="0.6"/>
    <n v="24"/>
    <s v="A"/>
    <n v="1.59"/>
    <x v="1"/>
    <n v="60.77"/>
    <x v="2"/>
    <n v="3.07"/>
    <n v="11.36"/>
    <n v="1842.5525999999998"/>
    <n v="6818.0447999999988"/>
    <n v="4975.4921999999988"/>
    <n v="0.72975352112676051"/>
    <n v="9.5428619999999995"/>
  </r>
  <r>
    <s v="BATCH01421"/>
    <x v="2"/>
    <x v="0"/>
    <x v="1"/>
    <n v="450.24"/>
    <n v="14.49"/>
    <n v="23.28"/>
    <n v="1.1000000000000001"/>
    <n v="0.7"/>
    <n v="27"/>
    <s v="B"/>
    <n v="8.44"/>
    <x v="2"/>
    <n v="75.62"/>
    <x v="0"/>
    <n v="5"/>
    <n v="6.63"/>
    <n v="2251.1999999999998"/>
    <n v="2985.0911999999998"/>
    <n v="733.89120000000003"/>
    <n v="0.24585218702865763"/>
    <n v="38.000256"/>
  </r>
  <r>
    <s v="BATCH01422"/>
    <x v="0"/>
    <x v="0"/>
    <x v="0"/>
    <n v="421.8"/>
    <n v="14.98"/>
    <n v="22.47"/>
    <n v="1.7"/>
    <n v="1"/>
    <n v="15"/>
    <s v="B"/>
    <n v="6.58"/>
    <x v="2"/>
    <n v="53.18"/>
    <x v="0"/>
    <n v="4.32"/>
    <n v="12.67"/>
    <n v="1822.1760000000002"/>
    <n v="5344.2060000000001"/>
    <n v="3522.0299999999997"/>
    <n v="0.65903709550118383"/>
    <n v="27.754439999999999"/>
  </r>
  <r>
    <s v="BATCH01423"/>
    <x v="0"/>
    <x v="3"/>
    <x v="1"/>
    <n v="424.03"/>
    <n v="14.38"/>
    <n v="39.6"/>
    <n v="4.0999999999999996"/>
    <n v="1.6"/>
    <n v="17"/>
    <s v="B"/>
    <n v="3.75"/>
    <x v="0"/>
    <n v="94.75"/>
    <x v="1"/>
    <n v="4.17"/>
    <n v="10.82"/>
    <n v="1768.2050999999999"/>
    <n v="4588.0046000000002"/>
    <n v="2819.7995000000001"/>
    <n v="0.61460258780036969"/>
    <n v="15.901125"/>
  </r>
  <r>
    <s v="BATCH01424"/>
    <x v="1"/>
    <x v="0"/>
    <x v="0"/>
    <n v="322.89"/>
    <n v="11.21"/>
    <n v="27.87"/>
    <n v="4"/>
    <n v="0.6"/>
    <n v="13"/>
    <s v="C"/>
    <n v="1.62"/>
    <x v="1"/>
    <n v="99"/>
    <x v="1"/>
    <n v="8.1"/>
    <n v="14.15"/>
    <n v="2615.4089999999997"/>
    <n v="4568.8935000000001"/>
    <n v="1953.4845000000005"/>
    <n v="0.42756183745583048"/>
    <n v="5.2308180000000002"/>
  </r>
  <r>
    <s v="BATCH01425"/>
    <x v="3"/>
    <x v="2"/>
    <x v="1"/>
    <n v="547.15"/>
    <n v="8.94"/>
    <n v="24.55"/>
    <n v="0.9"/>
    <n v="1.7"/>
    <n v="7"/>
    <s v="A"/>
    <n v="1.37"/>
    <x v="2"/>
    <n v="57.31"/>
    <x v="1"/>
    <n v="4.68"/>
    <n v="8.65"/>
    <n v="2560.6619999999998"/>
    <n v="4732.8474999999999"/>
    <n v="2172.1855"/>
    <n v="0.45895953757225438"/>
    <n v="7.4959550000000004"/>
  </r>
  <r>
    <s v="BATCH01426"/>
    <x v="0"/>
    <x v="2"/>
    <x v="0"/>
    <n v="316.89"/>
    <n v="12.27"/>
    <n v="23.43"/>
    <n v="0.5"/>
    <n v="0.8"/>
    <n v="9"/>
    <s v="C"/>
    <n v="3.69"/>
    <x v="2"/>
    <n v="64.790000000000006"/>
    <x v="0"/>
    <n v="6.32"/>
    <n v="14.83"/>
    <n v="2002.7447999999999"/>
    <n v="4699.4786999999997"/>
    <n v="2696.7338999999997"/>
    <n v="0.57383681726230606"/>
    <n v="11.693241"/>
  </r>
  <r>
    <s v="BATCH01427"/>
    <x v="0"/>
    <x v="3"/>
    <x v="0"/>
    <n v="377.16"/>
    <n v="9.2899999999999991"/>
    <n v="33.35"/>
    <n v="3"/>
    <n v="0.4"/>
    <n v="12"/>
    <s v="C"/>
    <n v="1.83"/>
    <x v="2"/>
    <n v="50.79"/>
    <x v="1"/>
    <n v="4.7300000000000004"/>
    <n v="10.76"/>
    <n v="1783.9668000000004"/>
    <n v="4058.2416000000003"/>
    <n v="2274.2748000000001"/>
    <n v="0.56040892193308545"/>
    <n v="6.9020280000000005"/>
  </r>
  <r>
    <s v="BATCH01428"/>
    <x v="3"/>
    <x v="2"/>
    <x v="0"/>
    <n v="292.44"/>
    <n v="17.48"/>
    <n v="32.19"/>
    <n v="1.1000000000000001"/>
    <n v="1.1000000000000001"/>
    <n v="3"/>
    <s v="B"/>
    <n v="3.04"/>
    <x v="0"/>
    <n v="89.35"/>
    <x v="1"/>
    <n v="7.06"/>
    <n v="14.73"/>
    <n v="2064.6263999999996"/>
    <n v="4307.6412"/>
    <n v="2243.0148000000004"/>
    <n v="0.52070604209097093"/>
    <n v="8.8901760000000003"/>
  </r>
  <r>
    <s v="BATCH01429"/>
    <x v="0"/>
    <x v="2"/>
    <x v="0"/>
    <n v="491.39"/>
    <n v="12.75"/>
    <n v="32.869999999999997"/>
    <n v="0.4"/>
    <n v="1.3"/>
    <n v="23"/>
    <s v="A"/>
    <n v="1"/>
    <x v="2"/>
    <n v="65.569999999999993"/>
    <x v="0"/>
    <n v="8.0399999999999991"/>
    <n v="5.27"/>
    <n v="3950.7755999999995"/>
    <n v="2589.6252999999997"/>
    <n v="-1361.1502999999998"/>
    <n v="-0.52561669829222013"/>
    <n v="4.9138999999999999"/>
  </r>
  <r>
    <s v="BATCH01430"/>
    <x v="2"/>
    <x v="0"/>
    <x v="1"/>
    <n v="484.97"/>
    <n v="11.17"/>
    <n v="21.76"/>
    <n v="4.7"/>
    <n v="0.8"/>
    <n v="22"/>
    <s v="B"/>
    <n v="6.15"/>
    <x v="1"/>
    <n v="79.44"/>
    <x v="1"/>
    <n v="5.32"/>
    <n v="12.28"/>
    <n v="2580.0404000000003"/>
    <n v="5955.4315999999999"/>
    <n v="3375.3911999999996"/>
    <n v="0.56677524429967419"/>
    <n v="29.825655000000001"/>
  </r>
  <r>
    <s v="BATCH01431"/>
    <x v="2"/>
    <x v="2"/>
    <x v="1"/>
    <n v="467.33"/>
    <n v="15.66"/>
    <n v="37.869999999999997"/>
    <n v="0.4"/>
    <n v="0.1"/>
    <n v="15"/>
    <s v="C"/>
    <n v="1.88"/>
    <x v="2"/>
    <n v="51.96"/>
    <x v="2"/>
    <n v="7.22"/>
    <n v="13.17"/>
    <n v="3374.1225999999997"/>
    <n v="6154.7361000000001"/>
    <n v="2780.6135000000004"/>
    <n v="0.45178435839028097"/>
    <n v="8.7858039999999988"/>
  </r>
  <r>
    <s v="BATCH01432"/>
    <x v="3"/>
    <x v="3"/>
    <x v="0"/>
    <n v="395.74"/>
    <n v="12.98"/>
    <n v="27.79"/>
    <n v="0.1"/>
    <n v="0.2"/>
    <n v="7"/>
    <s v="C"/>
    <n v="7.69"/>
    <x v="2"/>
    <n v="85.77"/>
    <x v="2"/>
    <n v="8.77"/>
    <n v="5.53"/>
    <n v="3470.6397999999999"/>
    <n v="2188.4422"/>
    <n v="-1282.1976"/>
    <n v="-0.58589511754068713"/>
    <n v="30.432406"/>
  </r>
  <r>
    <s v="BATCH01433"/>
    <x v="1"/>
    <x v="0"/>
    <x v="1"/>
    <n v="382.78"/>
    <n v="11.1"/>
    <n v="26.27"/>
    <n v="0"/>
    <n v="0.3"/>
    <n v="23"/>
    <s v="A"/>
    <n v="2.57"/>
    <x v="0"/>
    <n v="76.47"/>
    <x v="1"/>
    <n v="3.66"/>
    <n v="10.79"/>
    <n v="1400.9748"/>
    <n v="4130.1961999999994"/>
    <n v="2729.2213999999994"/>
    <n v="0.66079703429101011"/>
    <n v="9.8374459999999981"/>
  </r>
  <r>
    <s v="BATCH01434"/>
    <x v="1"/>
    <x v="1"/>
    <x v="1"/>
    <n v="546.44000000000005"/>
    <n v="16.12"/>
    <n v="29.25"/>
    <n v="1.9"/>
    <n v="0.3"/>
    <n v="26"/>
    <s v="C"/>
    <n v="8.08"/>
    <x v="1"/>
    <n v="86.25"/>
    <x v="1"/>
    <n v="7.97"/>
    <n v="13.02"/>
    <n v="4355.1268"/>
    <n v="7114.6488000000008"/>
    <n v="2759.5220000000008"/>
    <n v="0.38786482334869438"/>
    <n v="44.152352"/>
  </r>
  <r>
    <s v="BATCH01435"/>
    <x v="3"/>
    <x v="0"/>
    <x v="0"/>
    <n v="444.94"/>
    <n v="16.670000000000002"/>
    <n v="27.8"/>
    <n v="2.2000000000000002"/>
    <n v="1.1000000000000001"/>
    <n v="1"/>
    <s v="C"/>
    <n v="2.2999999999999998"/>
    <x v="2"/>
    <n v="89.48"/>
    <x v="1"/>
    <n v="5.26"/>
    <n v="10.61"/>
    <n v="2340.3843999999999"/>
    <n v="4720.8134"/>
    <n v="2380.4290000000001"/>
    <n v="0.50424128180961358"/>
    <n v="10.23362"/>
  </r>
  <r>
    <s v="BATCH01436"/>
    <x v="3"/>
    <x v="3"/>
    <x v="1"/>
    <n v="531.64"/>
    <n v="14.73"/>
    <n v="37.270000000000003"/>
    <n v="0.7"/>
    <n v="0"/>
    <n v="14"/>
    <s v="A"/>
    <n v="7.35"/>
    <x v="1"/>
    <n v="54.46"/>
    <x v="0"/>
    <n v="3.86"/>
    <n v="5.64"/>
    <n v="2052.1304"/>
    <n v="2998.4495999999999"/>
    <n v="946.31919999999991"/>
    <n v="0.31560283687943258"/>
    <n v="39.075539999999997"/>
  </r>
  <r>
    <s v="BATCH01437"/>
    <x v="2"/>
    <x v="0"/>
    <x v="1"/>
    <n v="411.48"/>
    <n v="8.4700000000000006"/>
    <n v="38.590000000000003"/>
    <n v="0.8"/>
    <n v="1.4"/>
    <n v="19"/>
    <s v="B"/>
    <n v="3.66"/>
    <x v="1"/>
    <n v="78.900000000000006"/>
    <x v="2"/>
    <n v="6.82"/>
    <n v="11.93"/>
    <n v="2806.2936000000004"/>
    <n v="4908.9564"/>
    <n v="2102.6627999999996"/>
    <n v="0.42833193629505439"/>
    <n v="15.060168000000001"/>
  </r>
  <r>
    <s v="BATCH01438"/>
    <x v="1"/>
    <x v="0"/>
    <x v="1"/>
    <n v="518.11"/>
    <n v="13.66"/>
    <n v="26.07"/>
    <n v="0.8"/>
    <n v="0.3"/>
    <n v="16"/>
    <s v="A"/>
    <n v="6.04"/>
    <x v="2"/>
    <n v="82.5"/>
    <x v="2"/>
    <n v="4.58"/>
    <n v="5.61"/>
    <n v="2372.9438"/>
    <n v="2906.5971000000004"/>
    <n v="533.6533000000004"/>
    <n v="0.18360071301247782"/>
    <n v="31.293844"/>
  </r>
  <r>
    <s v="BATCH01439"/>
    <x v="0"/>
    <x v="3"/>
    <x v="0"/>
    <n v="630.33000000000004"/>
    <n v="15.63"/>
    <n v="37.28"/>
    <n v="2.2999999999999998"/>
    <n v="0.4"/>
    <n v="10"/>
    <s v="C"/>
    <n v="0.87"/>
    <x v="0"/>
    <n v="75.84"/>
    <x v="1"/>
    <n v="8.75"/>
    <n v="13.17"/>
    <n v="5515.3875000000007"/>
    <n v="8301.446100000001"/>
    <n v="2786.0586000000003"/>
    <n v="0.33561123766135154"/>
    <n v="5.4838710000000006"/>
  </r>
  <r>
    <s v="BATCH01440"/>
    <x v="2"/>
    <x v="0"/>
    <x v="1"/>
    <n v="558.62"/>
    <n v="9.3699999999999992"/>
    <n v="35.630000000000003"/>
    <n v="0.1"/>
    <n v="0.8"/>
    <n v="1"/>
    <s v="A"/>
    <n v="5.2"/>
    <x v="1"/>
    <n v="59.12"/>
    <x v="1"/>
    <n v="3.3"/>
    <n v="5.43"/>
    <n v="1843.4459999999999"/>
    <n v="3033.3065999999999"/>
    <n v="1189.8606"/>
    <n v="0.39226519337016574"/>
    <n v="29.04824"/>
  </r>
  <r>
    <s v="BATCH01441"/>
    <x v="3"/>
    <x v="3"/>
    <x v="0"/>
    <n v="458.76"/>
    <n v="10.29"/>
    <n v="38.619999999999997"/>
    <n v="5.3"/>
    <n v="0.2"/>
    <n v="5"/>
    <s v="B"/>
    <n v="1.91"/>
    <x v="2"/>
    <n v="89.78"/>
    <x v="0"/>
    <n v="3.69"/>
    <n v="6.37"/>
    <n v="1692.8244"/>
    <n v="2922.3011999999999"/>
    <n v="1229.4767999999999"/>
    <n v="0.42072213500784927"/>
    <n v="8.7623160000000002"/>
  </r>
  <r>
    <s v="BATCH01442"/>
    <x v="1"/>
    <x v="3"/>
    <x v="1"/>
    <n v="525.72"/>
    <n v="16.82"/>
    <n v="24.92"/>
    <n v="0.5"/>
    <n v="2.2000000000000002"/>
    <n v="3"/>
    <s v="C"/>
    <n v="5.12"/>
    <x v="1"/>
    <n v="99.87"/>
    <x v="0"/>
    <n v="6.65"/>
    <n v="7.75"/>
    <n v="3496.0380000000005"/>
    <n v="4074.3300000000004"/>
    <n v="578.29199999999992"/>
    <n v="0.14193548387096772"/>
    <n v="26.916864"/>
  </r>
  <r>
    <s v="BATCH01443"/>
    <x v="0"/>
    <x v="1"/>
    <x v="1"/>
    <n v="475.93"/>
    <n v="8.1999999999999993"/>
    <n v="31.54"/>
    <n v="16.100000000000001"/>
    <n v="0.1"/>
    <n v="17"/>
    <s v="B"/>
    <n v="1.84"/>
    <x v="1"/>
    <n v="98.46"/>
    <x v="2"/>
    <n v="7.12"/>
    <n v="11.33"/>
    <n v="3388.6215999999999"/>
    <n v="5392.2869000000001"/>
    <n v="2003.6653000000001"/>
    <n v="0.37157987643424539"/>
    <n v="8.7571120000000011"/>
  </r>
  <r>
    <s v="BATCH01444"/>
    <x v="0"/>
    <x v="2"/>
    <x v="1"/>
    <n v="500.79"/>
    <n v="15.53"/>
    <n v="25.49"/>
    <n v="0.4"/>
    <n v="0.6"/>
    <n v="18"/>
    <s v="B"/>
    <n v="4.6500000000000004"/>
    <x v="1"/>
    <n v="88.88"/>
    <x v="0"/>
    <n v="8.11"/>
    <n v="14.76"/>
    <n v="4061.4069"/>
    <n v="7391.6603999999998"/>
    <n v="3330.2534999999998"/>
    <n v="0.45054200542005418"/>
    <n v="23.286735000000004"/>
  </r>
  <r>
    <s v="BATCH01445"/>
    <x v="2"/>
    <x v="2"/>
    <x v="0"/>
    <n v="467.44"/>
    <n v="12.74"/>
    <n v="36.479999999999997"/>
    <n v="3"/>
    <n v="1.9"/>
    <n v="26"/>
    <s v="A"/>
    <n v="1.55"/>
    <x v="2"/>
    <n v="70.91"/>
    <x v="2"/>
    <n v="4.8099999999999996"/>
    <n v="6.18"/>
    <n v="2248.3863999999999"/>
    <n v="2888.7791999999999"/>
    <n v="640.39280000000008"/>
    <n v="0.22168284789644016"/>
    <n v="7.2453200000000004"/>
  </r>
  <r>
    <s v="BATCH01446"/>
    <x v="1"/>
    <x v="0"/>
    <x v="0"/>
    <n v="483.57"/>
    <n v="12.47"/>
    <n v="20.11"/>
    <n v="0.5"/>
    <n v="1"/>
    <n v="21"/>
    <s v="B"/>
    <n v="2.59"/>
    <x v="1"/>
    <n v="66.87"/>
    <x v="1"/>
    <n v="8.89"/>
    <n v="6.43"/>
    <n v="4298.9373000000005"/>
    <n v="3109.3550999999998"/>
    <n v="-1189.5822000000007"/>
    <n v="-0.38258164852255083"/>
    <n v="12.524462999999999"/>
  </r>
  <r>
    <s v="BATCH01447"/>
    <x v="1"/>
    <x v="0"/>
    <x v="1"/>
    <n v="521.21"/>
    <n v="8.07"/>
    <n v="31.3"/>
    <n v="0.2"/>
    <n v="0.3"/>
    <n v="27"/>
    <s v="A"/>
    <n v="6.15"/>
    <x v="1"/>
    <n v="53.43"/>
    <x v="1"/>
    <n v="9.67"/>
    <n v="8.69"/>
    <n v="5040.1007"/>
    <n v="4529.3149000000003"/>
    <n v="-510.78579999999965"/>
    <n v="-0.11277330264672028"/>
    <n v="32.054415000000006"/>
  </r>
  <r>
    <s v="BATCH01448"/>
    <x v="3"/>
    <x v="1"/>
    <x v="0"/>
    <n v="400.66"/>
    <n v="16.190000000000001"/>
    <n v="26.78"/>
    <n v="4.2"/>
    <n v="0.5"/>
    <n v="19"/>
    <s v="A"/>
    <n v="9.7799999999999994"/>
    <x v="0"/>
    <n v="70.81"/>
    <x v="2"/>
    <n v="6.49"/>
    <n v="13.36"/>
    <n v="2600.2834000000003"/>
    <n v="5352.8176000000003"/>
    <n v="2752.5342000000001"/>
    <n v="0.5142215568862275"/>
    <n v="39.184547999999999"/>
  </r>
  <r>
    <s v="BATCH01449"/>
    <x v="1"/>
    <x v="1"/>
    <x v="1"/>
    <n v="398.41"/>
    <n v="11.6"/>
    <n v="26.45"/>
    <n v="3.9"/>
    <n v="1.2"/>
    <n v="22"/>
    <s v="B"/>
    <n v="4.7699999999999996"/>
    <x v="2"/>
    <n v="57.8"/>
    <x v="1"/>
    <n v="8.32"/>
    <n v="9.67"/>
    <n v="3314.7712000000001"/>
    <n v="3852.6247000000003"/>
    <n v="537.85350000000017"/>
    <n v="0.13960703205791108"/>
    <n v="19.004156999999999"/>
  </r>
  <r>
    <s v="BATCH01450"/>
    <x v="1"/>
    <x v="1"/>
    <x v="0"/>
    <n v="361.15"/>
    <n v="13.41"/>
    <n v="32.9"/>
    <n v="1"/>
    <n v="3.6"/>
    <n v="25"/>
    <s v="A"/>
    <n v="7.03"/>
    <x v="2"/>
    <n v="62.72"/>
    <x v="0"/>
    <n v="6.67"/>
    <n v="8.2200000000000006"/>
    <n v="2408.8705"/>
    <n v="2968.6530000000002"/>
    <n v="559.78250000000025"/>
    <n v="0.18856447688564484"/>
    <n v="25.388845"/>
  </r>
  <r>
    <s v="BATCH01451"/>
    <x v="2"/>
    <x v="3"/>
    <x v="0"/>
    <n v="339.97"/>
    <n v="14.77"/>
    <n v="37.03"/>
    <n v="2.4"/>
    <n v="2.2000000000000002"/>
    <n v="22"/>
    <s v="A"/>
    <n v="5.62"/>
    <x v="1"/>
    <n v="94.59"/>
    <x v="1"/>
    <n v="3.49"/>
    <n v="10.61"/>
    <n v="1186.4953000000003"/>
    <n v="3607.0817000000002"/>
    <n v="2420.5864000000001"/>
    <n v="0.67106503298774745"/>
    <n v="19.106314000000001"/>
  </r>
  <r>
    <s v="BATCH01452"/>
    <x v="1"/>
    <x v="1"/>
    <x v="1"/>
    <n v="378.27"/>
    <n v="15.03"/>
    <n v="32.18"/>
    <n v="1.6"/>
    <n v="0.4"/>
    <n v="18"/>
    <s v="B"/>
    <n v="5.23"/>
    <x v="0"/>
    <n v="98.43"/>
    <x v="1"/>
    <n v="5.28"/>
    <n v="7.61"/>
    <n v="1997.2655999999999"/>
    <n v="2878.6347000000001"/>
    <n v="881.36910000000012"/>
    <n v="0.30617608409986863"/>
    <n v="19.783521"/>
  </r>
  <r>
    <s v="BATCH01453"/>
    <x v="0"/>
    <x v="1"/>
    <x v="1"/>
    <n v="515.95000000000005"/>
    <n v="17.559999999999999"/>
    <n v="37.06"/>
    <n v="3.8"/>
    <n v="6.3"/>
    <n v="16"/>
    <s v="C"/>
    <n v="1.1100000000000001"/>
    <x v="1"/>
    <n v="97.43"/>
    <x v="2"/>
    <n v="3.61"/>
    <n v="9.01"/>
    <n v="1862.5795000000001"/>
    <n v="4648.7094999999999"/>
    <n v="2786.13"/>
    <n v="0.59933407325194232"/>
    <n v="5.7270450000000004"/>
  </r>
  <r>
    <s v="BATCH01454"/>
    <x v="2"/>
    <x v="0"/>
    <x v="1"/>
    <n v="410.72"/>
    <n v="13.31"/>
    <n v="25.29"/>
    <n v="0.8"/>
    <n v="0"/>
    <n v="2"/>
    <s v="A"/>
    <n v="1.87"/>
    <x v="1"/>
    <n v="59.67"/>
    <x v="0"/>
    <n v="9.92"/>
    <n v="8.33"/>
    <n v="4074.3424000000005"/>
    <n v="3421.2976000000003"/>
    <n v="-653.04480000000012"/>
    <n v="-0.19087635054021609"/>
    <n v="7.6804640000000006"/>
  </r>
  <r>
    <s v="BATCH01455"/>
    <x v="2"/>
    <x v="1"/>
    <x v="1"/>
    <n v="551.36"/>
    <n v="12"/>
    <n v="30.39"/>
    <n v="1.5"/>
    <n v="0"/>
    <n v="15"/>
    <s v="A"/>
    <n v="8.89"/>
    <x v="2"/>
    <n v="95.04"/>
    <x v="0"/>
    <n v="4.5999999999999996"/>
    <n v="13.04"/>
    <n v="2536.2559999999999"/>
    <n v="7189.7343999999994"/>
    <n v="4653.4784"/>
    <n v="0.64723926380368102"/>
    <n v="49.015903999999999"/>
  </r>
  <r>
    <s v="BATCH01456"/>
    <x v="3"/>
    <x v="3"/>
    <x v="0"/>
    <n v="503.47"/>
    <n v="17.54"/>
    <n v="29.01"/>
    <n v="1.3"/>
    <n v="1.7"/>
    <n v="13"/>
    <s v="B"/>
    <n v="4.4000000000000004"/>
    <x v="0"/>
    <n v="57.08"/>
    <x v="1"/>
    <n v="7.45"/>
    <n v="14.24"/>
    <n v="3750.8515000000002"/>
    <n v="7169.4128000000001"/>
    <n v="3418.5612999999998"/>
    <n v="0.4768258426966292"/>
    <n v="22.152680000000004"/>
  </r>
  <r>
    <s v="BATCH01457"/>
    <x v="1"/>
    <x v="3"/>
    <x v="0"/>
    <n v="303.14999999999998"/>
    <n v="14.42"/>
    <n v="20.23"/>
    <n v="0.9"/>
    <n v="0.2"/>
    <n v="13"/>
    <s v="A"/>
    <n v="6.34"/>
    <x v="1"/>
    <n v="75.38"/>
    <x v="1"/>
    <n v="4.99"/>
    <n v="12.6"/>
    <n v="1512.7184999999999"/>
    <n v="3819.6899999999996"/>
    <n v="2306.9714999999997"/>
    <n v="0.60396825396825393"/>
    <n v="19.219709999999999"/>
  </r>
  <r>
    <s v="BATCH01458"/>
    <x v="3"/>
    <x v="0"/>
    <x v="0"/>
    <n v="565.5"/>
    <n v="10.98"/>
    <n v="31.14"/>
    <n v="4.4000000000000004"/>
    <n v="0.1"/>
    <n v="16"/>
    <s v="B"/>
    <n v="5.52"/>
    <x v="2"/>
    <n v="82.18"/>
    <x v="0"/>
    <n v="7.57"/>
    <n v="9.39"/>
    <n v="4280.835"/>
    <n v="5310.0450000000001"/>
    <n v="1029.21"/>
    <n v="0.19382321618743345"/>
    <n v="31.215599999999998"/>
  </r>
  <r>
    <s v="BATCH01459"/>
    <x v="0"/>
    <x v="1"/>
    <x v="1"/>
    <n v="581.08000000000004"/>
    <n v="9.26"/>
    <n v="33.229999999999997"/>
    <n v="0.4"/>
    <n v="0.3"/>
    <n v="8"/>
    <s v="C"/>
    <n v="4.0999999999999996"/>
    <x v="1"/>
    <n v="73.12"/>
    <x v="0"/>
    <n v="4.47"/>
    <n v="10.039999999999999"/>
    <n v="2597.4276"/>
    <n v="5834.0432000000001"/>
    <n v="3236.6156000000001"/>
    <n v="0.55478087649402397"/>
    <n v="23.824279999999998"/>
  </r>
  <r>
    <s v="BATCH01460"/>
    <x v="2"/>
    <x v="1"/>
    <x v="1"/>
    <n v="400.61"/>
    <n v="16.43"/>
    <n v="31.84"/>
    <n v="0.3"/>
    <n v="0.6"/>
    <n v="11"/>
    <s v="C"/>
    <n v="4.18"/>
    <x v="1"/>
    <n v="97.59"/>
    <x v="2"/>
    <n v="8.5"/>
    <n v="6.25"/>
    <n v="3405.1849999999999"/>
    <n v="2503.8125"/>
    <n v="-901.37249999999995"/>
    <n v="-0.36"/>
    <n v="16.745498000000001"/>
  </r>
  <r>
    <s v="BATCH01461"/>
    <x v="2"/>
    <x v="3"/>
    <x v="0"/>
    <n v="542.02"/>
    <n v="11.62"/>
    <n v="34.729999999999997"/>
    <n v="1.7"/>
    <n v="1.3"/>
    <n v="8"/>
    <s v="B"/>
    <n v="5.78"/>
    <x v="0"/>
    <n v="66.66"/>
    <x v="1"/>
    <n v="3.78"/>
    <n v="12.47"/>
    <n v="2048.8355999999999"/>
    <n v="6758.9894000000004"/>
    <n v="4710.1538"/>
    <n v="0.69687249398556528"/>
    <n v="31.328755999999998"/>
  </r>
  <r>
    <s v="BATCH01462"/>
    <x v="2"/>
    <x v="1"/>
    <x v="1"/>
    <n v="414.35"/>
    <n v="14.6"/>
    <n v="31.43"/>
    <n v="2.1"/>
    <n v="1"/>
    <n v="22"/>
    <s v="C"/>
    <n v="1.84"/>
    <x v="0"/>
    <n v="76.37"/>
    <x v="1"/>
    <n v="9.27"/>
    <n v="10.96"/>
    <n v="3841.0245"/>
    <n v="4541.2760000000007"/>
    <n v="700.25150000000076"/>
    <n v="0.15419708029197093"/>
    <n v="7.6240400000000008"/>
  </r>
  <r>
    <s v="BATCH01463"/>
    <x v="0"/>
    <x v="1"/>
    <x v="0"/>
    <n v="509.77"/>
    <n v="12.71"/>
    <n v="21.34"/>
    <n v="0.4"/>
    <n v="0.3"/>
    <n v="10"/>
    <s v="B"/>
    <n v="4.18"/>
    <x v="0"/>
    <n v="53.77"/>
    <x v="0"/>
    <n v="8.8800000000000008"/>
    <n v="14.02"/>
    <n v="4526.7575999999999"/>
    <n v="7146.9753999999994"/>
    <n v="2620.2177999999994"/>
    <n v="0.36661911554921534"/>
    <n v="21.308385999999995"/>
  </r>
  <r>
    <s v="BATCH01464"/>
    <x v="0"/>
    <x v="1"/>
    <x v="0"/>
    <n v="373.55"/>
    <n v="9.99"/>
    <n v="22.33"/>
    <n v="1"/>
    <n v="0.7"/>
    <n v="23"/>
    <s v="A"/>
    <n v="4.75"/>
    <x v="1"/>
    <n v="92.61"/>
    <x v="2"/>
    <n v="7.75"/>
    <n v="7.01"/>
    <n v="2895.0125000000003"/>
    <n v="2618.5855000000001"/>
    <n v="-276.42700000000013"/>
    <n v="-0.10556348074179747"/>
    <n v="17.743624999999998"/>
  </r>
  <r>
    <s v="BATCH01465"/>
    <x v="3"/>
    <x v="2"/>
    <x v="0"/>
    <n v="320.69"/>
    <n v="14.02"/>
    <n v="31.93"/>
    <n v="5.9"/>
    <n v="2.6"/>
    <n v="1"/>
    <s v="C"/>
    <n v="9.86"/>
    <x v="0"/>
    <n v="70.67"/>
    <x v="0"/>
    <n v="3.47"/>
    <n v="12.6"/>
    <n v="1112.7943"/>
    <n v="4040.694"/>
    <n v="2927.8996999999999"/>
    <n v="0.72460317460317458"/>
    <n v="31.620033999999997"/>
  </r>
  <r>
    <s v="BATCH01466"/>
    <x v="3"/>
    <x v="0"/>
    <x v="0"/>
    <n v="461.72"/>
    <n v="8.61"/>
    <n v="25.5"/>
    <n v="0.6"/>
    <n v="1.7"/>
    <n v="12"/>
    <s v="A"/>
    <n v="3.84"/>
    <x v="2"/>
    <n v="85.03"/>
    <x v="1"/>
    <n v="4.46"/>
    <n v="11.85"/>
    <n v="2059.2712000000001"/>
    <n v="5471.3820000000005"/>
    <n v="3412.1108000000004"/>
    <n v="0.62362869198312232"/>
    <n v="17.730048"/>
  </r>
  <r>
    <s v="BATCH01467"/>
    <x v="3"/>
    <x v="2"/>
    <x v="0"/>
    <n v="487.63"/>
    <n v="12.13"/>
    <n v="21.59"/>
    <n v="2.2000000000000002"/>
    <n v="0.4"/>
    <n v="9"/>
    <s v="A"/>
    <n v="6.62"/>
    <x v="1"/>
    <n v="84.11"/>
    <x v="1"/>
    <n v="9.02"/>
    <n v="7.66"/>
    <n v="4398.4225999999999"/>
    <n v="3735.2458000000001"/>
    <n v="-663.17679999999973"/>
    <n v="-0.17754569190600514"/>
    <n v="32.281106000000001"/>
  </r>
  <r>
    <s v="BATCH01468"/>
    <x v="1"/>
    <x v="0"/>
    <x v="1"/>
    <n v="460.23"/>
    <n v="13.47"/>
    <n v="28.59"/>
    <n v="2.7"/>
    <n v="4"/>
    <n v="5"/>
    <s v="B"/>
    <n v="1.81"/>
    <x v="0"/>
    <n v="83.81"/>
    <x v="1"/>
    <n v="3.85"/>
    <n v="11.67"/>
    <n v="1771.8855000000001"/>
    <n v="5370.8841000000002"/>
    <n v="3598.9985999999999"/>
    <n v="0.67009425878320472"/>
    <n v="8.3301630000000007"/>
  </r>
  <r>
    <s v="BATCH01469"/>
    <x v="2"/>
    <x v="3"/>
    <x v="1"/>
    <n v="381.6"/>
    <n v="12.36"/>
    <n v="31.09"/>
    <n v="1.2"/>
    <n v="1.2"/>
    <n v="9"/>
    <s v="C"/>
    <n v="1.1200000000000001"/>
    <x v="1"/>
    <n v="75.349999999999994"/>
    <x v="1"/>
    <n v="4.09"/>
    <n v="14.24"/>
    <n v="1560.7440000000001"/>
    <n v="5433.9840000000004"/>
    <n v="3873.2400000000002"/>
    <n v="0.7127808988764045"/>
    <n v="4.2739200000000004"/>
  </r>
  <r>
    <s v="BATCH01470"/>
    <x v="2"/>
    <x v="1"/>
    <x v="1"/>
    <n v="460.01"/>
    <n v="15.49"/>
    <n v="26.57"/>
    <n v="5.5"/>
    <n v="0.1"/>
    <n v="16"/>
    <s v="C"/>
    <n v="8.7799999999999994"/>
    <x v="1"/>
    <n v="63.88"/>
    <x v="2"/>
    <n v="6.81"/>
    <n v="14.18"/>
    <n v="3132.6680999999999"/>
    <n v="6522.9417999999996"/>
    <n v="3390.2736999999997"/>
    <n v="0.51974612129760223"/>
    <n v="40.388877999999998"/>
  </r>
  <r>
    <s v="BATCH01471"/>
    <x v="3"/>
    <x v="0"/>
    <x v="0"/>
    <n v="526.92999999999995"/>
    <n v="16.28"/>
    <n v="34.409999999999997"/>
    <n v="2.7"/>
    <n v="0"/>
    <n v="18"/>
    <s v="A"/>
    <n v="7.44"/>
    <x v="2"/>
    <n v="81.25"/>
    <x v="1"/>
    <n v="4.92"/>
    <n v="12.2"/>
    <n v="2592.4955999999997"/>
    <n v="6428.5459999999994"/>
    <n v="3836.0503999999996"/>
    <n v="0.59672131147540985"/>
    <n v="39.203592"/>
  </r>
  <r>
    <s v="BATCH01472"/>
    <x v="2"/>
    <x v="2"/>
    <x v="0"/>
    <n v="495.51"/>
    <n v="15.71"/>
    <n v="32.880000000000003"/>
    <n v="1.2"/>
    <n v="0.2"/>
    <n v="8"/>
    <s v="A"/>
    <n v="3.52"/>
    <x v="2"/>
    <n v="98.09"/>
    <x v="0"/>
    <n v="4.55"/>
    <n v="5.48"/>
    <n v="2254.5704999999998"/>
    <n v="2715.3948"/>
    <n v="460.82430000000022"/>
    <n v="0.16970802919708036"/>
    <n v="17.441952000000001"/>
  </r>
  <r>
    <s v="BATCH01473"/>
    <x v="3"/>
    <x v="1"/>
    <x v="0"/>
    <n v="518.25"/>
    <n v="8.39"/>
    <n v="26.66"/>
    <n v="1.7"/>
    <n v="1.3"/>
    <n v="23"/>
    <s v="B"/>
    <n v="5.29"/>
    <x v="2"/>
    <n v="91.7"/>
    <x v="2"/>
    <n v="7.03"/>
    <n v="13.72"/>
    <n v="3643.2975000000001"/>
    <n v="7110.39"/>
    <n v="3467.0925000000002"/>
    <n v="0.48760932944606417"/>
    <n v="27.415424999999999"/>
  </r>
  <r>
    <s v="BATCH01474"/>
    <x v="1"/>
    <x v="3"/>
    <x v="0"/>
    <n v="432.99"/>
    <n v="9.94"/>
    <n v="35.1"/>
    <n v="2.4"/>
    <n v="0.2"/>
    <n v="11"/>
    <s v="C"/>
    <n v="1.79"/>
    <x v="1"/>
    <n v="55.44"/>
    <x v="2"/>
    <n v="5.61"/>
    <n v="11.58"/>
    <n v="2429.0739000000003"/>
    <n v="5014.0241999999998"/>
    <n v="2584.9502999999995"/>
    <n v="0.51554404145077715"/>
    <n v="7.750521"/>
  </r>
  <r>
    <s v="BATCH01475"/>
    <x v="1"/>
    <x v="0"/>
    <x v="1"/>
    <n v="617.16999999999996"/>
    <n v="13.37"/>
    <n v="32.97"/>
    <n v="1.8"/>
    <n v="0.7"/>
    <n v="20"/>
    <s v="B"/>
    <n v="7.22"/>
    <x v="1"/>
    <n v="51.16"/>
    <x v="1"/>
    <n v="3.98"/>
    <n v="8.1"/>
    <n v="2456.3365999999996"/>
    <n v="4999.0769999999993"/>
    <n v="2542.7403999999997"/>
    <n v="0.50864197530864197"/>
    <n v="44.559673999999994"/>
  </r>
  <r>
    <s v="BATCH01476"/>
    <x v="0"/>
    <x v="0"/>
    <x v="1"/>
    <n v="382.38"/>
    <n v="17.350000000000001"/>
    <n v="32.75"/>
    <n v="4.2"/>
    <n v="0.1"/>
    <n v="19"/>
    <s v="B"/>
    <n v="1.17"/>
    <x v="2"/>
    <n v="74.95"/>
    <x v="2"/>
    <n v="6.74"/>
    <n v="6.87"/>
    <n v="2577.2411999999999"/>
    <n v="2626.9506000000001"/>
    <n v="49.709400000000187"/>
    <n v="1.8922852983988426E-2"/>
    <n v="4.473846"/>
  </r>
  <r>
    <s v="BATCH01477"/>
    <x v="1"/>
    <x v="0"/>
    <x v="0"/>
    <n v="548.76"/>
    <n v="16.350000000000001"/>
    <n v="31.07"/>
    <n v="0.9"/>
    <n v="2.5"/>
    <n v="4"/>
    <s v="B"/>
    <n v="7.69"/>
    <x v="1"/>
    <n v="88.79"/>
    <x v="1"/>
    <n v="5.71"/>
    <n v="6.16"/>
    <n v="3133.4195999999997"/>
    <n v="3380.3616000000002"/>
    <n v="246.94200000000046"/>
    <n v="7.3051948051948187E-2"/>
    <n v="42.199643999999999"/>
  </r>
  <r>
    <s v="BATCH01478"/>
    <x v="3"/>
    <x v="1"/>
    <x v="0"/>
    <n v="618.19000000000005"/>
    <n v="16.43"/>
    <n v="20.23"/>
    <n v="0.7"/>
    <n v="0.4"/>
    <n v="20"/>
    <s v="C"/>
    <n v="5.69"/>
    <x v="2"/>
    <n v="65.7"/>
    <x v="2"/>
    <n v="8.14"/>
    <n v="5.5"/>
    <n v="5032.066600000001"/>
    <n v="3400.0450000000001"/>
    <n v="-1632.0216000000009"/>
    <n v="-0.48000000000000026"/>
    <n v="35.175011000000005"/>
  </r>
  <r>
    <s v="BATCH01479"/>
    <x v="1"/>
    <x v="2"/>
    <x v="0"/>
    <n v="548.09"/>
    <n v="11.03"/>
    <n v="33.93"/>
    <n v="0.5"/>
    <n v="2.4"/>
    <n v="26"/>
    <s v="B"/>
    <n v="3.15"/>
    <x v="2"/>
    <n v="85.06"/>
    <x v="2"/>
    <n v="3.72"/>
    <n v="12.54"/>
    <n v="2038.8948000000003"/>
    <n v="6873.0486000000001"/>
    <n v="4834.1538"/>
    <n v="0.70334928229665072"/>
    <n v="17.264835000000001"/>
  </r>
  <r>
    <s v="BATCH01480"/>
    <x v="0"/>
    <x v="2"/>
    <x v="1"/>
    <n v="479.75"/>
    <n v="12.29"/>
    <n v="27.52"/>
    <n v="0.1"/>
    <n v="2.9"/>
    <n v="10"/>
    <s v="C"/>
    <n v="8.69"/>
    <x v="0"/>
    <n v="96.6"/>
    <x v="0"/>
    <n v="7.34"/>
    <n v="7.36"/>
    <n v="3521.3649999999998"/>
    <n v="3530.96"/>
    <n v="9.5950000000002547"/>
    <n v="2.717391304347898E-3"/>
    <n v="41.690275"/>
  </r>
  <r>
    <s v="BATCH01481"/>
    <x v="2"/>
    <x v="0"/>
    <x v="1"/>
    <n v="447.17"/>
    <n v="12.71"/>
    <n v="38.85"/>
    <n v="0.1"/>
    <n v="0"/>
    <n v="24"/>
    <s v="B"/>
    <n v="9.8699999999999992"/>
    <x v="2"/>
    <n v="72.95"/>
    <x v="0"/>
    <n v="6.06"/>
    <n v="5.24"/>
    <n v="2709.8501999999999"/>
    <n v="2343.1708000000003"/>
    <n v="-366.67939999999953"/>
    <n v="-0.1564885496183204"/>
    <n v="44.135679000000003"/>
  </r>
  <r>
    <s v="BATCH01482"/>
    <x v="3"/>
    <x v="3"/>
    <x v="1"/>
    <n v="603.61"/>
    <n v="9.57"/>
    <n v="36.36"/>
    <n v="4.0999999999999996"/>
    <n v="0.6"/>
    <n v="13"/>
    <s v="A"/>
    <n v="2.92"/>
    <x v="0"/>
    <n v="62.21"/>
    <x v="0"/>
    <n v="5.84"/>
    <n v="8.9700000000000006"/>
    <n v="3525.0823999999998"/>
    <n v="5414.3817000000008"/>
    <n v="1889.299300000001"/>
    <n v="0.34894091415830558"/>
    <n v="17.625411999999997"/>
  </r>
  <r>
    <s v="BATCH01483"/>
    <x v="2"/>
    <x v="3"/>
    <x v="0"/>
    <n v="357.7"/>
    <n v="8.31"/>
    <n v="31.75"/>
    <n v="2.2999999999999998"/>
    <n v="0"/>
    <n v="29"/>
    <s v="B"/>
    <n v="8.16"/>
    <x v="2"/>
    <n v="95.89"/>
    <x v="2"/>
    <n v="4.63"/>
    <n v="9.83"/>
    <n v="1656.1509999999998"/>
    <n v="3516.1909999999998"/>
    <n v="1860.04"/>
    <n v="0.5289928789420143"/>
    <n v="29.188319999999997"/>
  </r>
  <r>
    <s v="BATCH01484"/>
    <x v="0"/>
    <x v="2"/>
    <x v="0"/>
    <n v="402.99"/>
    <n v="17.47"/>
    <n v="25.04"/>
    <n v="2.2000000000000002"/>
    <n v="2.4"/>
    <n v="20"/>
    <s v="B"/>
    <n v="7.63"/>
    <x v="1"/>
    <n v="73.61"/>
    <x v="0"/>
    <n v="3.21"/>
    <n v="6.69"/>
    <n v="1293.5979"/>
    <n v="2696.0031000000004"/>
    <n v="1402.4052000000004"/>
    <n v="0.52017937219730948"/>
    <n v="30.748137"/>
  </r>
  <r>
    <s v="BATCH01485"/>
    <x v="0"/>
    <x v="3"/>
    <x v="1"/>
    <n v="460.24"/>
    <n v="10.41"/>
    <n v="24.07"/>
    <n v="1.9"/>
    <n v="0.7"/>
    <n v="14"/>
    <s v="C"/>
    <n v="7.6"/>
    <x v="0"/>
    <n v="70.39"/>
    <x v="0"/>
    <n v="8.93"/>
    <n v="5.44"/>
    <n v="4109.9431999999997"/>
    <n v="2503.7056000000002"/>
    <n v="-1606.2375999999995"/>
    <n v="-0.64154411764705854"/>
    <n v="34.97824"/>
  </r>
  <r>
    <s v="BATCH01486"/>
    <x v="0"/>
    <x v="2"/>
    <x v="0"/>
    <n v="623.77"/>
    <n v="10.4"/>
    <n v="26.81"/>
    <n v="3.8"/>
    <n v="0.1"/>
    <n v="21"/>
    <s v="A"/>
    <n v="9.59"/>
    <x v="1"/>
    <n v="67.67"/>
    <x v="0"/>
    <n v="5.28"/>
    <n v="6.89"/>
    <n v="3293.5056"/>
    <n v="4297.7752999999993"/>
    <n v="1004.2696999999994"/>
    <n v="0.23367198838896941"/>
    <n v="59.819542999999996"/>
  </r>
  <r>
    <s v="BATCH01487"/>
    <x v="2"/>
    <x v="0"/>
    <x v="1"/>
    <n v="537.98"/>
    <n v="8.83"/>
    <n v="29.53"/>
    <n v="1.3"/>
    <n v="0.1"/>
    <n v="2"/>
    <s v="A"/>
    <n v="5.12"/>
    <x v="1"/>
    <n v="71.150000000000006"/>
    <x v="2"/>
    <n v="7.77"/>
    <n v="11.79"/>
    <n v="4180.1045999999997"/>
    <n v="6342.7842000000001"/>
    <n v="2162.6796000000004"/>
    <n v="0.34096692111959293"/>
    <n v="27.544576000000003"/>
  </r>
  <r>
    <s v="BATCH01488"/>
    <x v="2"/>
    <x v="2"/>
    <x v="0"/>
    <n v="403.2"/>
    <n v="17.29"/>
    <n v="25.92"/>
    <n v="4.0999999999999996"/>
    <n v="0.5"/>
    <n v="29"/>
    <s v="C"/>
    <n v="6.9"/>
    <x v="2"/>
    <n v="83.68"/>
    <x v="1"/>
    <n v="9.6300000000000008"/>
    <n v="5.82"/>
    <n v="3882.8160000000003"/>
    <n v="2346.6240000000003"/>
    <n v="-1536.192"/>
    <n v="-0.65463917525773185"/>
    <n v="27.820799999999998"/>
  </r>
  <r>
    <s v="BATCH01489"/>
    <x v="2"/>
    <x v="2"/>
    <x v="1"/>
    <n v="468.97"/>
    <n v="13.8"/>
    <n v="30.3"/>
    <n v="0.9"/>
    <n v="2.8"/>
    <n v="4"/>
    <s v="C"/>
    <n v="8.33"/>
    <x v="2"/>
    <n v="71.69"/>
    <x v="0"/>
    <n v="6.95"/>
    <n v="10.55"/>
    <n v="3259.3415000000005"/>
    <n v="4947.6335000000008"/>
    <n v="1688.2920000000004"/>
    <n v="0.34123222748815168"/>
    <n v="39.065201000000002"/>
  </r>
  <r>
    <s v="BATCH01490"/>
    <x v="2"/>
    <x v="0"/>
    <x v="0"/>
    <n v="438.57"/>
    <n v="14.67"/>
    <n v="23.31"/>
    <n v="5.2"/>
    <n v="1.2"/>
    <n v="7"/>
    <s v="A"/>
    <n v="5.0599999999999996"/>
    <x v="1"/>
    <n v="66.209999999999994"/>
    <x v="2"/>
    <n v="5.78"/>
    <n v="6.46"/>
    <n v="2534.9346"/>
    <n v="2833.1621999999998"/>
    <n v="298.22759999999971"/>
    <n v="0.10526315789473675"/>
    <n v="22.191641999999998"/>
  </r>
  <r>
    <s v="BATCH01491"/>
    <x v="0"/>
    <x v="3"/>
    <x v="1"/>
    <n v="429.02"/>
    <n v="17.12"/>
    <n v="39.549999999999997"/>
    <n v="2.4"/>
    <n v="2"/>
    <n v="19"/>
    <s v="C"/>
    <n v="5.07"/>
    <x v="2"/>
    <n v="87.18"/>
    <x v="2"/>
    <n v="4.88"/>
    <n v="6.96"/>
    <n v="2093.6176"/>
    <n v="2985.9791999999998"/>
    <n v="892.36159999999973"/>
    <n v="0.29885057471264359"/>
    <n v="21.751314000000001"/>
  </r>
  <r>
    <s v="BATCH01492"/>
    <x v="0"/>
    <x v="2"/>
    <x v="1"/>
    <n v="597.89"/>
    <n v="11.46"/>
    <n v="22.16"/>
    <n v="0.6"/>
    <n v="0.5"/>
    <n v="17"/>
    <s v="A"/>
    <n v="3.53"/>
    <x v="2"/>
    <n v="60.15"/>
    <x v="1"/>
    <n v="9.5399999999999991"/>
    <n v="8.93"/>
    <n v="5703.8705999999993"/>
    <n v="5339.1576999999997"/>
    <n v="-364.71289999999954"/>
    <n v="-6.8309070548712117E-2"/>
    <n v="21.105516999999999"/>
  </r>
  <r>
    <s v="BATCH01493"/>
    <x v="3"/>
    <x v="2"/>
    <x v="1"/>
    <n v="362.83"/>
    <n v="14.22"/>
    <n v="38.64"/>
    <n v="1.7"/>
    <n v="0"/>
    <n v="16"/>
    <s v="B"/>
    <n v="7.92"/>
    <x v="2"/>
    <n v="60.1"/>
    <x v="0"/>
    <n v="7.77"/>
    <n v="6.01"/>
    <n v="2819.1890999999996"/>
    <n v="2180.6082999999999"/>
    <n v="-638.58079999999973"/>
    <n v="-0.29284525790349408"/>
    <n v="28.736135999999998"/>
  </r>
  <r>
    <s v="BATCH01494"/>
    <x v="3"/>
    <x v="0"/>
    <x v="1"/>
    <n v="660.88"/>
    <n v="8.39"/>
    <n v="38.270000000000003"/>
    <n v="1.5"/>
    <n v="3.7"/>
    <n v="13"/>
    <s v="B"/>
    <n v="7.02"/>
    <x v="1"/>
    <n v="84.82"/>
    <x v="2"/>
    <n v="7.66"/>
    <n v="6.73"/>
    <n v="5062.3407999999999"/>
    <n v="4447.7224000000006"/>
    <n v="-614.61839999999938"/>
    <n v="-0.1381872213967309"/>
    <n v="46.393775999999995"/>
  </r>
  <r>
    <s v="BATCH01495"/>
    <x v="2"/>
    <x v="3"/>
    <x v="1"/>
    <n v="582.82000000000005"/>
    <n v="9.8699999999999992"/>
    <n v="30.51"/>
    <n v="0.3"/>
    <n v="0"/>
    <n v="24"/>
    <s v="A"/>
    <n v="4.79"/>
    <x v="0"/>
    <n v="93.34"/>
    <x v="2"/>
    <n v="5.98"/>
    <n v="8.49"/>
    <n v="3485.2636000000007"/>
    <n v="4948.1418000000003"/>
    <n v="1462.8781999999997"/>
    <n v="0.29564193168433445"/>
    <n v="27.917078"/>
  </r>
  <r>
    <s v="BATCH01496"/>
    <x v="1"/>
    <x v="2"/>
    <x v="1"/>
    <n v="609.09"/>
    <n v="16.309999999999999"/>
    <n v="34.5"/>
    <n v="1.8"/>
    <n v="2.9"/>
    <n v="24"/>
    <s v="A"/>
    <n v="4.4800000000000004"/>
    <x v="0"/>
    <n v="62.06"/>
    <x v="2"/>
    <n v="8.92"/>
    <n v="8.3000000000000007"/>
    <n v="5433.0828000000001"/>
    <n v="5055.447000000001"/>
    <n v="-377.63579999999911"/>
    <n v="-7.4698795180722699E-2"/>
    <n v="27.287232000000003"/>
  </r>
  <r>
    <s v="BATCH01497"/>
    <x v="1"/>
    <x v="0"/>
    <x v="0"/>
    <n v="453.71"/>
    <n v="15.67"/>
    <n v="28.72"/>
    <n v="0.8"/>
    <n v="0.5"/>
    <n v="22"/>
    <s v="B"/>
    <n v="1.19"/>
    <x v="1"/>
    <n v="59.56"/>
    <x v="1"/>
    <n v="8"/>
    <n v="12.49"/>
    <n v="3629.68"/>
    <n v="5666.8378999999995"/>
    <n v="2037.1578999999997"/>
    <n v="0.35948759007205761"/>
    <n v="5.3991489999999995"/>
  </r>
  <r>
    <s v="BATCH01498"/>
    <x v="0"/>
    <x v="2"/>
    <x v="0"/>
    <n v="485.01"/>
    <n v="11.51"/>
    <n v="32.6"/>
    <n v="0.1"/>
    <n v="0"/>
    <n v="23"/>
    <s v="B"/>
    <n v="0.56000000000000005"/>
    <x v="2"/>
    <n v="83.52"/>
    <x v="0"/>
    <n v="4.9800000000000004"/>
    <n v="5.75"/>
    <n v="2415.3498"/>
    <n v="2788.8074999999999"/>
    <n v="373.45769999999993"/>
    <n v="0.13391304347826086"/>
    <n v="2.7160560000000005"/>
  </r>
  <r>
    <s v="BATCH01499"/>
    <x v="0"/>
    <x v="1"/>
    <x v="0"/>
    <n v="356.68"/>
    <n v="11.77"/>
    <n v="26.81"/>
    <n v="5.9"/>
    <n v="1.2"/>
    <n v="26"/>
    <s v="A"/>
    <n v="5.52"/>
    <x v="2"/>
    <n v="81.040000000000006"/>
    <x v="2"/>
    <n v="7.2"/>
    <n v="13.6"/>
    <n v="2568.096"/>
    <n v="4850.848"/>
    <n v="2282.752"/>
    <n v="0.47058823529411764"/>
    <n v="19.688735999999999"/>
  </r>
  <r>
    <s v="BATCH01500"/>
    <x v="0"/>
    <x v="0"/>
    <x v="1"/>
    <n v="447.53"/>
    <n v="13.34"/>
    <n v="26.02"/>
    <n v="2.1"/>
    <n v="3.9"/>
    <n v="27"/>
    <s v="C"/>
    <n v="4.47"/>
    <x v="0"/>
    <n v="72.36"/>
    <x v="2"/>
    <n v="6.01"/>
    <n v="13.16"/>
    <n v="2689.6552999999999"/>
    <n v="5889.4947999999995"/>
    <n v="3199.8394999999996"/>
    <n v="0.54331306990881456"/>
    <n v="20.004590999999998"/>
  </r>
  <r>
    <s v="BATCH01501"/>
    <x v="3"/>
    <x v="3"/>
    <x v="1"/>
    <n v="549.37"/>
    <n v="8"/>
    <n v="31.56"/>
    <n v="4.2"/>
    <n v="3.4"/>
    <n v="18"/>
    <s v="C"/>
    <n v="8.06"/>
    <x v="1"/>
    <n v="54.79"/>
    <x v="2"/>
    <n v="3.05"/>
    <n v="12.66"/>
    <n v="1675.5784999999998"/>
    <n v="6955.0241999999998"/>
    <n v="5279.4457000000002"/>
    <n v="0.75908372827804116"/>
    <n v="44.279221999999997"/>
  </r>
  <r>
    <s v="BATCH01502"/>
    <x v="3"/>
    <x v="3"/>
    <x v="0"/>
    <n v="629.61"/>
    <n v="10.41"/>
    <n v="29.96"/>
    <n v="2.2999999999999998"/>
    <n v="0.2"/>
    <n v="21"/>
    <s v="A"/>
    <n v="5.66"/>
    <x v="1"/>
    <n v="54.59"/>
    <x v="2"/>
    <n v="8.65"/>
    <n v="8.09"/>
    <n v="5446.1265000000003"/>
    <n v="5093.5448999999999"/>
    <n v="-352.58160000000044"/>
    <n v="-6.9221260815822083E-2"/>
    <n v="35.635925999999998"/>
  </r>
  <r>
    <s v="BATCH01503"/>
    <x v="0"/>
    <x v="3"/>
    <x v="1"/>
    <n v="389.28"/>
    <n v="10.08"/>
    <n v="31.59"/>
    <n v="0.9"/>
    <n v="0.2"/>
    <n v="12"/>
    <s v="C"/>
    <n v="9.4"/>
    <x v="2"/>
    <n v="88.87"/>
    <x v="0"/>
    <n v="3.86"/>
    <n v="13.23"/>
    <n v="1502.6207999999999"/>
    <n v="5150.1743999999999"/>
    <n v="3647.5536000000002"/>
    <n v="0.70823885109599405"/>
    <n v="36.592320000000001"/>
  </r>
  <r>
    <s v="BATCH01504"/>
    <x v="0"/>
    <x v="3"/>
    <x v="1"/>
    <n v="463.45"/>
    <n v="10.5"/>
    <n v="25.73"/>
    <n v="1.4"/>
    <n v="0.8"/>
    <n v="23"/>
    <s v="B"/>
    <n v="2.36"/>
    <x v="2"/>
    <n v="72.59"/>
    <x v="0"/>
    <n v="6.57"/>
    <n v="6.83"/>
    <n v="3044.8665000000001"/>
    <n v="3165.3634999999999"/>
    <n v="120.49699999999984"/>
    <n v="3.806734992679351E-2"/>
    <n v="10.937419999999999"/>
  </r>
  <r>
    <s v="BATCH01505"/>
    <x v="0"/>
    <x v="2"/>
    <x v="1"/>
    <n v="484.87"/>
    <n v="16.059999999999999"/>
    <n v="27.34"/>
    <n v="2.2999999999999998"/>
    <n v="1"/>
    <n v="25"/>
    <s v="B"/>
    <n v="9.91"/>
    <x v="2"/>
    <n v="92.9"/>
    <x v="2"/>
    <n v="5.35"/>
    <n v="6.24"/>
    <n v="2594.0544999999997"/>
    <n v="3025.5888"/>
    <n v="431.53430000000026"/>
    <n v="0.1426282051282052"/>
    <n v="48.050617000000003"/>
  </r>
  <r>
    <s v="BATCH01506"/>
    <x v="1"/>
    <x v="2"/>
    <x v="1"/>
    <n v="360.42"/>
    <n v="10.8"/>
    <n v="21.68"/>
    <n v="6.5"/>
    <n v="1.3"/>
    <n v="1"/>
    <s v="C"/>
    <n v="3.33"/>
    <x v="1"/>
    <n v="78.739999999999995"/>
    <x v="2"/>
    <n v="5.39"/>
    <n v="5.45"/>
    <n v="1942.6638"/>
    <n v="1964.2890000000002"/>
    <n v="21.625200000000177"/>
    <n v="1.1009174311926695E-2"/>
    <n v="12.001986000000002"/>
  </r>
  <r>
    <s v="BATCH01507"/>
    <x v="3"/>
    <x v="3"/>
    <x v="1"/>
    <n v="559.13"/>
    <n v="9.92"/>
    <n v="21.05"/>
    <n v="0.6"/>
    <n v="0.2"/>
    <n v="15"/>
    <s v="A"/>
    <n v="6.6"/>
    <x v="0"/>
    <n v="80.94"/>
    <x v="2"/>
    <n v="6.34"/>
    <n v="14.39"/>
    <n v="3544.8842"/>
    <n v="8045.8807000000006"/>
    <n v="4500.9965000000011"/>
    <n v="0.55941626129256439"/>
    <n v="36.90258"/>
  </r>
  <r>
    <s v="BATCH01508"/>
    <x v="1"/>
    <x v="3"/>
    <x v="0"/>
    <n v="427.6"/>
    <n v="13.04"/>
    <n v="25.07"/>
    <n v="4.2"/>
    <n v="3.2"/>
    <n v="3"/>
    <s v="B"/>
    <n v="5.27"/>
    <x v="1"/>
    <n v="96.71"/>
    <x v="1"/>
    <n v="9.98"/>
    <n v="8.08"/>
    <n v="4267.4480000000003"/>
    <n v="3455.0080000000003"/>
    <n v="-812.44"/>
    <n v="-0.23514851485148514"/>
    <n v="22.534519999999997"/>
  </r>
  <r>
    <s v="BATCH01509"/>
    <x v="1"/>
    <x v="3"/>
    <x v="0"/>
    <n v="480.46"/>
    <n v="16.66"/>
    <n v="21.48"/>
    <n v="5.2"/>
    <n v="1"/>
    <n v="6"/>
    <s v="B"/>
    <n v="3.92"/>
    <x v="1"/>
    <n v="58.23"/>
    <x v="1"/>
    <n v="5.86"/>
    <n v="14.18"/>
    <n v="2815.4956000000002"/>
    <n v="6812.9227999999994"/>
    <n v="3997.4271999999992"/>
    <n v="0.5867418899858956"/>
    <n v="18.834032000000001"/>
  </r>
  <r>
    <s v="BATCH01510"/>
    <x v="0"/>
    <x v="2"/>
    <x v="0"/>
    <n v="454.81"/>
    <n v="10.41"/>
    <n v="22.08"/>
    <n v="2.2000000000000002"/>
    <n v="1.9"/>
    <n v="14"/>
    <s v="B"/>
    <n v="1.82"/>
    <x v="1"/>
    <n v="77.150000000000006"/>
    <x v="1"/>
    <n v="4.28"/>
    <n v="7.73"/>
    <n v="1946.5868"/>
    <n v="3515.6813000000002"/>
    <n v="1569.0945000000002"/>
    <n v="0.44631306597671411"/>
    <n v="8.2775420000000004"/>
  </r>
  <r>
    <s v="BATCH01511"/>
    <x v="0"/>
    <x v="3"/>
    <x v="0"/>
    <n v="421.07"/>
    <n v="8.7899999999999991"/>
    <n v="36.26"/>
    <n v="5.4"/>
    <n v="0.8"/>
    <n v="23"/>
    <s v="C"/>
    <n v="1.78"/>
    <x v="0"/>
    <n v="52.91"/>
    <x v="2"/>
    <n v="7.3"/>
    <n v="14.08"/>
    <n v="3073.8109999999997"/>
    <n v="5928.6656000000003"/>
    <n v="2854.8546000000006"/>
    <n v="0.48153409090909099"/>
    <n v="7.4950459999999994"/>
  </r>
  <r>
    <s v="BATCH01512"/>
    <x v="2"/>
    <x v="3"/>
    <x v="0"/>
    <n v="499.3"/>
    <n v="11.56"/>
    <n v="20.78"/>
    <n v="1"/>
    <n v="0.5"/>
    <n v="6"/>
    <s v="A"/>
    <n v="7.26"/>
    <x v="2"/>
    <n v="67.95"/>
    <x v="1"/>
    <n v="4.6500000000000004"/>
    <n v="14.04"/>
    <n v="2321.7450000000003"/>
    <n v="7010.1719999999996"/>
    <n v="4688.4269999999997"/>
    <n v="0.66880341880341876"/>
    <n v="36.249180000000003"/>
  </r>
  <r>
    <s v="BATCH01513"/>
    <x v="2"/>
    <x v="1"/>
    <x v="1"/>
    <n v="478.44"/>
    <n v="15.48"/>
    <n v="33.18"/>
    <n v="6.1"/>
    <n v="3.8"/>
    <n v="1"/>
    <s v="C"/>
    <n v="4.09"/>
    <x v="2"/>
    <n v="57.4"/>
    <x v="0"/>
    <n v="3.74"/>
    <n v="14.24"/>
    <n v="1789.3656000000001"/>
    <n v="6812.9856"/>
    <n v="5023.62"/>
    <n v="0.73735955056179769"/>
    <n v="19.568195999999997"/>
  </r>
  <r>
    <s v="BATCH01514"/>
    <x v="1"/>
    <x v="1"/>
    <x v="1"/>
    <n v="462.81"/>
    <n v="13.51"/>
    <n v="25.45"/>
    <n v="2.4"/>
    <n v="0.9"/>
    <n v="20"/>
    <s v="A"/>
    <n v="9.6300000000000008"/>
    <x v="1"/>
    <n v="59.39"/>
    <x v="1"/>
    <n v="3.35"/>
    <n v="9.9600000000000009"/>
    <n v="1550.4135000000001"/>
    <n v="4609.5876000000007"/>
    <n v="3059.1741000000006"/>
    <n v="0.66365461847389562"/>
    <n v="44.568603000000003"/>
  </r>
  <r>
    <s v="BATCH01515"/>
    <x v="3"/>
    <x v="3"/>
    <x v="1"/>
    <n v="427.15"/>
    <n v="16.170000000000002"/>
    <n v="37.43"/>
    <n v="0.1"/>
    <n v="2"/>
    <n v="6"/>
    <s v="A"/>
    <n v="3.59"/>
    <x v="1"/>
    <n v="96.74"/>
    <x v="2"/>
    <n v="3.16"/>
    <n v="13.66"/>
    <n v="1349.7940000000001"/>
    <n v="5834.8689999999997"/>
    <n v="4485.0749999999998"/>
    <n v="0.76866764275256227"/>
    <n v="15.334685"/>
  </r>
  <r>
    <s v="BATCH01516"/>
    <x v="0"/>
    <x v="0"/>
    <x v="1"/>
    <n v="531.95000000000005"/>
    <n v="17.600000000000001"/>
    <n v="29.7"/>
    <n v="4.7"/>
    <n v="3.1"/>
    <n v="8"/>
    <s v="C"/>
    <n v="9.84"/>
    <x v="0"/>
    <n v="80.53"/>
    <x v="0"/>
    <n v="6.02"/>
    <n v="14.51"/>
    <n v="3202.3389999999999"/>
    <n v="7718.5945000000002"/>
    <n v="4516.2555000000002"/>
    <n v="0.58511371467953133"/>
    <n v="52.343879999999999"/>
  </r>
  <r>
    <s v="BATCH01517"/>
    <x v="0"/>
    <x v="3"/>
    <x v="0"/>
    <n v="665.36"/>
    <n v="15.93"/>
    <n v="26.11"/>
    <n v="1.3"/>
    <n v="1.1000000000000001"/>
    <n v="26"/>
    <s v="B"/>
    <n v="2.4500000000000002"/>
    <x v="0"/>
    <n v="94.61"/>
    <x v="2"/>
    <n v="5.99"/>
    <n v="8.25"/>
    <n v="3985.5064000000002"/>
    <n v="5489.22"/>
    <n v="1503.7136"/>
    <n v="0.27393939393939393"/>
    <n v="16.30132"/>
  </r>
  <r>
    <s v="BATCH01518"/>
    <x v="1"/>
    <x v="1"/>
    <x v="0"/>
    <n v="513.99"/>
    <n v="14.04"/>
    <n v="30.35"/>
    <n v="1.2"/>
    <n v="0.8"/>
    <n v="15"/>
    <s v="A"/>
    <n v="1.48"/>
    <x v="2"/>
    <n v="72.180000000000007"/>
    <x v="0"/>
    <n v="4.3"/>
    <n v="9.19"/>
    <n v="2210.1570000000002"/>
    <n v="4723.5680999999995"/>
    <n v="2513.4110999999994"/>
    <n v="0.53210010881392811"/>
    <n v="7.6070519999999995"/>
  </r>
  <r>
    <s v="BATCH01519"/>
    <x v="2"/>
    <x v="0"/>
    <x v="0"/>
    <n v="599.61"/>
    <n v="12.93"/>
    <n v="27.64"/>
    <n v="1.7"/>
    <n v="0"/>
    <n v="14"/>
    <s v="C"/>
    <n v="3.47"/>
    <x v="1"/>
    <n v="79.88"/>
    <x v="1"/>
    <n v="8.49"/>
    <n v="12.19"/>
    <n v="5090.6889000000001"/>
    <n v="7309.2458999999999"/>
    <n v="2218.5569999999998"/>
    <n v="0.30352748154224773"/>
    <n v="20.806467000000001"/>
  </r>
  <r>
    <s v="BATCH01520"/>
    <x v="3"/>
    <x v="0"/>
    <x v="1"/>
    <n v="360.98"/>
    <n v="8.4"/>
    <n v="31.29"/>
    <n v="0.3"/>
    <n v="0"/>
    <n v="16"/>
    <s v="B"/>
    <n v="8.91"/>
    <x v="0"/>
    <n v="51.6"/>
    <x v="1"/>
    <n v="3.9"/>
    <n v="8"/>
    <n v="1407.8220000000001"/>
    <n v="2887.84"/>
    <n v="1480.018"/>
    <n v="0.51249999999999996"/>
    <n v="32.163318000000004"/>
  </r>
  <r>
    <s v="BATCH01521"/>
    <x v="2"/>
    <x v="3"/>
    <x v="0"/>
    <n v="515.78"/>
    <n v="17.84"/>
    <n v="22.29"/>
    <n v="1.3"/>
    <n v="0.2"/>
    <n v="20"/>
    <s v="A"/>
    <n v="5.46"/>
    <x v="0"/>
    <n v="73.48"/>
    <x v="0"/>
    <n v="9.41"/>
    <n v="12.54"/>
    <n v="4853.4897999999994"/>
    <n v="6467.8811999999989"/>
    <n v="1614.3913999999995"/>
    <n v="0.24960127591706535"/>
    <n v="28.161587999999998"/>
  </r>
  <r>
    <s v="BATCH01522"/>
    <x v="2"/>
    <x v="1"/>
    <x v="1"/>
    <n v="390.26"/>
    <n v="11.83"/>
    <n v="39.94"/>
    <n v="3.6"/>
    <n v="0.2"/>
    <n v="23"/>
    <s v="A"/>
    <n v="1.79"/>
    <x v="1"/>
    <n v="78.2"/>
    <x v="0"/>
    <n v="7.11"/>
    <n v="5.74"/>
    <n v="2774.7485999999999"/>
    <n v="2240.0924"/>
    <n v="-534.6561999999999"/>
    <n v="-0.23867595818815326"/>
    <n v="6.9856539999999994"/>
  </r>
  <r>
    <s v="BATCH01523"/>
    <x v="2"/>
    <x v="1"/>
    <x v="0"/>
    <n v="352.31"/>
    <n v="9.52"/>
    <n v="28.51"/>
    <n v="0"/>
    <n v="0.3"/>
    <n v="16"/>
    <s v="B"/>
    <n v="2.42"/>
    <x v="1"/>
    <n v="50.84"/>
    <x v="2"/>
    <n v="3.19"/>
    <n v="10.23"/>
    <n v="1123.8688999999999"/>
    <n v="3604.1313"/>
    <n v="2480.2624000000001"/>
    <n v="0.68817204301075274"/>
    <n v="8.5259020000000003"/>
  </r>
  <r>
    <s v="BATCH01524"/>
    <x v="2"/>
    <x v="0"/>
    <x v="0"/>
    <n v="426.06"/>
    <n v="14.67"/>
    <n v="26.96"/>
    <n v="0.6"/>
    <n v="0.4"/>
    <n v="27"/>
    <s v="A"/>
    <n v="3.46"/>
    <x v="1"/>
    <n v="89.47"/>
    <x v="0"/>
    <n v="9.74"/>
    <n v="6.22"/>
    <n v="4149.8244000000004"/>
    <n v="2650.0931999999998"/>
    <n v="-1499.7312000000006"/>
    <n v="-0.5659163987138266"/>
    <n v="14.741676"/>
  </r>
  <r>
    <s v="BATCH01525"/>
    <x v="0"/>
    <x v="3"/>
    <x v="1"/>
    <n v="619.19000000000005"/>
    <n v="10.84"/>
    <n v="34.200000000000003"/>
    <n v="0"/>
    <n v="0.4"/>
    <n v="19"/>
    <s v="C"/>
    <n v="6.11"/>
    <x v="1"/>
    <n v="64.77"/>
    <x v="2"/>
    <n v="5.16"/>
    <n v="7.93"/>
    <n v="3195.0204000000003"/>
    <n v="4910.1767"/>
    <n v="1715.1562999999996"/>
    <n v="0.3493064312736443"/>
    <n v="37.832509000000002"/>
  </r>
  <r>
    <s v="BATCH01526"/>
    <x v="0"/>
    <x v="2"/>
    <x v="1"/>
    <n v="595"/>
    <n v="13.86"/>
    <n v="27.28"/>
    <n v="1.1000000000000001"/>
    <n v="0.5"/>
    <n v="24"/>
    <s v="A"/>
    <n v="3.66"/>
    <x v="1"/>
    <n v="72.62"/>
    <x v="0"/>
    <n v="6.15"/>
    <n v="7.59"/>
    <n v="3659.25"/>
    <n v="4516.05"/>
    <n v="856.80000000000018"/>
    <n v="0.18972332015810281"/>
    <n v="21.777000000000001"/>
  </r>
  <r>
    <s v="BATCH01527"/>
    <x v="2"/>
    <x v="2"/>
    <x v="0"/>
    <n v="524.29999999999995"/>
    <n v="13.87"/>
    <n v="36.67"/>
    <n v="2.6"/>
    <n v="0.1"/>
    <n v="1"/>
    <s v="A"/>
    <n v="7.6"/>
    <x v="1"/>
    <n v="76.78"/>
    <x v="0"/>
    <n v="4.99"/>
    <n v="13.39"/>
    <n v="2616.2570000000001"/>
    <n v="7020.3769999999995"/>
    <n v="4404.119999999999"/>
    <n v="0.62733383121732622"/>
    <n v="39.846799999999995"/>
  </r>
  <r>
    <s v="BATCH01528"/>
    <x v="3"/>
    <x v="1"/>
    <x v="0"/>
    <n v="346.73"/>
    <n v="12.46"/>
    <n v="29.09"/>
    <n v="3.2"/>
    <n v="0"/>
    <n v="4"/>
    <s v="B"/>
    <n v="6.35"/>
    <x v="0"/>
    <n v="99.61"/>
    <x v="1"/>
    <n v="8.1"/>
    <n v="6.94"/>
    <n v="2808.5129999999999"/>
    <n v="2406.3062000000004"/>
    <n v="-402.20679999999948"/>
    <n v="-0.16714697406340032"/>
    <n v="22.017354999999998"/>
  </r>
  <r>
    <s v="BATCH01529"/>
    <x v="1"/>
    <x v="2"/>
    <x v="1"/>
    <n v="480.37"/>
    <n v="16.36"/>
    <n v="34.39"/>
    <n v="5.8"/>
    <n v="1.1000000000000001"/>
    <n v="24"/>
    <s v="C"/>
    <n v="8.8000000000000007"/>
    <x v="1"/>
    <n v="54.96"/>
    <x v="1"/>
    <n v="6.4"/>
    <n v="13.08"/>
    <n v="3074.3680000000004"/>
    <n v="6283.2395999999999"/>
    <n v="3208.8715999999995"/>
    <n v="0.51070336391437299"/>
    <n v="42.272560000000006"/>
  </r>
  <r>
    <s v="BATCH01530"/>
    <x v="3"/>
    <x v="1"/>
    <x v="0"/>
    <n v="530.16999999999996"/>
    <n v="10.65"/>
    <n v="22.15"/>
    <n v="1.9"/>
    <n v="0.8"/>
    <n v="10"/>
    <s v="B"/>
    <n v="5.26"/>
    <x v="2"/>
    <n v="77.760000000000005"/>
    <x v="2"/>
    <n v="3.93"/>
    <n v="12.94"/>
    <n v="2083.5681"/>
    <n v="6860.3997999999992"/>
    <n v="4776.8316999999988"/>
    <n v="0.69629057187016996"/>
    <n v="27.886941999999994"/>
  </r>
  <r>
    <s v="BATCH01531"/>
    <x v="3"/>
    <x v="1"/>
    <x v="0"/>
    <n v="517.54999999999995"/>
    <n v="12.49"/>
    <n v="36.92"/>
    <n v="0.6"/>
    <n v="0.6"/>
    <n v="20"/>
    <s v="C"/>
    <n v="3.65"/>
    <x v="1"/>
    <n v="76.53"/>
    <x v="2"/>
    <n v="3.73"/>
    <n v="9.99"/>
    <n v="1930.4614999999999"/>
    <n v="5170.3244999999997"/>
    <n v="3239.8629999999998"/>
    <n v="0.6266266266266266"/>
    <n v="18.890574999999998"/>
  </r>
  <r>
    <s v="BATCH01532"/>
    <x v="3"/>
    <x v="1"/>
    <x v="1"/>
    <n v="315.62"/>
    <n v="13.38"/>
    <n v="34.71"/>
    <n v="5.2"/>
    <n v="1"/>
    <n v="18"/>
    <s v="B"/>
    <n v="9.9600000000000009"/>
    <x v="2"/>
    <n v="53.45"/>
    <x v="2"/>
    <n v="8.08"/>
    <n v="7.34"/>
    <n v="2550.2096000000001"/>
    <n v="2316.6507999999999"/>
    <n v="-233.55880000000025"/>
    <n v="-0.10081743869209821"/>
    <n v="31.435752000000001"/>
  </r>
  <r>
    <s v="BATCH01533"/>
    <x v="2"/>
    <x v="2"/>
    <x v="0"/>
    <n v="410.97"/>
    <n v="14.64"/>
    <n v="24.23"/>
    <n v="3"/>
    <n v="1.8"/>
    <n v="2"/>
    <s v="A"/>
    <n v="3.88"/>
    <x v="2"/>
    <n v="81.7"/>
    <x v="0"/>
    <n v="4.66"/>
    <n v="7.27"/>
    <n v="1915.1202000000003"/>
    <n v="2987.7519000000002"/>
    <n v="1072.6316999999999"/>
    <n v="0.35900962861072899"/>
    <n v="15.945636"/>
  </r>
  <r>
    <s v="BATCH01534"/>
    <x v="0"/>
    <x v="1"/>
    <x v="1"/>
    <n v="493.59"/>
    <n v="15.84"/>
    <n v="22.91"/>
    <n v="1.7"/>
    <n v="0.6"/>
    <n v="4"/>
    <s v="C"/>
    <n v="4.57"/>
    <x v="2"/>
    <n v="64.34"/>
    <x v="0"/>
    <n v="3.96"/>
    <n v="9.65"/>
    <n v="1954.6163999999999"/>
    <n v="4763.1435000000001"/>
    <n v="2808.5271000000002"/>
    <n v="0.58963730569948192"/>
    <n v="22.557062999999999"/>
  </r>
  <r>
    <s v="BATCH01535"/>
    <x v="3"/>
    <x v="0"/>
    <x v="0"/>
    <n v="553.63"/>
    <n v="11.95"/>
    <n v="26.33"/>
    <n v="2.4"/>
    <n v="1"/>
    <n v="15"/>
    <s v="C"/>
    <n v="8.19"/>
    <x v="1"/>
    <n v="55.19"/>
    <x v="2"/>
    <n v="6.5"/>
    <n v="5.09"/>
    <n v="3598.5949999999998"/>
    <n v="2817.9766999999997"/>
    <n v="-780.61830000000009"/>
    <n v="-0.27701375245579574"/>
    <n v="45.342297000000002"/>
  </r>
  <r>
    <s v="BATCH01536"/>
    <x v="2"/>
    <x v="3"/>
    <x v="1"/>
    <n v="280.39"/>
    <n v="14.46"/>
    <n v="39.520000000000003"/>
    <n v="5.2"/>
    <n v="3.1"/>
    <n v="29"/>
    <s v="A"/>
    <n v="1.34"/>
    <x v="1"/>
    <n v="58.93"/>
    <x v="0"/>
    <n v="8.6199999999999992"/>
    <n v="10.31"/>
    <n v="2416.9617999999996"/>
    <n v="2890.8209000000002"/>
    <n v="473.85910000000058"/>
    <n v="0.16391852570320098"/>
    <n v="3.7572260000000002"/>
  </r>
  <r>
    <s v="BATCH01537"/>
    <x v="3"/>
    <x v="3"/>
    <x v="0"/>
    <n v="483.79"/>
    <n v="9.51"/>
    <n v="25.14"/>
    <n v="2.5"/>
    <n v="1.8"/>
    <n v="4"/>
    <s v="B"/>
    <n v="4.17"/>
    <x v="2"/>
    <n v="91.18"/>
    <x v="1"/>
    <n v="4.95"/>
    <n v="14.53"/>
    <n v="2394.7605000000003"/>
    <n v="7029.4687000000004"/>
    <n v="4634.7082"/>
    <n v="0.6593255333792154"/>
    <n v="20.174043000000001"/>
  </r>
  <r>
    <s v="BATCH01538"/>
    <x v="3"/>
    <x v="1"/>
    <x v="1"/>
    <n v="514.29999999999995"/>
    <n v="17.329999999999998"/>
    <n v="29.12"/>
    <n v="0.9"/>
    <n v="0.6"/>
    <n v="16"/>
    <s v="C"/>
    <n v="1.31"/>
    <x v="1"/>
    <n v="55.21"/>
    <x v="0"/>
    <n v="4.9400000000000004"/>
    <n v="6.55"/>
    <n v="2540.6419999999998"/>
    <n v="3368.6649999999995"/>
    <n v="828.02299999999968"/>
    <n v="0.2458015267175572"/>
    <n v="6.7373299999999992"/>
  </r>
  <r>
    <s v="BATCH01539"/>
    <x v="2"/>
    <x v="3"/>
    <x v="0"/>
    <n v="584.96"/>
    <n v="11.83"/>
    <n v="20.6"/>
    <n v="2.5"/>
    <n v="1"/>
    <n v="15"/>
    <s v="A"/>
    <n v="1.82"/>
    <x v="0"/>
    <n v="73.349999999999994"/>
    <x v="1"/>
    <n v="8.84"/>
    <n v="10.73"/>
    <n v="5171.0464000000002"/>
    <n v="6276.6208000000006"/>
    <n v="1105.5744000000004"/>
    <n v="0.17614165890027964"/>
    <n v="10.646272000000002"/>
  </r>
  <r>
    <s v="BATCH01540"/>
    <x v="0"/>
    <x v="2"/>
    <x v="1"/>
    <n v="569.29"/>
    <n v="15.3"/>
    <n v="27.94"/>
    <n v="0.1"/>
    <n v="0.2"/>
    <n v="18"/>
    <s v="A"/>
    <n v="0.54"/>
    <x v="0"/>
    <n v="59.76"/>
    <x v="2"/>
    <n v="4.03"/>
    <n v="14.62"/>
    <n v="2294.2386999999999"/>
    <n v="8323.0197999999982"/>
    <n v="6028.7810999999983"/>
    <n v="0.72435020519835835"/>
    <n v="3.074166"/>
  </r>
  <r>
    <s v="BATCH01541"/>
    <x v="0"/>
    <x v="2"/>
    <x v="0"/>
    <n v="558.26"/>
    <n v="8.1999999999999993"/>
    <n v="31.43"/>
    <n v="1"/>
    <n v="0.8"/>
    <n v="7"/>
    <s v="C"/>
    <n v="0.59"/>
    <x v="0"/>
    <n v="58.12"/>
    <x v="0"/>
    <n v="7.32"/>
    <n v="13.61"/>
    <n v="4086.4632000000001"/>
    <n v="7597.9186"/>
    <n v="3511.4553999999998"/>
    <n v="0.46216017634092577"/>
    <n v="3.2937340000000002"/>
  </r>
  <r>
    <s v="BATCH01542"/>
    <x v="1"/>
    <x v="3"/>
    <x v="0"/>
    <n v="420.01"/>
    <n v="10.050000000000001"/>
    <n v="39.06"/>
    <n v="1"/>
    <n v="4"/>
    <n v="15"/>
    <s v="C"/>
    <n v="4.1100000000000003"/>
    <x v="0"/>
    <n v="60.29"/>
    <x v="2"/>
    <n v="9.69"/>
    <n v="13.5"/>
    <n v="4069.8968999999997"/>
    <n v="5670.1350000000002"/>
    <n v="1600.2381000000005"/>
    <n v="0.28222222222222232"/>
    <n v="17.262411"/>
  </r>
  <r>
    <s v="BATCH01543"/>
    <x v="2"/>
    <x v="2"/>
    <x v="0"/>
    <n v="309.2"/>
    <n v="12.87"/>
    <n v="30.33"/>
    <n v="0.4"/>
    <n v="0.7"/>
    <n v="22"/>
    <s v="C"/>
    <n v="8.19"/>
    <x v="1"/>
    <n v="74.64"/>
    <x v="1"/>
    <n v="8.89"/>
    <n v="13.22"/>
    <n v="2748.788"/>
    <n v="4087.6240000000003"/>
    <n v="1338.8360000000002"/>
    <n v="0.32753403933434194"/>
    <n v="25.32348"/>
  </r>
  <r>
    <s v="BATCH01544"/>
    <x v="1"/>
    <x v="3"/>
    <x v="0"/>
    <n v="460.69"/>
    <n v="16.78"/>
    <n v="36.380000000000003"/>
    <n v="0"/>
    <n v="2.6"/>
    <n v="11"/>
    <s v="A"/>
    <n v="6.08"/>
    <x v="2"/>
    <n v="61.89"/>
    <x v="2"/>
    <n v="3.43"/>
    <n v="8.09"/>
    <n v="1580.1667"/>
    <n v="3726.9820999999997"/>
    <n v="2146.8153999999995"/>
    <n v="0.57601977750309019"/>
    <n v="28.009951999999998"/>
  </r>
  <r>
    <s v="BATCH01545"/>
    <x v="1"/>
    <x v="3"/>
    <x v="0"/>
    <n v="600.16"/>
    <n v="13.27"/>
    <n v="30.94"/>
    <n v="0.3"/>
    <n v="0.5"/>
    <n v="19"/>
    <s v="B"/>
    <n v="6.53"/>
    <x v="1"/>
    <n v="54.84"/>
    <x v="1"/>
    <n v="5.24"/>
    <n v="13.91"/>
    <n v="3144.8384000000001"/>
    <n v="8348.2255999999998"/>
    <n v="5203.3871999999992"/>
    <n v="0.62329259525521197"/>
    <n v="39.190448000000004"/>
  </r>
  <r>
    <s v="BATCH01546"/>
    <x v="1"/>
    <x v="3"/>
    <x v="0"/>
    <n v="639.35"/>
    <n v="17.3"/>
    <n v="20.82"/>
    <n v="2.1"/>
    <n v="6.8"/>
    <n v="8"/>
    <s v="B"/>
    <n v="5.43"/>
    <x v="0"/>
    <n v="90.07"/>
    <x v="1"/>
    <n v="4"/>
    <n v="14.41"/>
    <n v="2557.4"/>
    <n v="9213.0334999999995"/>
    <n v="6655.6334999999999"/>
    <n v="0.72241498959056216"/>
    <n v="34.716704999999997"/>
  </r>
  <r>
    <s v="BATCH01547"/>
    <x v="0"/>
    <x v="1"/>
    <x v="0"/>
    <n v="571.04999999999995"/>
    <n v="12.84"/>
    <n v="26.3"/>
    <n v="3.2"/>
    <n v="0.9"/>
    <n v="24"/>
    <s v="C"/>
    <n v="8.2899999999999991"/>
    <x v="1"/>
    <n v="76.989999999999995"/>
    <x v="2"/>
    <n v="9.64"/>
    <n v="9.9600000000000009"/>
    <n v="5504.9219999999996"/>
    <n v="5687.6580000000004"/>
    <n v="182.73600000000079"/>
    <n v="3.2128514056225035E-2"/>
    <n v="47.340044999999989"/>
  </r>
  <r>
    <s v="BATCH01548"/>
    <x v="2"/>
    <x v="3"/>
    <x v="0"/>
    <n v="542.92999999999995"/>
    <n v="12.9"/>
    <n v="31.51"/>
    <n v="8.9"/>
    <n v="0"/>
    <n v="1"/>
    <s v="A"/>
    <n v="8.86"/>
    <x v="1"/>
    <n v="57.84"/>
    <x v="1"/>
    <n v="9.9"/>
    <n v="8.5500000000000007"/>
    <n v="5375.0069999999996"/>
    <n v="4642.0514999999996"/>
    <n v="-732.95550000000003"/>
    <n v="-0.15789473684210528"/>
    <n v="48.103597999999991"/>
  </r>
  <r>
    <s v="BATCH01549"/>
    <x v="1"/>
    <x v="1"/>
    <x v="0"/>
    <n v="537.96"/>
    <n v="9.1999999999999993"/>
    <n v="39.01"/>
    <n v="0.9"/>
    <n v="0.9"/>
    <n v="3"/>
    <s v="A"/>
    <n v="8.57"/>
    <x v="0"/>
    <n v="73.569999999999993"/>
    <x v="2"/>
    <n v="4.6399999999999997"/>
    <n v="9.14"/>
    <n v="2496.1343999999999"/>
    <n v="4916.9544000000005"/>
    <n v="2420.8200000000006"/>
    <n v="0.49234135667396067"/>
    <n v="46.103172000000001"/>
  </r>
  <r>
    <s v="BATCH01550"/>
    <x v="2"/>
    <x v="3"/>
    <x v="1"/>
    <n v="444.39"/>
    <n v="16.03"/>
    <n v="37.18"/>
    <n v="1.8"/>
    <n v="0.3"/>
    <n v="5"/>
    <s v="C"/>
    <n v="8.2200000000000006"/>
    <x v="2"/>
    <n v="53.42"/>
    <x v="2"/>
    <n v="7.69"/>
    <n v="8.34"/>
    <n v="3417.3591000000001"/>
    <n v="3706.2125999999998"/>
    <n v="288.85349999999971"/>
    <n v="7.7937649880095855E-2"/>
    <n v="36.528858"/>
  </r>
  <r>
    <s v="BATCH01551"/>
    <x v="2"/>
    <x v="3"/>
    <x v="1"/>
    <n v="486.99"/>
    <n v="10.47"/>
    <n v="24.57"/>
    <n v="5.5"/>
    <n v="0"/>
    <n v="18"/>
    <s v="A"/>
    <n v="2.2400000000000002"/>
    <x v="1"/>
    <n v="79.02"/>
    <x v="2"/>
    <n v="8.89"/>
    <n v="7.12"/>
    <n v="4329.3411000000006"/>
    <n v="3467.3688000000002"/>
    <n v="-861.97230000000036"/>
    <n v="-0.24859550561797761"/>
    <n v="10.908576"/>
  </r>
  <r>
    <s v="BATCH01552"/>
    <x v="0"/>
    <x v="3"/>
    <x v="0"/>
    <n v="666.91"/>
    <n v="17"/>
    <n v="24.4"/>
    <n v="0.4"/>
    <n v="1.7"/>
    <n v="12"/>
    <s v="A"/>
    <n v="6.14"/>
    <x v="1"/>
    <n v="67.02"/>
    <x v="1"/>
    <n v="4.6399999999999997"/>
    <n v="11.18"/>
    <n v="3094.4623999999994"/>
    <n v="7456.0537999999997"/>
    <n v="4361.5914000000002"/>
    <n v="0.58497316636851526"/>
    <n v="40.948273999999998"/>
  </r>
  <r>
    <s v="BATCH01553"/>
    <x v="1"/>
    <x v="2"/>
    <x v="1"/>
    <n v="405.74"/>
    <n v="17.11"/>
    <n v="24.02"/>
    <n v="2.5"/>
    <n v="0.3"/>
    <n v="12"/>
    <s v="A"/>
    <n v="6.03"/>
    <x v="0"/>
    <n v="55.18"/>
    <x v="1"/>
    <n v="4.3099999999999996"/>
    <n v="10.63"/>
    <n v="1748.7393999999999"/>
    <n v="4313.0162"/>
    <n v="2564.2768000000001"/>
    <n v="0.59454374412041389"/>
    <n v="24.466121999999999"/>
  </r>
  <r>
    <s v="BATCH01554"/>
    <x v="1"/>
    <x v="1"/>
    <x v="0"/>
    <n v="661.48"/>
    <n v="17.43"/>
    <n v="38.450000000000003"/>
    <n v="2.8"/>
    <n v="1.6"/>
    <n v="21"/>
    <s v="C"/>
    <n v="5.52"/>
    <x v="2"/>
    <n v="59.18"/>
    <x v="0"/>
    <n v="3.08"/>
    <n v="9.6300000000000008"/>
    <n v="2037.3584000000001"/>
    <n v="6370.0524000000005"/>
    <n v="4332.6940000000004"/>
    <n v="0.68016614745586712"/>
    <n v="36.513696000000003"/>
  </r>
  <r>
    <s v="BATCH01555"/>
    <x v="2"/>
    <x v="1"/>
    <x v="0"/>
    <n v="467.8"/>
    <n v="13.2"/>
    <n v="37.049999999999997"/>
    <n v="0.2"/>
    <n v="0.3"/>
    <n v="27"/>
    <s v="C"/>
    <n v="5.07"/>
    <x v="0"/>
    <n v="67.290000000000006"/>
    <x v="2"/>
    <n v="5.88"/>
    <n v="5.96"/>
    <n v="2750.6640000000002"/>
    <n v="2788.0880000000002"/>
    <n v="37.423999999999978"/>
    <n v="1.34228187919463E-2"/>
    <n v="23.717460000000003"/>
  </r>
  <r>
    <s v="BATCH01556"/>
    <x v="3"/>
    <x v="3"/>
    <x v="1"/>
    <n v="632.54"/>
    <n v="14.77"/>
    <n v="35.5"/>
    <n v="4"/>
    <n v="0.2"/>
    <n v="26"/>
    <s v="C"/>
    <n v="1.35"/>
    <x v="0"/>
    <n v="90.32"/>
    <x v="2"/>
    <n v="9.3000000000000007"/>
    <n v="12.97"/>
    <n v="5882.6220000000003"/>
    <n v="8204.0437999999995"/>
    <n v="2321.4217999999992"/>
    <n v="0.28296067848882028"/>
    <n v="8.5392899999999994"/>
  </r>
  <r>
    <s v="BATCH01557"/>
    <x v="0"/>
    <x v="3"/>
    <x v="0"/>
    <n v="359.32"/>
    <n v="15.79"/>
    <n v="27.85"/>
    <n v="3.4"/>
    <n v="3.6"/>
    <n v="19"/>
    <s v="B"/>
    <n v="1.47"/>
    <x v="1"/>
    <n v="58.69"/>
    <x v="2"/>
    <n v="9.32"/>
    <n v="6.75"/>
    <n v="3348.8624"/>
    <n v="2425.41"/>
    <n v="-923.45240000000013"/>
    <n v="-0.38074074074074082"/>
    <n v="5.2820039999999997"/>
  </r>
  <r>
    <s v="BATCH01558"/>
    <x v="0"/>
    <x v="2"/>
    <x v="0"/>
    <n v="558.59"/>
    <n v="9.31"/>
    <n v="30.09"/>
    <n v="0.1"/>
    <n v="0.4"/>
    <n v="9"/>
    <s v="B"/>
    <n v="9.07"/>
    <x v="2"/>
    <n v="55.48"/>
    <x v="2"/>
    <n v="3.89"/>
    <n v="6.15"/>
    <n v="2172.9151000000002"/>
    <n v="3435.3285000000005"/>
    <n v="1262.4134000000004"/>
    <n v="0.36747967479674803"/>
    <n v="50.664113000000008"/>
  </r>
  <r>
    <s v="BATCH01559"/>
    <x v="0"/>
    <x v="2"/>
    <x v="1"/>
    <n v="426.32"/>
    <n v="14.01"/>
    <n v="29.29"/>
    <n v="0.2"/>
    <n v="0.9"/>
    <n v="11"/>
    <s v="C"/>
    <n v="6.49"/>
    <x v="0"/>
    <n v="75.8"/>
    <x v="2"/>
    <n v="4.43"/>
    <n v="11.23"/>
    <n v="1888.5975999999998"/>
    <n v="4787.5735999999997"/>
    <n v="2898.9759999999997"/>
    <n v="0.60552092609082808"/>
    <n v="27.668168000000001"/>
  </r>
  <r>
    <s v="BATCH01560"/>
    <x v="0"/>
    <x v="2"/>
    <x v="1"/>
    <n v="358.47"/>
    <n v="8.34"/>
    <n v="25.07"/>
    <n v="0.1"/>
    <n v="0.9"/>
    <n v="17"/>
    <s v="A"/>
    <n v="2.99"/>
    <x v="1"/>
    <n v="77.930000000000007"/>
    <x v="2"/>
    <n v="5.86"/>
    <n v="8.99"/>
    <n v="2100.6342000000004"/>
    <n v="3222.6453000000001"/>
    <n v="1122.0110999999997"/>
    <n v="0.34816462736373738"/>
    <n v="10.718253000000002"/>
  </r>
  <r>
    <s v="BATCH01561"/>
    <x v="1"/>
    <x v="1"/>
    <x v="0"/>
    <n v="521.85"/>
    <n v="12.98"/>
    <n v="30.1"/>
    <n v="0.8"/>
    <n v="0.8"/>
    <n v="16"/>
    <s v="A"/>
    <n v="3.15"/>
    <x v="0"/>
    <n v="54.51"/>
    <x v="2"/>
    <n v="8.4600000000000009"/>
    <n v="5.6"/>
    <n v="4414.8510000000006"/>
    <n v="2922.36"/>
    <n v="-1492.4910000000004"/>
    <n v="-0.51071428571428579"/>
    <n v="16.438275000000001"/>
  </r>
  <r>
    <s v="BATCH01562"/>
    <x v="1"/>
    <x v="1"/>
    <x v="1"/>
    <n v="600.95000000000005"/>
    <n v="9.5500000000000007"/>
    <n v="20.61"/>
    <n v="1.4"/>
    <n v="2.5"/>
    <n v="4"/>
    <s v="C"/>
    <n v="6.3"/>
    <x v="1"/>
    <n v="64.22"/>
    <x v="0"/>
    <n v="7.28"/>
    <n v="8.56"/>
    <n v="4374.9160000000002"/>
    <n v="5144.1320000000005"/>
    <n v="769.21600000000035"/>
    <n v="0.14953271028037388"/>
    <n v="37.859850000000002"/>
  </r>
  <r>
    <s v="BATCH01563"/>
    <x v="3"/>
    <x v="1"/>
    <x v="1"/>
    <n v="415.51"/>
    <n v="9.83"/>
    <n v="22.64"/>
    <n v="1.5"/>
    <n v="1.1000000000000001"/>
    <n v="10"/>
    <s v="A"/>
    <n v="4.37"/>
    <x v="2"/>
    <n v="63.14"/>
    <x v="0"/>
    <n v="6.6"/>
    <n v="12.72"/>
    <n v="2742.366"/>
    <n v="5285.2871999999998"/>
    <n v="2542.9211999999998"/>
    <n v="0.48113207547169812"/>
    <n v="18.157786999999999"/>
  </r>
  <r>
    <s v="BATCH01564"/>
    <x v="0"/>
    <x v="3"/>
    <x v="0"/>
    <n v="350.1"/>
    <n v="11.65"/>
    <n v="37.729999999999997"/>
    <n v="0.6"/>
    <n v="0.5"/>
    <n v="22"/>
    <s v="A"/>
    <n v="4.6900000000000004"/>
    <x v="0"/>
    <n v="59.31"/>
    <x v="2"/>
    <n v="7.14"/>
    <n v="11.15"/>
    <n v="2499.7139999999999"/>
    <n v="3903.6150000000002"/>
    <n v="1403.9010000000003"/>
    <n v="0.35964125560538124"/>
    <n v="16.419690000000003"/>
  </r>
  <r>
    <s v="BATCH01565"/>
    <x v="0"/>
    <x v="1"/>
    <x v="1"/>
    <n v="490.82"/>
    <n v="12.32"/>
    <n v="35.03"/>
    <n v="4.9000000000000004"/>
    <n v="2"/>
    <n v="15"/>
    <s v="B"/>
    <n v="1.08"/>
    <x v="2"/>
    <n v="65.78"/>
    <x v="2"/>
    <n v="3.67"/>
    <n v="8.6300000000000008"/>
    <n v="1801.3093999999999"/>
    <n v="4235.7766000000001"/>
    <n v="2434.4672"/>
    <n v="0.57473928157589804"/>
    <n v="5.3008559999999996"/>
  </r>
  <r>
    <s v="BATCH01566"/>
    <x v="2"/>
    <x v="0"/>
    <x v="1"/>
    <n v="491.26"/>
    <n v="14.23"/>
    <n v="28.46"/>
    <n v="0.9"/>
    <n v="0.2"/>
    <n v="25"/>
    <s v="A"/>
    <n v="1.82"/>
    <x v="2"/>
    <n v="51.86"/>
    <x v="0"/>
    <n v="6.34"/>
    <n v="6.92"/>
    <n v="3114.5884000000001"/>
    <n v="3399.5191999999997"/>
    <n v="284.93079999999964"/>
    <n v="8.3815028901734007E-2"/>
    <n v="8.9409320000000001"/>
  </r>
  <r>
    <s v="BATCH01567"/>
    <x v="1"/>
    <x v="0"/>
    <x v="0"/>
    <n v="554.83000000000004"/>
    <n v="8.74"/>
    <n v="30.34"/>
    <n v="0.1"/>
    <n v="0.8"/>
    <n v="19"/>
    <s v="A"/>
    <n v="4.24"/>
    <x v="1"/>
    <n v="82.58"/>
    <x v="0"/>
    <n v="9.94"/>
    <n v="11.32"/>
    <n v="5515.0101999999997"/>
    <n v="6280.6756000000005"/>
    <n v="765.66540000000077"/>
    <n v="0.12190812720848068"/>
    <n v="23.524792000000001"/>
  </r>
  <r>
    <s v="BATCH01568"/>
    <x v="0"/>
    <x v="2"/>
    <x v="1"/>
    <n v="594.96"/>
    <n v="13.04"/>
    <n v="27.4"/>
    <n v="0.7"/>
    <n v="3"/>
    <n v="3"/>
    <s v="C"/>
    <n v="7.15"/>
    <x v="0"/>
    <n v="99.42"/>
    <x v="2"/>
    <n v="3.62"/>
    <n v="13.88"/>
    <n v="2153.7552000000001"/>
    <n v="8258.0448000000015"/>
    <n v="6104.2896000000019"/>
    <n v="0.73919308357348712"/>
    <n v="42.539640000000006"/>
  </r>
  <r>
    <s v="BATCH01569"/>
    <x v="3"/>
    <x v="1"/>
    <x v="1"/>
    <n v="494.06"/>
    <n v="9.83"/>
    <n v="34.82"/>
    <n v="1.5"/>
    <n v="1"/>
    <n v="28"/>
    <s v="B"/>
    <n v="0.96"/>
    <x v="0"/>
    <n v="81.7"/>
    <x v="2"/>
    <n v="6.63"/>
    <n v="11.46"/>
    <n v="3275.6178"/>
    <n v="5661.9276000000009"/>
    <n v="2386.3098000000009"/>
    <n v="0.42146596858638752"/>
    <n v="4.7429759999999996"/>
  </r>
  <r>
    <s v="BATCH01570"/>
    <x v="3"/>
    <x v="0"/>
    <x v="0"/>
    <n v="685.55"/>
    <n v="13.74"/>
    <n v="35.68"/>
    <n v="1"/>
    <n v="1.7"/>
    <n v="21"/>
    <s v="B"/>
    <n v="3.68"/>
    <x v="1"/>
    <n v="68.05"/>
    <x v="0"/>
    <n v="5.07"/>
    <n v="13.13"/>
    <n v="3475.7384999999999"/>
    <n v="9001.2715000000007"/>
    <n v="5525.5330000000013"/>
    <n v="0.61386138613861396"/>
    <n v="25.22824"/>
  </r>
  <r>
    <s v="BATCH01571"/>
    <x v="1"/>
    <x v="2"/>
    <x v="0"/>
    <n v="522.41999999999996"/>
    <n v="14.37"/>
    <n v="35.270000000000003"/>
    <n v="0.6"/>
    <n v="1.1000000000000001"/>
    <n v="23"/>
    <s v="A"/>
    <n v="7.1"/>
    <x v="1"/>
    <n v="83.4"/>
    <x v="0"/>
    <n v="6.78"/>
    <n v="10.220000000000001"/>
    <n v="3542.0075999999999"/>
    <n v="5339.1323999999995"/>
    <n v="1797.1247999999996"/>
    <n v="0.33659491193737767"/>
    <n v="37.091819999999991"/>
  </r>
  <r>
    <s v="BATCH01572"/>
    <x v="3"/>
    <x v="1"/>
    <x v="0"/>
    <n v="465.36"/>
    <n v="13.57"/>
    <n v="34.450000000000003"/>
    <n v="0.3"/>
    <n v="1.8"/>
    <n v="5"/>
    <s v="C"/>
    <n v="8.02"/>
    <x v="2"/>
    <n v="78.58"/>
    <x v="2"/>
    <n v="7.02"/>
    <n v="12.18"/>
    <n v="3266.8271999999997"/>
    <n v="5668.0847999999996"/>
    <n v="2401.2575999999999"/>
    <n v="0.42364532019704437"/>
    <n v="37.321871999999999"/>
  </r>
  <r>
    <s v="BATCH01573"/>
    <x v="3"/>
    <x v="3"/>
    <x v="1"/>
    <n v="338.84"/>
    <n v="15.38"/>
    <n v="24.09"/>
    <n v="3.4"/>
    <n v="2.9"/>
    <n v="11"/>
    <s v="B"/>
    <n v="2.31"/>
    <x v="0"/>
    <n v="92.34"/>
    <x v="0"/>
    <n v="7.04"/>
    <n v="13.96"/>
    <n v="2385.4335999999998"/>
    <n v="4730.2064"/>
    <n v="2344.7728000000002"/>
    <n v="0.49570200573065909"/>
    <n v="7.8272039999999992"/>
  </r>
  <r>
    <s v="BATCH01574"/>
    <x v="1"/>
    <x v="0"/>
    <x v="0"/>
    <n v="473.73"/>
    <n v="11.36"/>
    <n v="26.76"/>
    <n v="11.1"/>
    <n v="0.3"/>
    <n v="24"/>
    <s v="B"/>
    <n v="7.45"/>
    <x v="0"/>
    <n v="81.09"/>
    <x v="2"/>
    <n v="8.9700000000000006"/>
    <n v="12.73"/>
    <n v="4249.3581000000004"/>
    <n v="6030.5829000000003"/>
    <n v="1781.2248"/>
    <n v="0.29536527886881381"/>
    <n v="35.292884999999998"/>
  </r>
  <r>
    <s v="BATCH01575"/>
    <x v="0"/>
    <x v="3"/>
    <x v="0"/>
    <n v="466.36"/>
    <n v="15.65"/>
    <n v="29.4"/>
    <n v="0.8"/>
    <n v="0.2"/>
    <n v="5"/>
    <s v="A"/>
    <n v="9.58"/>
    <x v="1"/>
    <n v="81.7"/>
    <x v="1"/>
    <n v="5.73"/>
    <n v="14.1"/>
    <n v="2672.2428000000004"/>
    <n v="6575.6760000000004"/>
    <n v="3903.4331999999999"/>
    <n v="0.59361702127659566"/>
    <n v="44.677287999999997"/>
  </r>
  <r>
    <s v="BATCH01576"/>
    <x v="0"/>
    <x v="1"/>
    <x v="1"/>
    <n v="596.03"/>
    <n v="12.33"/>
    <n v="26.62"/>
    <n v="1"/>
    <n v="0.7"/>
    <n v="7"/>
    <s v="B"/>
    <n v="9.11"/>
    <x v="1"/>
    <n v="61.08"/>
    <x v="2"/>
    <n v="6.61"/>
    <n v="9.31"/>
    <n v="3939.7583"/>
    <n v="5549.0393000000004"/>
    <n v="1609.2810000000004"/>
    <n v="0.29001074113856073"/>
    <n v="54.298332999999992"/>
  </r>
  <r>
    <s v="BATCH01577"/>
    <x v="3"/>
    <x v="0"/>
    <x v="0"/>
    <n v="546.25"/>
    <n v="12.84"/>
    <n v="35.1"/>
    <n v="1.9"/>
    <n v="1.2"/>
    <n v="6"/>
    <s v="C"/>
    <n v="8"/>
    <x v="1"/>
    <n v="70.78"/>
    <x v="2"/>
    <n v="3.08"/>
    <n v="14.04"/>
    <n v="1682.45"/>
    <n v="7669.3499999999995"/>
    <n v="5986.9"/>
    <n v="0.78062678062678059"/>
    <n v="43.7"/>
  </r>
  <r>
    <s v="BATCH01578"/>
    <x v="3"/>
    <x v="1"/>
    <x v="0"/>
    <n v="382.06"/>
    <n v="14.48"/>
    <n v="26.59"/>
    <n v="2.5"/>
    <n v="0.3"/>
    <n v="26"/>
    <s v="C"/>
    <n v="7.27"/>
    <x v="0"/>
    <n v="67.22"/>
    <x v="2"/>
    <n v="8.5299999999999994"/>
    <n v="11.22"/>
    <n v="3258.9717999999998"/>
    <n v="4286.7132000000001"/>
    <n v="1027.7414000000003"/>
    <n v="0.23975044563279865"/>
    <n v="27.775762"/>
  </r>
  <r>
    <s v="BATCH01579"/>
    <x v="0"/>
    <x v="3"/>
    <x v="0"/>
    <n v="517.23"/>
    <n v="8.18"/>
    <n v="22.76"/>
    <n v="1"/>
    <n v="0"/>
    <n v="13"/>
    <s v="B"/>
    <n v="2.73"/>
    <x v="0"/>
    <n v="50.57"/>
    <x v="0"/>
    <n v="4.82"/>
    <n v="13.7"/>
    <n v="2493.0486000000001"/>
    <n v="7086.0509999999995"/>
    <n v="4593.0023999999994"/>
    <n v="0.64817518248175177"/>
    <n v="14.120379"/>
  </r>
  <r>
    <s v="BATCH01580"/>
    <x v="1"/>
    <x v="0"/>
    <x v="0"/>
    <n v="567.15"/>
    <n v="14.54"/>
    <n v="27.98"/>
    <n v="4.7"/>
    <n v="0.4"/>
    <n v="2"/>
    <s v="C"/>
    <n v="6.52"/>
    <x v="2"/>
    <n v="65.66"/>
    <x v="2"/>
    <n v="8.7200000000000006"/>
    <n v="5.39"/>
    <n v="4945.5479999999998"/>
    <n v="3056.9384999999997"/>
    <n v="-1888.6095"/>
    <n v="-0.61781076066790364"/>
    <n v="36.978179999999995"/>
  </r>
  <r>
    <s v="BATCH01581"/>
    <x v="3"/>
    <x v="3"/>
    <x v="1"/>
    <n v="652.79999999999995"/>
    <n v="14.19"/>
    <n v="39.6"/>
    <n v="1.6"/>
    <n v="3.5"/>
    <n v="19"/>
    <s v="C"/>
    <n v="6.61"/>
    <x v="1"/>
    <n v="74.3"/>
    <x v="2"/>
    <n v="4.8600000000000003"/>
    <n v="11.58"/>
    <n v="3172.6080000000002"/>
    <n v="7559.4239999999991"/>
    <n v="4386.8159999999989"/>
    <n v="0.5803108808290155"/>
    <n v="43.150079999999996"/>
  </r>
  <r>
    <s v="BATCH01582"/>
    <x v="2"/>
    <x v="1"/>
    <x v="0"/>
    <n v="588.75"/>
    <n v="11.1"/>
    <n v="24.52"/>
    <n v="1.2"/>
    <n v="1.2"/>
    <n v="11"/>
    <s v="A"/>
    <n v="4.3600000000000003"/>
    <x v="2"/>
    <n v="79.989999999999995"/>
    <x v="0"/>
    <n v="3.08"/>
    <n v="13.48"/>
    <n v="1813.3500000000001"/>
    <n v="7936.35"/>
    <n v="6123"/>
    <n v="0.771513353115727"/>
    <n v="25.669500000000003"/>
  </r>
  <r>
    <s v="BATCH01583"/>
    <x v="1"/>
    <x v="1"/>
    <x v="0"/>
    <n v="576.08000000000004"/>
    <n v="8.86"/>
    <n v="32.24"/>
    <n v="2.1"/>
    <n v="0.5"/>
    <n v="27"/>
    <s v="B"/>
    <n v="5.18"/>
    <x v="0"/>
    <n v="96.73"/>
    <x v="1"/>
    <n v="4.08"/>
    <n v="6.74"/>
    <n v="2350.4064000000003"/>
    <n v="3882.7792000000004"/>
    <n v="1532.3728000000001"/>
    <n v="0.39465875370919878"/>
    <n v="29.840944"/>
  </r>
  <r>
    <s v="BATCH01584"/>
    <x v="3"/>
    <x v="3"/>
    <x v="1"/>
    <n v="506.01"/>
    <n v="8.91"/>
    <n v="28.66"/>
    <n v="6.1"/>
    <n v="0.2"/>
    <n v="20"/>
    <s v="B"/>
    <n v="7.09"/>
    <x v="2"/>
    <n v="61.96"/>
    <x v="1"/>
    <n v="9.9"/>
    <n v="11.62"/>
    <n v="5009.4989999999998"/>
    <n v="5879.8361999999997"/>
    <n v="870.33719999999994"/>
    <n v="0.14802065404475043"/>
    <n v="35.876109"/>
  </r>
  <r>
    <s v="BATCH01585"/>
    <x v="3"/>
    <x v="0"/>
    <x v="0"/>
    <n v="538.83000000000004"/>
    <n v="17.23"/>
    <n v="21.42"/>
    <n v="3.2"/>
    <n v="0.4"/>
    <n v="5"/>
    <s v="A"/>
    <n v="9.5399999999999991"/>
    <x v="2"/>
    <n v="57.62"/>
    <x v="0"/>
    <n v="5.24"/>
    <n v="13.25"/>
    <n v="2823.4692000000005"/>
    <n v="7139.4975000000004"/>
    <n v="4316.0282999999999"/>
    <n v="0.60452830188679241"/>
    <n v="51.404381999999998"/>
  </r>
  <r>
    <s v="BATCH01586"/>
    <x v="2"/>
    <x v="3"/>
    <x v="1"/>
    <n v="624.95000000000005"/>
    <n v="14.89"/>
    <n v="29.76"/>
    <n v="0.1"/>
    <n v="0.2"/>
    <n v="9"/>
    <s v="A"/>
    <n v="3.31"/>
    <x v="2"/>
    <n v="93.47"/>
    <x v="2"/>
    <n v="3.76"/>
    <n v="7.88"/>
    <n v="2349.8119999999999"/>
    <n v="4924.6060000000007"/>
    <n v="2574.7940000000008"/>
    <n v="0.52284263959390875"/>
    <n v="20.685845000000004"/>
  </r>
  <r>
    <s v="BATCH01587"/>
    <x v="2"/>
    <x v="1"/>
    <x v="1"/>
    <n v="366.72"/>
    <n v="9.27"/>
    <n v="34.04"/>
    <n v="0.8"/>
    <n v="0.1"/>
    <n v="6"/>
    <s v="A"/>
    <n v="2.84"/>
    <x v="1"/>
    <n v="97.09"/>
    <x v="1"/>
    <n v="3.83"/>
    <n v="9.0500000000000007"/>
    <n v="1404.5376000000001"/>
    <n v="3318.8160000000007"/>
    <n v="1914.2784000000006"/>
    <n v="0.57679558011049725"/>
    <n v="10.414847999999999"/>
  </r>
  <r>
    <s v="BATCH01588"/>
    <x v="0"/>
    <x v="3"/>
    <x v="1"/>
    <n v="465.06"/>
    <n v="11.57"/>
    <n v="30.26"/>
    <n v="1.3"/>
    <n v="2.4"/>
    <n v="17"/>
    <s v="A"/>
    <n v="6.22"/>
    <x v="0"/>
    <n v="74.400000000000006"/>
    <x v="1"/>
    <n v="5.17"/>
    <n v="10.7"/>
    <n v="2404.3602000000001"/>
    <n v="4976.1419999999998"/>
    <n v="2571.7817999999997"/>
    <n v="0.51682242990654204"/>
    <n v="28.926731999999998"/>
  </r>
  <r>
    <s v="BATCH01589"/>
    <x v="1"/>
    <x v="1"/>
    <x v="0"/>
    <n v="422.74"/>
    <n v="13.92"/>
    <n v="37.44"/>
    <n v="0.8"/>
    <n v="6.1"/>
    <n v="19"/>
    <s v="C"/>
    <n v="1.74"/>
    <x v="1"/>
    <n v="55.76"/>
    <x v="0"/>
    <n v="3.26"/>
    <n v="10.19"/>
    <n v="1378.1324"/>
    <n v="4307.7205999999996"/>
    <n v="2929.5881999999997"/>
    <n v="0.68007850834151129"/>
    <n v="7.3556759999999999"/>
  </r>
  <r>
    <s v="BATCH01590"/>
    <x v="1"/>
    <x v="3"/>
    <x v="1"/>
    <n v="537.91999999999996"/>
    <n v="16.36"/>
    <n v="25.78"/>
    <n v="2.4"/>
    <n v="0.2"/>
    <n v="23"/>
    <s v="C"/>
    <n v="6.03"/>
    <x v="2"/>
    <n v="74.27"/>
    <x v="1"/>
    <n v="6.58"/>
    <n v="5.39"/>
    <n v="3539.5135999999998"/>
    <n v="2899.3887999999997"/>
    <n v="-640.12480000000005"/>
    <n v="-0.22077922077922082"/>
    <n v="32.436576000000002"/>
  </r>
  <r>
    <s v="BATCH01591"/>
    <x v="0"/>
    <x v="0"/>
    <x v="1"/>
    <n v="623.02"/>
    <n v="8.44"/>
    <n v="21.72"/>
    <n v="3.5"/>
    <n v="0.1"/>
    <n v="8"/>
    <s v="A"/>
    <n v="1.34"/>
    <x v="1"/>
    <n v="55.47"/>
    <x v="1"/>
    <n v="4.5"/>
    <n v="5.99"/>
    <n v="2803.59"/>
    <n v="3731.8897999999999"/>
    <n v="928.29979999999978"/>
    <n v="0.2487479131886477"/>
    <n v="8.3484680000000004"/>
  </r>
  <r>
    <s v="BATCH01592"/>
    <x v="1"/>
    <x v="0"/>
    <x v="1"/>
    <n v="440.3"/>
    <n v="10.37"/>
    <n v="38.729999999999997"/>
    <n v="2.6"/>
    <n v="0.4"/>
    <n v="7"/>
    <s v="B"/>
    <n v="5.16"/>
    <x v="0"/>
    <n v="94.16"/>
    <x v="0"/>
    <n v="6.64"/>
    <n v="6"/>
    <n v="2923.5920000000001"/>
    <n v="2641.8"/>
    <n v="-281.79199999999992"/>
    <n v="-0.10666666666666663"/>
    <n v="22.719480000000004"/>
  </r>
  <r>
    <s v="BATCH01593"/>
    <x v="1"/>
    <x v="3"/>
    <x v="0"/>
    <n v="260.97000000000003"/>
    <n v="16.899999999999999"/>
    <n v="27.56"/>
    <n v="9.1"/>
    <n v="0.6"/>
    <n v="5"/>
    <s v="B"/>
    <n v="6.39"/>
    <x v="0"/>
    <n v="85.41"/>
    <x v="1"/>
    <n v="3.99"/>
    <n v="7.62"/>
    <n v="1041.2703000000001"/>
    <n v="1988.5914000000002"/>
    <n v="947.32110000000011"/>
    <n v="0.4763779527559055"/>
    <n v="16.675983000000002"/>
  </r>
  <r>
    <s v="BATCH01594"/>
    <x v="1"/>
    <x v="3"/>
    <x v="0"/>
    <n v="458.78"/>
    <n v="8.09"/>
    <n v="31.53"/>
    <n v="0.6"/>
    <n v="0.2"/>
    <n v="15"/>
    <s v="B"/>
    <n v="1.17"/>
    <x v="2"/>
    <n v="62.06"/>
    <x v="2"/>
    <n v="6.01"/>
    <n v="7.46"/>
    <n v="2757.2677999999996"/>
    <n v="3422.4987999999998"/>
    <n v="665.23100000000022"/>
    <n v="0.1943699731903486"/>
    <n v="5.3677259999999993"/>
  </r>
  <r>
    <s v="BATCH01595"/>
    <x v="1"/>
    <x v="0"/>
    <x v="0"/>
    <n v="591.35"/>
    <n v="10.01"/>
    <n v="35.840000000000003"/>
    <n v="4.2"/>
    <n v="0.4"/>
    <n v="10"/>
    <s v="A"/>
    <n v="2.4700000000000002"/>
    <x v="2"/>
    <n v="94.33"/>
    <x v="0"/>
    <n v="7.19"/>
    <n v="12.42"/>
    <n v="4251.8065000000006"/>
    <n v="7344.567"/>
    <n v="3092.7604999999994"/>
    <n v="0.42109500805152972"/>
    <n v="14.606345000000001"/>
  </r>
  <r>
    <s v="BATCH01596"/>
    <x v="1"/>
    <x v="1"/>
    <x v="0"/>
    <n v="553.76"/>
    <n v="17.59"/>
    <n v="26.49"/>
    <n v="2.9"/>
    <n v="0.2"/>
    <n v="24"/>
    <s v="C"/>
    <n v="3.69"/>
    <x v="1"/>
    <n v="81.900000000000006"/>
    <x v="2"/>
    <n v="3.43"/>
    <n v="10.73"/>
    <n v="1899.3968"/>
    <n v="5941.8447999999999"/>
    <n v="4042.4479999999999"/>
    <n v="0.68033550792171482"/>
    <n v="20.433744000000001"/>
  </r>
  <r>
    <s v="BATCH01597"/>
    <x v="2"/>
    <x v="0"/>
    <x v="0"/>
    <n v="542.82000000000005"/>
    <n v="14.13"/>
    <n v="34.32"/>
    <n v="0.9"/>
    <n v="1.5"/>
    <n v="16"/>
    <s v="C"/>
    <n v="4"/>
    <x v="0"/>
    <n v="97.66"/>
    <x v="2"/>
    <n v="5.79"/>
    <n v="12.64"/>
    <n v="3142.9278000000004"/>
    <n v="6861.2448000000013"/>
    <n v="3718.3170000000009"/>
    <n v="0.54193037974683544"/>
    <n v="21.712800000000001"/>
  </r>
  <r>
    <s v="BATCH01598"/>
    <x v="1"/>
    <x v="1"/>
    <x v="0"/>
    <n v="472"/>
    <n v="10.62"/>
    <n v="22.71"/>
    <n v="2.6"/>
    <n v="1.2"/>
    <n v="9"/>
    <s v="C"/>
    <n v="6.92"/>
    <x v="0"/>
    <n v="99.02"/>
    <x v="0"/>
    <n v="5.12"/>
    <n v="5.7"/>
    <n v="2416.64"/>
    <n v="2690.4"/>
    <n v="273.76000000000022"/>
    <n v="0.10175438596491236"/>
    <n v="32.662399999999998"/>
  </r>
  <r>
    <s v="BATCH01599"/>
    <x v="2"/>
    <x v="3"/>
    <x v="0"/>
    <n v="372.1"/>
    <n v="8.67"/>
    <n v="25.83"/>
    <n v="0.2"/>
    <n v="1"/>
    <n v="7"/>
    <s v="C"/>
    <n v="5.53"/>
    <x v="1"/>
    <n v="50.16"/>
    <x v="1"/>
    <n v="4.68"/>
    <n v="9.85"/>
    <n v="1741.4280000000001"/>
    <n v="3665.1849999999999"/>
    <n v="1923.7569999999998"/>
    <n v="0.52487309644670044"/>
    <n v="20.57713"/>
  </r>
  <r>
    <s v="BATCH01600"/>
    <x v="1"/>
    <x v="3"/>
    <x v="1"/>
    <n v="551.53"/>
    <n v="8.2799999999999994"/>
    <n v="22.89"/>
    <n v="3.1"/>
    <n v="0.5"/>
    <n v="11"/>
    <s v="B"/>
    <n v="4.13"/>
    <x v="0"/>
    <n v="56.01"/>
    <x v="0"/>
    <n v="7.23"/>
    <n v="8.24"/>
    <n v="3987.5619000000002"/>
    <n v="4544.6071999999995"/>
    <n v="557.04529999999932"/>
    <n v="0.12257281553398044"/>
    <n v="22.778188999999998"/>
  </r>
  <r>
    <s v="BATCH01601"/>
    <x v="0"/>
    <x v="1"/>
    <x v="1"/>
    <n v="416.57"/>
    <n v="10.45"/>
    <n v="36.22"/>
    <n v="1.5"/>
    <n v="2.4"/>
    <n v="9"/>
    <s v="B"/>
    <n v="4.78"/>
    <x v="2"/>
    <n v="77.349999999999994"/>
    <x v="1"/>
    <n v="7.12"/>
    <n v="13.5"/>
    <n v="2965.9784"/>
    <n v="5623.6949999999997"/>
    <n v="2657.7165999999997"/>
    <n v="0.47259259259259256"/>
    <n v="19.912046"/>
  </r>
  <r>
    <s v="BATCH01602"/>
    <x v="3"/>
    <x v="3"/>
    <x v="1"/>
    <n v="718.41"/>
    <n v="16.809999999999999"/>
    <n v="24.45"/>
    <n v="0.7"/>
    <n v="3.5"/>
    <n v="17"/>
    <s v="C"/>
    <n v="0.62"/>
    <x v="2"/>
    <n v="97.79"/>
    <x v="2"/>
    <n v="7.41"/>
    <n v="12.08"/>
    <n v="5323.4180999999999"/>
    <n v="8678.3927999999996"/>
    <n v="3354.9746999999998"/>
    <n v="0.38658940397350994"/>
    <n v="4.454142"/>
  </r>
  <r>
    <s v="BATCH01603"/>
    <x v="2"/>
    <x v="1"/>
    <x v="1"/>
    <n v="557.04999999999995"/>
    <n v="12.16"/>
    <n v="34.35"/>
    <n v="2.1"/>
    <n v="0.2"/>
    <n v="9"/>
    <s v="A"/>
    <n v="7.82"/>
    <x v="1"/>
    <n v="99.71"/>
    <x v="1"/>
    <n v="4.1100000000000003"/>
    <n v="13.69"/>
    <n v="2289.4755"/>
    <n v="7626.0144999999993"/>
    <n v="5336.5389999999989"/>
    <n v="0.69978086194302402"/>
    <n v="43.561309999999992"/>
  </r>
  <r>
    <s v="BATCH01604"/>
    <x v="1"/>
    <x v="2"/>
    <x v="0"/>
    <n v="441.94"/>
    <n v="15.2"/>
    <n v="38.869999999999997"/>
    <n v="2.1"/>
    <n v="0.3"/>
    <n v="3"/>
    <s v="C"/>
    <n v="0.89"/>
    <x v="1"/>
    <n v="78.37"/>
    <x v="2"/>
    <n v="5"/>
    <n v="5.46"/>
    <n v="2209.6999999999998"/>
    <n v="2412.9924000000001"/>
    <n v="203.29240000000027"/>
    <n v="8.4249084249084352E-2"/>
    <n v="3.9332659999999997"/>
  </r>
  <r>
    <s v="BATCH01605"/>
    <x v="0"/>
    <x v="0"/>
    <x v="1"/>
    <n v="438.86"/>
    <n v="17.18"/>
    <n v="30.56"/>
    <n v="0.5"/>
    <n v="0.7"/>
    <n v="22"/>
    <s v="C"/>
    <n v="8.3800000000000008"/>
    <x v="1"/>
    <n v="58.69"/>
    <x v="2"/>
    <n v="4.47"/>
    <n v="12.21"/>
    <n v="1961.7041999999999"/>
    <n v="5358.4806000000008"/>
    <n v="3396.7764000000006"/>
    <n v="0.63390663390663393"/>
    <n v="36.776468000000001"/>
  </r>
  <r>
    <s v="BATCH01606"/>
    <x v="3"/>
    <x v="2"/>
    <x v="1"/>
    <n v="490.71"/>
    <n v="12.08"/>
    <n v="30.8"/>
    <n v="0.1"/>
    <n v="0.1"/>
    <n v="8"/>
    <s v="A"/>
    <n v="5.64"/>
    <x v="2"/>
    <n v="58.15"/>
    <x v="2"/>
    <n v="6.78"/>
    <n v="10.4"/>
    <n v="3327.0138000000002"/>
    <n v="5103.384"/>
    <n v="1776.3701999999998"/>
    <n v="0.34807692307692306"/>
    <n v="27.676043999999997"/>
  </r>
  <r>
    <s v="BATCH01607"/>
    <x v="2"/>
    <x v="1"/>
    <x v="1"/>
    <n v="476.05"/>
    <n v="9.91"/>
    <n v="29.22"/>
    <n v="1.1000000000000001"/>
    <n v="0.6"/>
    <n v="19"/>
    <s v="C"/>
    <n v="5.51"/>
    <x v="1"/>
    <n v="88.19"/>
    <x v="0"/>
    <n v="6.23"/>
    <n v="13.25"/>
    <n v="2965.7915000000003"/>
    <n v="6307.6625000000004"/>
    <n v="3341.8710000000001"/>
    <n v="0.52981132075471693"/>
    <n v="26.230354999999999"/>
  </r>
  <r>
    <s v="BATCH01608"/>
    <x v="3"/>
    <x v="0"/>
    <x v="1"/>
    <n v="611.67999999999995"/>
    <n v="13.17"/>
    <n v="26.52"/>
    <n v="1.7"/>
    <n v="0.9"/>
    <n v="20"/>
    <s v="B"/>
    <n v="7.19"/>
    <x v="0"/>
    <n v="79.599999999999994"/>
    <x v="1"/>
    <n v="5.31"/>
    <n v="10.07"/>
    <n v="3248.0207999999993"/>
    <n v="6159.6175999999996"/>
    <n v="2911.5968000000003"/>
    <n v="0.47269116186693155"/>
    <n v="43.979791999999996"/>
  </r>
  <r>
    <s v="BATCH01609"/>
    <x v="0"/>
    <x v="1"/>
    <x v="0"/>
    <n v="518.64"/>
    <n v="17.079999999999998"/>
    <n v="29.51"/>
    <n v="4.2"/>
    <n v="0.7"/>
    <n v="16"/>
    <s v="A"/>
    <n v="8.67"/>
    <x v="1"/>
    <n v="77.44"/>
    <x v="1"/>
    <n v="8.5"/>
    <n v="10.4"/>
    <n v="4408.4399999999996"/>
    <n v="5393.8559999999998"/>
    <n v="985.41600000000017"/>
    <n v="0.18269230769230774"/>
    <n v="44.966087999999999"/>
  </r>
  <r>
    <s v="BATCH01610"/>
    <x v="2"/>
    <x v="0"/>
    <x v="0"/>
    <n v="426.84"/>
    <n v="16.04"/>
    <n v="32.06"/>
    <n v="5.3"/>
    <n v="0.4"/>
    <n v="7"/>
    <s v="A"/>
    <n v="9.4600000000000009"/>
    <x v="0"/>
    <n v="73.290000000000006"/>
    <x v="1"/>
    <n v="3.66"/>
    <n v="5.52"/>
    <n v="1562.2344000000001"/>
    <n v="2356.1567999999997"/>
    <n v="793.9223999999997"/>
    <n v="0.33695652173913032"/>
    <n v="40.379064"/>
  </r>
  <r>
    <s v="BATCH01611"/>
    <x v="3"/>
    <x v="0"/>
    <x v="0"/>
    <n v="689.04"/>
    <n v="8.66"/>
    <n v="39.72"/>
    <n v="1.5"/>
    <n v="0.8"/>
    <n v="28"/>
    <s v="C"/>
    <n v="5.66"/>
    <x v="2"/>
    <n v="86.26"/>
    <x v="2"/>
    <n v="9.82"/>
    <n v="11.69"/>
    <n v="6766.3728000000001"/>
    <n v="8054.8775999999989"/>
    <n v="1288.5047999999988"/>
    <n v="0.15996578272027362"/>
    <n v="38.999663999999996"/>
  </r>
  <r>
    <s v="BATCH01612"/>
    <x v="1"/>
    <x v="0"/>
    <x v="1"/>
    <n v="504.93"/>
    <n v="14.93"/>
    <n v="38.76"/>
    <n v="2.8"/>
    <n v="3.2"/>
    <n v="7"/>
    <s v="B"/>
    <n v="1.93"/>
    <x v="0"/>
    <n v="92.9"/>
    <x v="0"/>
    <n v="3.82"/>
    <n v="7.73"/>
    <n v="1928.8326"/>
    <n v="3903.1089000000002"/>
    <n v="1974.2763000000002"/>
    <n v="0.50582147477360939"/>
    <n v="9.7451489999999996"/>
  </r>
  <r>
    <s v="BATCH01613"/>
    <x v="2"/>
    <x v="0"/>
    <x v="0"/>
    <n v="576.88"/>
    <n v="13.72"/>
    <n v="37.24"/>
    <n v="1.2"/>
    <n v="0.2"/>
    <n v="20"/>
    <s v="B"/>
    <n v="8.85"/>
    <x v="0"/>
    <n v="65.150000000000006"/>
    <x v="1"/>
    <n v="8.41"/>
    <n v="5.2"/>
    <n v="4851.5608000000002"/>
    <n v="2999.7760000000003"/>
    <n v="-1851.7847999999999"/>
    <n v="-0.61730769230769222"/>
    <n v="51.053879999999999"/>
  </r>
  <r>
    <s v="BATCH01614"/>
    <x v="3"/>
    <x v="1"/>
    <x v="1"/>
    <n v="439.18"/>
    <n v="17.07"/>
    <n v="37.78"/>
    <n v="2.7"/>
    <n v="1.1000000000000001"/>
    <n v="25"/>
    <s v="B"/>
    <n v="0.89"/>
    <x v="0"/>
    <n v="61.05"/>
    <x v="1"/>
    <n v="5.58"/>
    <n v="5.66"/>
    <n v="2450.6244000000002"/>
    <n v="2485.7588000000001"/>
    <n v="35.134399999999914"/>
    <n v="1.4134275618374523E-2"/>
    <n v="3.9087019999999999"/>
  </r>
  <r>
    <s v="BATCH01615"/>
    <x v="0"/>
    <x v="0"/>
    <x v="0"/>
    <n v="536.30999999999995"/>
    <n v="9.2200000000000006"/>
    <n v="29.36"/>
    <n v="0.5"/>
    <n v="0"/>
    <n v="13"/>
    <s v="C"/>
    <n v="8.17"/>
    <x v="2"/>
    <n v="83.51"/>
    <x v="0"/>
    <n v="9.06"/>
    <n v="14.57"/>
    <n v="4858.9686000000002"/>
    <n v="7814.0366999999997"/>
    <n v="2955.0680999999995"/>
    <n v="0.37817433081674667"/>
    <n v="43.816526999999994"/>
  </r>
  <r>
    <s v="BATCH01616"/>
    <x v="0"/>
    <x v="0"/>
    <x v="0"/>
    <n v="531.11"/>
    <n v="13.34"/>
    <n v="33.15"/>
    <n v="0.9"/>
    <n v="0.1"/>
    <n v="3"/>
    <s v="C"/>
    <n v="6.96"/>
    <x v="0"/>
    <n v="95.74"/>
    <x v="1"/>
    <n v="3.52"/>
    <n v="8.4600000000000009"/>
    <n v="1869.5072"/>
    <n v="4493.1906000000008"/>
    <n v="2623.6834000000008"/>
    <n v="0.58392434988179676"/>
    <n v="36.965255999999997"/>
  </r>
  <r>
    <s v="BATCH01617"/>
    <x v="2"/>
    <x v="2"/>
    <x v="0"/>
    <n v="311.04000000000002"/>
    <n v="16.79"/>
    <n v="37.9"/>
    <n v="2"/>
    <n v="0.8"/>
    <n v="12"/>
    <s v="B"/>
    <n v="9.09"/>
    <x v="0"/>
    <n v="67.41"/>
    <x v="0"/>
    <n v="5.62"/>
    <n v="13.68"/>
    <n v="1748.0448000000001"/>
    <n v="4255.0272000000004"/>
    <n v="2506.9824000000003"/>
    <n v="0.58918128654970758"/>
    <n v="28.273536"/>
  </r>
  <r>
    <s v="BATCH01618"/>
    <x v="3"/>
    <x v="3"/>
    <x v="0"/>
    <n v="701.53"/>
    <n v="12.1"/>
    <n v="27.86"/>
    <n v="0"/>
    <n v="0.1"/>
    <n v="24"/>
    <s v="C"/>
    <n v="9.0299999999999994"/>
    <x v="1"/>
    <n v="63.62"/>
    <x v="0"/>
    <n v="5.35"/>
    <n v="14.6"/>
    <n v="3753.1854999999996"/>
    <n v="10242.338"/>
    <n v="6489.1525000000001"/>
    <n v="0.63356164383561642"/>
    <n v="63.348158999999995"/>
  </r>
  <r>
    <s v="BATCH01619"/>
    <x v="2"/>
    <x v="3"/>
    <x v="0"/>
    <n v="629.05999999999995"/>
    <n v="12.82"/>
    <n v="39.24"/>
    <n v="2.6"/>
    <n v="0"/>
    <n v="8"/>
    <s v="B"/>
    <n v="1"/>
    <x v="1"/>
    <n v="61.31"/>
    <x v="1"/>
    <n v="9.9499999999999993"/>
    <n v="14.43"/>
    <n v="6259.146999999999"/>
    <n v="9077.3357999999989"/>
    <n v="2818.1887999999999"/>
    <n v="0.3104643104643105"/>
    <n v="6.2905999999999995"/>
  </r>
  <r>
    <s v="BATCH01620"/>
    <x v="2"/>
    <x v="2"/>
    <x v="1"/>
    <n v="460.28"/>
    <n v="8.6999999999999993"/>
    <n v="28.32"/>
    <n v="3.6"/>
    <n v="0.2"/>
    <n v="13"/>
    <s v="C"/>
    <n v="6.29"/>
    <x v="1"/>
    <n v="62.72"/>
    <x v="0"/>
    <n v="9.9"/>
    <n v="13.82"/>
    <n v="4556.7719999999999"/>
    <n v="6361.0695999999998"/>
    <n v="1804.2975999999999"/>
    <n v="0.28364688856729375"/>
    <n v="28.951612000000001"/>
  </r>
  <r>
    <s v="BATCH01621"/>
    <x v="3"/>
    <x v="2"/>
    <x v="0"/>
    <n v="389.77"/>
    <n v="10.78"/>
    <n v="32.020000000000003"/>
    <n v="1"/>
    <n v="0.8"/>
    <n v="20"/>
    <s v="A"/>
    <n v="1.68"/>
    <x v="0"/>
    <n v="56.75"/>
    <x v="0"/>
    <n v="4.33"/>
    <n v="13.95"/>
    <n v="1687.7040999999999"/>
    <n v="5437.2914999999994"/>
    <n v="3749.5873999999994"/>
    <n v="0.68960573476702502"/>
    <n v="6.5481359999999995"/>
  </r>
  <r>
    <s v="BATCH01622"/>
    <x v="3"/>
    <x v="1"/>
    <x v="1"/>
    <n v="534.76"/>
    <n v="11.25"/>
    <n v="34.200000000000003"/>
    <n v="1.2"/>
    <n v="1.2"/>
    <n v="16"/>
    <s v="A"/>
    <n v="1.25"/>
    <x v="0"/>
    <n v="79.84"/>
    <x v="1"/>
    <n v="7.41"/>
    <n v="7.89"/>
    <n v="3962.5716000000002"/>
    <n v="4219.2563999999993"/>
    <n v="256.68479999999909"/>
    <n v="6.0836501901140476E-2"/>
    <n v="6.6845000000000008"/>
  </r>
  <r>
    <s v="BATCH01623"/>
    <x v="1"/>
    <x v="1"/>
    <x v="1"/>
    <n v="508.67"/>
    <n v="17.45"/>
    <n v="39.01"/>
    <n v="3.8"/>
    <n v="0.2"/>
    <n v="7"/>
    <s v="C"/>
    <n v="4.76"/>
    <x v="2"/>
    <n v="64.040000000000006"/>
    <x v="2"/>
    <n v="6.75"/>
    <n v="6.51"/>
    <n v="3433.5225"/>
    <n v="3311.4416999999999"/>
    <n v="-122.08080000000018"/>
    <n v="-3.6866359447004664E-2"/>
    <n v="24.212692000000001"/>
  </r>
  <r>
    <s v="BATCH01624"/>
    <x v="3"/>
    <x v="1"/>
    <x v="1"/>
    <n v="535.57000000000005"/>
    <n v="10.83"/>
    <n v="24.89"/>
    <n v="3"/>
    <n v="1.1000000000000001"/>
    <n v="4"/>
    <s v="C"/>
    <n v="1.43"/>
    <x v="0"/>
    <n v="80.75"/>
    <x v="1"/>
    <n v="4.08"/>
    <n v="11.39"/>
    <n v="2185.1256000000003"/>
    <n v="6100.1423000000004"/>
    <n v="3915.0167000000001"/>
    <n v="0.64179104477611937"/>
    <n v="7.6586509999999999"/>
  </r>
  <r>
    <s v="BATCH01625"/>
    <x v="0"/>
    <x v="2"/>
    <x v="1"/>
    <n v="519.16"/>
    <n v="12.61"/>
    <n v="34.92"/>
    <n v="0.7"/>
    <n v="0.2"/>
    <n v="29"/>
    <s v="B"/>
    <n v="7.42"/>
    <x v="0"/>
    <n v="54.15"/>
    <x v="1"/>
    <n v="4.17"/>
    <n v="9.8800000000000008"/>
    <n v="2164.8971999999999"/>
    <n v="5129.3008"/>
    <n v="2964.4036000000001"/>
    <n v="0.57793522267206476"/>
    <n v="38.521671999999995"/>
  </r>
  <r>
    <s v="BATCH01626"/>
    <x v="2"/>
    <x v="2"/>
    <x v="1"/>
    <n v="550.62"/>
    <n v="14.71"/>
    <n v="30.42"/>
    <n v="0.8"/>
    <n v="1"/>
    <n v="12"/>
    <s v="A"/>
    <n v="9.6999999999999993"/>
    <x v="2"/>
    <n v="55.77"/>
    <x v="2"/>
    <n v="9.92"/>
    <n v="5.99"/>
    <n v="5462.1504000000004"/>
    <n v="3298.2138"/>
    <n v="-2163.9366000000005"/>
    <n v="-0.65609348914858112"/>
    <n v="53.410139999999991"/>
  </r>
  <r>
    <s v="BATCH01627"/>
    <x v="2"/>
    <x v="0"/>
    <x v="0"/>
    <n v="644.73"/>
    <n v="9.6199999999999992"/>
    <n v="25.37"/>
    <n v="2.2999999999999998"/>
    <n v="0.5"/>
    <n v="17"/>
    <s v="B"/>
    <n v="5.91"/>
    <x v="0"/>
    <n v="76.81"/>
    <x v="0"/>
    <n v="6.17"/>
    <n v="11.78"/>
    <n v="3977.9841000000001"/>
    <n v="7594.9193999999998"/>
    <n v="3616.9352999999996"/>
    <n v="0.47623089983022066"/>
    <n v="38.103543000000002"/>
  </r>
  <r>
    <s v="BATCH01628"/>
    <x v="0"/>
    <x v="1"/>
    <x v="0"/>
    <n v="556.80999999999995"/>
    <n v="12.86"/>
    <n v="35.53"/>
    <n v="1.7"/>
    <n v="1.1000000000000001"/>
    <n v="1"/>
    <s v="C"/>
    <n v="2.73"/>
    <x v="2"/>
    <n v="75.58"/>
    <x v="1"/>
    <n v="3.88"/>
    <n v="10.63"/>
    <n v="2160.4227999999998"/>
    <n v="5918.8903"/>
    <n v="3758.4675000000002"/>
    <n v="0.63499529633113827"/>
    <n v="15.200912999999998"/>
  </r>
  <r>
    <s v="BATCH01629"/>
    <x v="3"/>
    <x v="1"/>
    <x v="0"/>
    <n v="395.03"/>
    <n v="15.39"/>
    <n v="31.04"/>
    <n v="0.4"/>
    <n v="5.3"/>
    <n v="17"/>
    <s v="B"/>
    <n v="8.51"/>
    <x v="2"/>
    <n v="63.58"/>
    <x v="2"/>
    <n v="4.5"/>
    <n v="13.63"/>
    <n v="1777.6349999999998"/>
    <n v="5384.2588999999998"/>
    <n v="3606.6239"/>
    <n v="0.66984592809977994"/>
    <n v="33.617052999999999"/>
  </r>
  <r>
    <s v="BATCH01630"/>
    <x v="0"/>
    <x v="1"/>
    <x v="0"/>
    <n v="636.26"/>
    <n v="16.670000000000002"/>
    <n v="33.22"/>
    <n v="0.7"/>
    <n v="2.8"/>
    <n v="2"/>
    <s v="B"/>
    <n v="8.6"/>
    <x v="1"/>
    <n v="91.36"/>
    <x v="2"/>
    <n v="4.88"/>
    <n v="11.09"/>
    <n v="3104.9487999999997"/>
    <n v="7056.1233999999995"/>
    <n v="3951.1745999999998"/>
    <n v="0.55996393146979262"/>
    <n v="54.71835999999999"/>
  </r>
  <r>
    <s v="BATCH01631"/>
    <x v="0"/>
    <x v="3"/>
    <x v="1"/>
    <n v="664.06"/>
    <n v="14.26"/>
    <n v="26.46"/>
    <n v="4.5999999999999996"/>
    <n v="0"/>
    <n v="6"/>
    <s v="C"/>
    <n v="7.46"/>
    <x v="0"/>
    <n v="59.35"/>
    <x v="1"/>
    <n v="6.58"/>
    <n v="10.74"/>
    <n v="4369.5147999999999"/>
    <n v="7132.0043999999998"/>
    <n v="2762.4895999999999"/>
    <n v="0.38733705772811916"/>
    <n v="49.538876000000002"/>
  </r>
  <r>
    <s v="BATCH01632"/>
    <x v="1"/>
    <x v="0"/>
    <x v="0"/>
    <n v="815.21"/>
    <n v="14.69"/>
    <n v="29.63"/>
    <n v="2.2999999999999998"/>
    <n v="2.2000000000000002"/>
    <n v="12"/>
    <s v="A"/>
    <n v="6.34"/>
    <x v="1"/>
    <n v="68.03"/>
    <x v="1"/>
    <n v="5.35"/>
    <n v="9.41"/>
    <n v="4361.3734999999997"/>
    <n v="7671.1261000000004"/>
    <n v="3309.7526000000007"/>
    <n v="0.43145589798087147"/>
    <n v="51.684314000000001"/>
  </r>
  <r>
    <s v="BATCH01633"/>
    <x v="0"/>
    <x v="1"/>
    <x v="0"/>
    <n v="387.65"/>
    <n v="9.26"/>
    <n v="32.35"/>
    <n v="8.5"/>
    <n v="0.1"/>
    <n v="26"/>
    <s v="B"/>
    <n v="8.74"/>
    <x v="0"/>
    <n v="77.78"/>
    <x v="2"/>
    <n v="6.19"/>
    <n v="9.6300000000000008"/>
    <n v="2399.5535"/>
    <n v="3733.0695000000001"/>
    <n v="1333.5160000000001"/>
    <n v="0.3572170301142264"/>
    <n v="33.880609999999997"/>
  </r>
  <r>
    <s v="BATCH01634"/>
    <x v="2"/>
    <x v="1"/>
    <x v="1"/>
    <n v="524.29"/>
    <n v="17.46"/>
    <n v="28.1"/>
    <n v="2.9"/>
    <n v="3.1"/>
    <n v="11"/>
    <s v="C"/>
    <n v="2.0499999999999998"/>
    <x v="1"/>
    <n v="93.36"/>
    <x v="1"/>
    <n v="4.17"/>
    <n v="14.54"/>
    <n v="2186.2892999999999"/>
    <n v="7623.1765999999989"/>
    <n v="5436.8872999999985"/>
    <n v="0.71320495185694621"/>
    <n v="10.747944999999998"/>
  </r>
  <r>
    <s v="BATCH01635"/>
    <x v="0"/>
    <x v="1"/>
    <x v="1"/>
    <n v="291.79000000000002"/>
    <n v="9.33"/>
    <n v="23.97"/>
    <n v="5.7"/>
    <n v="0.3"/>
    <n v="21"/>
    <s v="B"/>
    <n v="9.35"/>
    <x v="2"/>
    <n v="70.930000000000007"/>
    <x v="2"/>
    <n v="5.29"/>
    <n v="6.38"/>
    <n v="1543.5691000000002"/>
    <n v="1861.6202000000001"/>
    <n v="318.05109999999991"/>
    <n v="0.17084639498432597"/>
    <n v="27.282364999999999"/>
  </r>
  <r>
    <s v="BATCH01636"/>
    <x v="2"/>
    <x v="3"/>
    <x v="0"/>
    <n v="555.30999999999995"/>
    <n v="15.75"/>
    <n v="39.229999999999997"/>
    <n v="0.5"/>
    <n v="0.5"/>
    <n v="11"/>
    <s v="C"/>
    <n v="9.5"/>
    <x v="2"/>
    <n v="69.930000000000007"/>
    <x v="1"/>
    <n v="3.49"/>
    <n v="9.4600000000000009"/>
    <n v="1938.0319"/>
    <n v="5253.2326000000003"/>
    <n v="3315.2007000000003"/>
    <n v="0.63107822410147996"/>
    <n v="52.754449999999999"/>
  </r>
  <r>
    <s v="BATCH01637"/>
    <x v="2"/>
    <x v="3"/>
    <x v="0"/>
    <n v="445.18"/>
    <n v="10.65"/>
    <n v="30.23"/>
    <n v="3"/>
    <n v="0.1"/>
    <n v="18"/>
    <s v="C"/>
    <n v="8.7799999999999994"/>
    <x v="2"/>
    <n v="78.98"/>
    <x v="2"/>
    <n v="9.23"/>
    <n v="11.56"/>
    <n v="4109.0114000000003"/>
    <n v="5146.2808000000005"/>
    <n v="1037.2694000000001"/>
    <n v="0.20155709342560554"/>
    <n v="39.086804000000001"/>
  </r>
  <r>
    <s v="BATCH01638"/>
    <x v="2"/>
    <x v="2"/>
    <x v="1"/>
    <n v="692.34"/>
    <n v="17.34"/>
    <n v="34.68"/>
    <n v="0"/>
    <n v="0.1"/>
    <n v="8"/>
    <s v="C"/>
    <n v="2.88"/>
    <x v="2"/>
    <n v="65.83"/>
    <x v="1"/>
    <n v="4.3899999999999997"/>
    <n v="9.33"/>
    <n v="3039.3725999999997"/>
    <n v="6459.5322000000006"/>
    <n v="3420.1596000000009"/>
    <n v="0.52947481243301187"/>
    <n v="19.939392000000002"/>
  </r>
  <r>
    <s v="BATCH01639"/>
    <x v="3"/>
    <x v="0"/>
    <x v="0"/>
    <n v="422.54"/>
    <n v="15.2"/>
    <n v="28.22"/>
    <n v="2.2000000000000002"/>
    <n v="1.3"/>
    <n v="25"/>
    <s v="A"/>
    <n v="8.65"/>
    <x v="0"/>
    <n v="85.46"/>
    <x v="1"/>
    <n v="8.3000000000000007"/>
    <n v="7.83"/>
    <n v="3507.0820000000003"/>
    <n v="3308.4882000000002"/>
    <n v="-198.5938000000001"/>
    <n v="-6.0025542784163499E-2"/>
    <n v="36.549710000000005"/>
  </r>
  <r>
    <s v="BATCH01640"/>
    <x v="1"/>
    <x v="2"/>
    <x v="0"/>
    <n v="331.08"/>
    <n v="15.54"/>
    <n v="27.1"/>
    <n v="1.3"/>
    <n v="2.9"/>
    <n v="7"/>
    <s v="A"/>
    <n v="5.23"/>
    <x v="0"/>
    <n v="62.43"/>
    <x v="1"/>
    <n v="5.45"/>
    <n v="7.87"/>
    <n v="1804.386"/>
    <n v="2605.5996"/>
    <n v="801.21360000000004"/>
    <n v="0.30749682337992379"/>
    <n v="17.315484000000001"/>
  </r>
  <r>
    <s v="BATCH01641"/>
    <x v="2"/>
    <x v="0"/>
    <x v="0"/>
    <n v="452.87"/>
    <n v="10.19"/>
    <n v="28.14"/>
    <n v="0.9"/>
    <n v="0.9"/>
    <n v="28"/>
    <s v="C"/>
    <n v="6.15"/>
    <x v="1"/>
    <n v="91.16"/>
    <x v="0"/>
    <n v="6.32"/>
    <n v="7.34"/>
    <n v="2862.1384000000003"/>
    <n v="3324.0657999999999"/>
    <n v="461.92739999999958"/>
    <n v="0.13896457765667564"/>
    <n v="27.851505000000003"/>
  </r>
  <r>
    <s v="BATCH01642"/>
    <x v="2"/>
    <x v="3"/>
    <x v="0"/>
    <n v="302.45"/>
    <n v="12.43"/>
    <n v="28.18"/>
    <n v="4"/>
    <n v="1.3"/>
    <n v="14"/>
    <s v="A"/>
    <n v="8.49"/>
    <x v="0"/>
    <n v="63.62"/>
    <x v="1"/>
    <n v="5.04"/>
    <n v="8.44"/>
    <n v="1524.348"/>
    <n v="2552.6779999999999"/>
    <n v="1028.33"/>
    <n v="0.40284360189573459"/>
    <n v="25.678004999999999"/>
  </r>
  <r>
    <s v="BATCH01643"/>
    <x v="3"/>
    <x v="1"/>
    <x v="1"/>
    <n v="575.11"/>
    <n v="14.18"/>
    <n v="30.88"/>
    <n v="3.9"/>
    <n v="1.4"/>
    <n v="16"/>
    <s v="B"/>
    <n v="0.78"/>
    <x v="0"/>
    <n v="99.64"/>
    <x v="2"/>
    <n v="7.88"/>
    <n v="13.72"/>
    <n v="4531.8667999999998"/>
    <n v="7890.5092000000004"/>
    <n v="3358.6424000000006"/>
    <n v="0.42565597667638488"/>
    <n v="4.4858580000000003"/>
  </r>
  <r>
    <s v="BATCH01644"/>
    <x v="2"/>
    <x v="2"/>
    <x v="1"/>
    <n v="293.49"/>
    <n v="15.7"/>
    <n v="30.87"/>
    <n v="0"/>
    <n v="0.3"/>
    <n v="12"/>
    <s v="A"/>
    <n v="3.95"/>
    <x v="1"/>
    <n v="65.819999999999993"/>
    <x v="2"/>
    <n v="8.91"/>
    <n v="10.050000000000001"/>
    <n v="2614.9959000000003"/>
    <n v="2949.5745000000002"/>
    <n v="334.57859999999982"/>
    <n v="0.11343283582089546"/>
    <n v="11.592855000000002"/>
  </r>
  <r>
    <s v="BATCH01645"/>
    <x v="0"/>
    <x v="1"/>
    <x v="1"/>
    <n v="502.85"/>
    <n v="9.0399999999999991"/>
    <n v="29.94"/>
    <n v="1.9"/>
    <n v="0"/>
    <n v="9"/>
    <s v="A"/>
    <n v="8.25"/>
    <x v="2"/>
    <n v="93.94"/>
    <x v="0"/>
    <n v="5"/>
    <n v="7.4"/>
    <n v="2514.25"/>
    <n v="3721.09"/>
    <n v="1206.8400000000001"/>
    <n v="0.32432432432432434"/>
    <n v="41.485124999999996"/>
  </r>
  <r>
    <s v="BATCH01646"/>
    <x v="0"/>
    <x v="2"/>
    <x v="0"/>
    <n v="292.22000000000003"/>
    <n v="17.62"/>
    <n v="22.7"/>
    <n v="0.9"/>
    <n v="0"/>
    <n v="20"/>
    <s v="B"/>
    <n v="8.23"/>
    <x v="1"/>
    <n v="69.87"/>
    <x v="0"/>
    <n v="4.7"/>
    <n v="8.85"/>
    <n v="1373.4340000000002"/>
    <n v="2586.1469999999999"/>
    <n v="1212.7129999999997"/>
    <n v="0.46892655367231628"/>
    <n v="24.049706000000004"/>
  </r>
  <r>
    <s v="BATCH01647"/>
    <x v="1"/>
    <x v="3"/>
    <x v="0"/>
    <n v="467.97"/>
    <n v="16.899999999999999"/>
    <n v="29.92"/>
    <n v="1.1000000000000001"/>
    <n v="0.4"/>
    <n v="29"/>
    <s v="B"/>
    <n v="8.56"/>
    <x v="1"/>
    <n v="62.3"/>
    <x v="0"/>
    <n v="7.77"/>
    <n v="6.06"/>
    <n v="3636.1269000000002"/>
    <n v="2835.8982000000001"/>
    <n v="-800.22870000000012"/>
    <n v="-0.28217821782178221"/>
    <n v="40.058232000000004"/>
  </r>
  <r>
    <s v="BATCH01648"/>
    <x v="2"/>
    <x v="3"/>
    <x v="0"/>
    <n v="664.34"/>
    <n v="10.7"/>
    <n v="23.38"/>
    <n v="3.6"/>
    <n v="0.3"/>
    <n v="23"/>
    <s v="B"/>
    <n v="2.11"/>
    <x v="2"/>
    <n v="61.31"/>
    <x v="1"/>
    <n v="4.37"/>
    <n v="14.04"/>
    <n v="2903.1658000000002"/>
    <n v="9327.3335999999999"/>
    <n v="6424.1677999999993"/>
    <n v="0.68874643874643871"/>
    <n v="14.017574"/>
  </r>
  <r>
    <s v="BATCH01649"/>
    <x v="3"/>
    <x v="3"/>
    <x v="0"/>
    <n v="536.05999999999995"/>
    <n v="16.23"/>
    <n v="22.52"/>
    <n v="0.7"/>
    <n v="0.1"/>
    <n v="21"/>
    <s v="C"/>
    <n v="7.21"/>
    <x v="1"/>
    <n v="92.51"/>
    <x v="1"/>
    <n v="7.48"/>
    <n v="9.08"/>
    <n v="4009.7287999999999"/>
    <n v="4867.4247999999998"/>
    <n v="857.69599999999991"/>
    <n v="0.17621145374449337"/>
    <n v="38.649925999999994"/>
  </r>
  <r>
    <s v="BATCH01650"/>
    <x v="0"/>
    <x v="2"/>
    <x v="0"/>
    <n v="413.65"/>
    <n v="13.18"/>
    <n v="38.65"/>
    <n v="5.7"/>
    <n v="0.2"/>
    <n v="16"/>
    <s v="B"/>
    <n v="1.89"/>
    <x v="1"/>
    <n v="65.44"/>
    <x v="2"/>
    <n v="3.66"/>
    <n v="14.8"/>
    <n v="1513.9590000000001"/>
    <n v="6122.0199999999995"/>
    <n v="4608.0609999999997"/>
    <n v="0.75270270270270268"/>
    <n v="7.8179849999999984"/>
  </r>
  <r>
    <s v="BATCH01651"/>
    <x v="3"/>
    <x v="0"/>
    <x v="1"/>
    <n v="496.88"/>
    <n v="12.62"/>
    <n v="32.1"/>
    <n v="0.4"/>
    <n v="0.1"/>
    <n v="21"/>
    <s v="B"/>
    <n v="7.96"/>
    <x v="1"/>
    <n v="66.930000000000007"/>
    <x v="2"/>
    <n v="7.34"/>
    <n v="8.48"/>
    <n v="3647.0992000000001"/>
    <n v="4213.5424000000003"/>
    <n v="566.44320000000016"/>
    <n v="0.13443396226415097"/>
    <n v="39.551648"/>
  </r>
  <r>
    <s v="BATCH01652"/>
    <x v="3"/>
    <x v="2"/>
    <x v="0"/>
    <n v="501.8"/>
    <n v="11.14"/>
    <n v="33.19"/>
    <n v="2.2000000000000002"/>
    <n v="2.5"/>
    <n v="19"/>
    <s v="B"/>
    <n v="2.83"/>
    <x v="0"/>
    <n v="59.85"/>
    <x v="1"/>
    <n v="6.59"/>
    <n v="13.36"/>
    <n v="3306.8620000000001"/>
    <n v="6704.0479999999998"/>
    <n v="3397.1859999999997"/>
    <n v="0.50673652694610771"/>
    <n v="14.200940000000001"/>
  </r>
  <r>
    <s v="BATCH01653"/>
    <x v="0"/>
    <x v="0"/>
    <x v="0"/>
    <n v="547.26"/>
    <n v="13.81"/>
    <n v="28.04"/>
    <n v="2.2000000000000002"/>
    <n v="0.2"/>
    <n v="16"/>
    <s v="C"/>
    <n v="7.51"/>
    <x v="2"/>
    <n v="98.07"/>
    <x v="2"/>
    <n v="3.8"/>
    <n v="7.56"/>
    <n v="2079.5879999999997"/>
    <n v="4137.2856000000002"/>
    <n v="2057.6976000000004"/>
    <n v="0.49735449735449744"/>
    <n v="41.099226000000002"/>
  </r>
  <r>
    <s v="BATCH01654"/>
    <x v="3"/>
    <x v="2"/>
    <x v="1"/>
    <n v="363.31"/>
    <n v="15.3"/>
    <n v="38.18"/>
    <n v="0.6"/>
    <n v="0.8"/>
    <n v="9"/>
    <s v="A"/>
    <n v="4.82"/>
    <x v="2"/>
    <n v="62.24"/>
    <x v="1"/>
    <n v="7.54"/>
    <n v="5.76"/>
    <n v="2739.3573999999999"/>
    <n v="2092.6655999999998"/>
    <n v="-646.69180000000006"/>
    <n v="-0.30902777777777785"/>
    <n v="17.511542000000002"/>
  </r>
  <r>
    <s v="BATCH01655"/>
    <x v="0"/>
    <x v="2"/>
    <x v="0"/>
    <n v="559.26"/>
    <n v="12.11"/>
    <n v="32.76"/>
    <n v="0.8"/>
    <n v="0.9"/>
    <n v="13"/>
    <s v="C"/>
    <n v="9.8699999999999992"/>
    <x v="1"/>
    <n v="62.37"/>
    <x v="0"/>
    <n v="6.13"/>
    <n v="5.32"/>
    <n v="3428.2637999999997"/>
    <n v="2975.2632000000003"/>
    <n v="-453.00059999999939"/>
    <n v="-0.15225563909774414"/>
    <n v="55.198961999999995"/>
  </r>
  <r>
    <s v="BATCH01656"/>
    <x v="3"/>
    <x v="3"/>
    <x v="1"/>
    <n v="229.56"/>
    <n v="14.29"/>
    <n v="35.380000000000003"/>
    <n v="3.6"/>
    <n v="0.8"/>
    <n v="26"/>
    <s v="A"/>
    <n v="6.01"/>
    <x v="0"/>
    <n v="97.19"/>
    <x v="1"/>
    <n v="4.5199999999999996"/>
    <n v="11.06"/>
    <n v="1037.6111999999998"/>
    <n v="2538.9336000000003"/>
    <n v="1501.3224000000005"/>
    <n v="0.59132007233273065"/>
    <n v="13.796556000000001"/>
  </r>
  <r>
    <s v="BATCH01657"/>
    <x v="0"/>
    <x v="1"/>
    <x v="1"/>
    <n v="437.01"/>
    <n v="14.99"/>
    <n v="27.37"/>
    <n v="2.9"/>
    <n v="0.1"/>
    <n v="5"/>
    <s v="B"/>
    <n v="6.51"/>
    <x v="2"/>
    <n v="95.04"/>
    <x v="1"/>
    <n v="5.47"/>
    <n v="8.1199999999999992"/>
    <n v="2390.4447"/>
    <n v="3548.5211999999997"/>
    <n v="1158.0764999999997"/>
    <n v="0.32635467980295563"/>
    <n v="28.449350999999997"/>
  </r>
  <r>
    <s v="BATCH01658"/>
    <x v="2"/>
    <x v="1"/>
    <x v="1"/>
    <n v="451.17"/>
    <n v="15.11"/>
    <n v="39.200000000000003"/>
    <n v="0.8"/>
    <n v="0.4"/>
    <n v="22"/>
    <s v="C"/>
    <n v="4"/>
    <x v="2"/>
    <n v="62.45"/>
    <x v="1"/>
    <n v="6.44"/>
    <n v="9.44"/>
    <n v="2905.5348000000004"/>
    <n v="4259.0447999999997"/>
    <n v="1353.5099999999993"/>
    <n v="0.3177966101694914"/>
    <n v="18.046800000000001"/>
  </r>
  <r>
    <s v="BATCH01659"/>
    <x v="1"/>
    <x v="0"/>
    <x v="1"/>
    <n v="563.33000000000004"/>
    <n v="8.52"/>
    <n v="36.409999999999997"/>
    <n v="1.5"/>
    <n v="0.1"/>
    <n v="19"/>
    <s v="C"/>
    <n v="7.48"/>
    <x v="1"/>
    <n v="93.24"/>
    <x v="2"/>
    <n v="3.64"/>
    <n v="13.19"/>
    <n v="2050.5212000000001"/>
    <n v="7430.3227000000006"/>
    <n v="5379.8015000000005"/>
    <n v="0.72403335860500384"/>
    <n v="42.137084000000002"/>
  </r>
  <r>
    <s v="BATCH01660"/>
    <x v="0"/>
    <x v="1"/>
    <x v="1"/>
    <n v="502.26"/>
    <n v="16.600000000000001"/>
    <n v="37.08"/>
    <n v="0.1"/>
    <n v="0.5"/>
    <n v="10"/>
    <s v="A"/>
    <n v="5.2"/>
    <x v="1"/>
    <n v="62.49"/>
    <x v="1"/>
    <n v="9.6999999999999993"/>
    <n v="7.48"/>
    <n v="4871.9219999999996"/>
    <n v="3756.9048000000003"/>
    <n v="-1115.0171999999993"/>
    <n v="-0.29679144385026718"/>
    <n v="26.117519999999999"/>
  </r>
  <r>
    <s v="BATCH01661"/>
    <x v="0"/>
    <x v="2"/>
    <x v="0"/>
    <n v="359.44"/>
    <n v="12.58"/>
    <n v="23.44"/>
    <n v="0.5"/>
    <n v="0.2"/>
    <n v="7"/>
    <s v="C"/>
    <n v="0.67"/>
    <x v="1"/>
    <n v="54.22"/>
    <x v="1"/>
    <n v="7.66"/>
    <n v="8.09"/>
    <n v="2753.3103999999998"/>
    <n v="2907.8696"/>
    <n v="154.55920000000015"/>
    <n v="5.3152039555006234E-2"/>
    <n v="2.4082479999999999"/>
  </r>
  <r>
    <s v="BATCH01662"/>
    <x v="1"/>
    <x v="2"/>
    <x v="1"/>
    <n v="401.5"/>
    <n v="10.62"/>
    <n v="25.42"/>
    <n v="1.3"/>
    <n v="0.8"/>
    <n v="9"/>
    <s v="C"/>
    <n v="6.28"/>
    <x v="2"/>
    <n v="91.02"/>
    <x v="1"/>
    <n v="3.72"/>
    <n v="13.45"/>
    <n v="1493.5800000000002"/>
    <n v="5400.1749999999993"/>
    <n v="3906.5949999999993"/>
    <n v="0.72342007434944233"/>
    <n v="25.214200000000002"/>
  </r>
  <r>
    <s v="BATCH01663"/>
    <x v="0"/>
    <x v="3"/>
    <x v="1"/>
    <n v="519.87"/>
    <n v="10.42"/>
    <n v="25.71"/>
    <n v="0.2"/>
    <n v="1.2"/>
    <n v="25"/>
    <s v="A"/>
    <n v="8.39"/>
    <x v="1"/>
    <n v="88.58"/>
    <x v="0"/>
    <n v="8.76"/>
    <n v="9.93"/>
    <n v="4554.0612000000001"/>
    <n v="5162.3090999999995"/>
    <n v="608.24789999999939"/>
    <n v="0.11782477341389717"/>
    <n v="43.617093000000004"/>
  </r>
  <r>
    <s v="BATCH01664"/>
    <x v="0"/>
    <x v="3"/>
    <x v="0"/>
    <n v="492.09"/>
    <n v="12.83"/>
    <n v="25.42"/>
    <n v="3.7"/>
    <n v="0.8"/>
    <n v="14"/>
    <s v="C"/>
    <n v="2.75"/>
    <x v="1"/>
    <n v="64.73"/>
    <x v="1"/>
    <n v="5.26"/>
    <n v="13.28"/>
    <n v="2588.3933999999999"/>
    <n v="6534.9551999999994"/>
    <n v="3946.5617999999995"/>
    <n v="0.60391566265060237"/>
    <n v="13.532475"/>
  </r>
  <r>
    <s v="BATCH01665"/>
    <x v="3"/>
    <x v="1"/>
    <x v="0"/>
    <n v="442.09"/>
    <n v="16.87"/>
    <n v="37.11"/>
    <n v="2.5"/>
    <n v="0.6"/>
    <n v="15"/>
    <s v="C"/>
    <n v="2.6"/>
    <x v="1"/>
    <n v="54.51"/>
    <x v="1"/>
    <n v="7.18"/>
    <n v="8.74"/>
    <n v="3174.2061999999996"/>
    <n v="3863.8665999999998"/>
    <n v="689.66040000000021"/>
    <n v="0.17848970251716254"/>
    <n v="11.494339999999999"/>
  </r>
  <r>
    <s v="BATCH01666"/>
    <x v="1"/>
    <x v="0"/>
    <x v="1"/>
    <n v="451.92"/>
    <n v="11.78"/>
    <n v="20.64"/>
    <n v="5.8"/>
    <n v="0.5"/>
    <n v="13"/>
    <s v="B"/>
    <n v="6.28"/>
    <x v="0"/>
    <n v="60.32"/>
    <x v="1"/>
    <n v="4.9400000000000004"/>
    <n v="8.98"/>
    <n v="2232.4848000000002"/>
    <n v="4058.2416000000003"/>
    <n v="1825.7568000000001"/>
    <n v="0.44988864142538976"/>
    <n v="28.380576000000001"/>
  </r>
  <r>
    <s v="BATCH01667"/>
    <x v="2"/>
    <x v="1"/>
    <x v="0"/>
    <n v="569.62"/>
    <n v="15.5"/>
    <n v="21.52"/>
    <n v="2.4"/>
    <n v="1.8"/>
    <n v="10"/>
    <s v="B"/>
    <n v="8.27"/>
    <x v="1"/>
    <n v="88.55"/>
    <x v="2"/>
    <n v="8.1300000000000008"/>
    <n v="6.67"/>
    <n v="4631.0106000000005"/>
    <n v="3799.3654000000001"/>
    <n v="-831.64520000000039"/>
    <n v="-0.21889055472263877"/>
    <n v="47.107573999999993"/>
  </r>
  <r>
    <s v="BATCH01668"/>
    <x v="0"/>
    <x v="1"/>
    <x v="0"/>
    <n v="448.23"/>
    <n v="8.9700000000000006"/>
    <n v="25.48"/>
    <n v="5.6"/>
    <n v="0.2"/>
    <n v="14"/>
    <s v="B"/>
    <n v="2.87"/>
    <x v="2"/>
    <n v="98.24"/>
    <x v="0"/>
    <n v="8.06"/>
    <n v="14.16"/>
    <n v="3612.7338000000004"/>
    <n v="6346.9368000000004"/>
    <n v="2734.203"/>
    <n v="0.43079096045197734"/>
    <n v="12.864201000000001"/>
  </r>
  <r>
    <s v="BATCH01669"/>
    <x v="1"/>
    <x v="1"/>
    <x v="1"/>
    <n v="491.19"/>
    <n v="12.76"/>
    <n v="24"/>
    <n v="1.6"/>
    <n v="1.3"/>
    <n v="26"/>
    <s v="B"/>
    <n v="9.36"/>
    <x v="1"/>
    <n v="62.95"/>
    <x v="0"/>
    <n v="6.86"/>
    <n v="13.97"/>
    <n v="3369.5634"/>
    <n v="6861.9243000000006"/>
    <n v="3492.3609000000006"/>
    <n v="0.50894774516821761"/>
    <n v="45.975383999999991"/>
  </r>
  <r>
    <s v="BATCH01670"/>
    <x v="3"/>
    <x v="1"/>
    <x v="1"/>
    <n v="716.99"/>
    <n v="17.920000000000002"/>
    <n v="24.64"/>
    <n v="1.8"/>
    <n v="1.4"/>
    <n v="21"/>
    <s v="B"/>
    <n v="9.31"/>
    <x v="2"/>
    <n v="90.91"/>
    <x v="1"/>
    <n v="4.6900000000000004"/>
    <n v="14.84"/>
    <n v="3362.6831000000002"/>
    <n v="10640.131600000001"/>
    <n v="7277.4485000000004"/>
    <n v="0.68396226415094341"/>
    <n v="66.75176900000001"/>
  </r>
  <r>
    <s v="BATCH01671"/>
    <x v="2"/>
    <x v="2"/>
    <x v="0"/>
    <n v="357.63"/>
    <n v="15.7"/>
    <n v="35.96"/>
    <n v="7.5"/>
    <n v="0.5"/>
    <n v="23"/>
    <s v="C"/>
    <n v="2.41"/>
    <x v="0"/>
    <n v="61.4"/>
    <x v="1"/>
    <n v="4.78"/>
    <n v="9.02"/>
    <n v="1709.4714000000001"/>
    <n v="3225.8226"/>
    <n v="1516.3511999999998"/>
    <n v="0.47006651884700662"/>
    <n v="8.6188830000000003"/>
  </r>
  <r>
    <s v="BATCH01672"/>
    <x v="1"/>
    <x v="0"/>
    <x v="1"/>
    <n v="314.82"/>
    <n v="10.11"/>
    <n v="31.26"/>
    <n v="2.1"/>
    <n v="0.4"/>
    <n v="29"/>
    <s v="C"/>
    <n v="3.01"/>
    <x v="0"/>
    <n v="83.98"/>
    <x v="2"/>
    <n v="5.68"/>
    <n v="13.19"/>
    <n v="1788.1776"/>
    <n v="4152.4758000000002"/>
    <n v="2364.2982000000002"/>
    <n v="0.56937073540561034"/>
    <n v="9.4760819999999981"/>
  </r>
  <r>
    <s v="BATCH01673"/>
    <x v="2"/>
    <x v="2"/>
    <x v="1"/>
    <n v="578.36"/>
    <n v="13.01"/>
    <n v="20.12"/>
    <n v="0.1"/>
    <n v="0.6"/>
    <n v="12"/>
    <s v="B"/>
    <n v="7.16"/>
    <x v="1"/>
    <n v="54.18"/>
    <x v="1"/>
    <n v="4.0199999999999996"/>
    <n v="9.15"/>
    <n v="2325.0072"/>
    <n v="5291.9940000000006"/>
    <n v="2966.9868000000006"/>
    <n v="0.56065573770491806"/>
    <n v="41.410575999999999"/>
  </r>
  <r>
    <s v="BATCH01674"/>
    <x v="2"/>
    <x v="0"/>
    <x v="0"/>
    <n v="432.14"/>
    <n v="10.34"/>
    <n v="28.59"/>
    <n v="2.6"/>
    <n v="0.1"/>
    <n v="28"/>
    <s v="A"/>
    <n v="9.5399999999999991"/>
    <x v="2"/>
    <n v="79.260000000000005"/>
    <x v="2"/>
    <n v="5.36"/>
    <n v="9.5399999999999991"/>
    <n v="2316.2703999999999"/>
    <n v="4122.6155999999992"/>
    <n v="1806.3451999999993"/>
    <n v="0.43815513626834374"/>
    <n v="41.226155999999989"/>
  </r>
  <r>
    <s v="BATCH01675"/>
    <x v="2"/>
    <x v="3"/>
    <x v="1"/>
    <n v="468.18"/>
    <n v="12.1"/>
    <n v="28.16"/>
    <n v="4.7"/>
    <n v="0"/>
    <n v="29"/>
    <s v="B"/>
    <n v="7.24"/>
    <x v="1"/>
    <n v="63.46"/>
    <x v="1"/>
    <n v="7.79"/>
    <n v="13.3"/>
    <n v="3647.1222000000002"/>
    <n v="6226.7940000000008"/>
    <n v="2579.6718000000005"/>
    <n v="0.41428571428571431"/>
    <n v="33.896231999999998"/>
  </r>
  <r>
    <s v="BATCH01676"/>
    <x v="0"/>
    <x v="1"/>
    <x v="1"/>
    <n v="421.88"/>
    <n v="15.8"/>
    <n v="22.28"/>
    <n v="3.2"/>
    <n v="0.1"/>
    <n v="19"/>
    <s v="C"/>
    <n v="4.7300000000000004"/>
    <x v="1"/>
    <n v="96.29"/>
    <x v="2"/>
    <n v="8.82"/>
    <n v="6.77"/>
    <n v="3720.9816000000001"/>
    <n v="2856.1275999999998"/>
    <n v="-864.85400000000027"/>
    <n v="-0.3028064992614477"/>
    <n v="19.954924000000002"/>
  </r>
  <r>
    <s v="BATCH01677"/>
    <x v="0"/>
    <x v="2"/>
    <x v="1"/>
    <n v="474.02"/>
    <n v="15.71"/>
    <n v="33.520000000000003"/>
    <n v="1.8"/>
    <n v="0.2"/>
    <n v="6"/>
    <s v="A"/>
    <n v="2.11"/>
    <x v="2"/>
    <n v="64.489999999999995"/>
    <x v="0"/>
    <n v="5.33"/>
    <n v="7.2"/>
    <n v="2526.5266000000001"/>
    <n v="3412.944"/>
    <n v="886.41739999999982"/>
    <n v="0.25972222222222219"/>
    <n v="10.001821999999999"/>
  </r>
  <r>
    <s v="BATCH01678"/>
    <x v="3"/>
    <x v="0"/>
    <x v="1"/>
    <n v="659.85"/>
    <n v="10.28"/>
    <n v="34.04"/>
    <n v="2.2000000000000002"/>
    <n v="0.7"/>
    <n v="12"/>
    <s v="B"/>
    <n v="4.88"/>
    <x v="2"/>
    <n v="69.92"/>
    <x v="1"/>
    <n v="4.6399999999999997"/>
    <n v="8.15"/>
    <n v="3061.7039999999997"/>
    <n v="5377.7775000000001"/>
    <n v="2316.0735000000004"/>
    <n v="0.43067484662576694"/>
    <n v="32.200680000000006"/>
  </r>
  <r>
    <s v="BATCH01679"/>
    <x v="3"/>
    <x v="3"/>
    <x v="1"/>
    <n v="580.21"/>
    <n v="17.22"/>
    <n v="34.42"/>
    <n v="9.1999999999999993"/>
    <n v="1.9"/>
    <n v="24"/>
    <s v="A"/>
    <n v="6.26"/>
    <x v="2"/>
    <n v="92.03"/>
    <x v="2"/>
    <n v="8.83"/>
    <n v="12.88"/>
    <n v="5123.2543000000005"/>
    <n v="7473.104800000001"/>
    <n v="2349.8505000000005"/>
    <n v="0.3144409937888199"/>
    <n v="36.321145999999999"/>
  </r>
  <r>
    <s v="BATCH01680"/>
    <x v="1"/>
    <x v="3"/>
    <x v="0"/>
    <n v="586.22"/>
    <n v="13.93"/>
    <n v="34.57"/>
    <n v="0.2"/>
    <n v="0.3"/>
    <n v="13"/>
    <s v="B"/>
    <n v="3.64"/>
    <x v="2"/>
    <n v="71.91"/>
    <x v="2"/>
    <n v="9.23"/>
    <n v="8.73"/>
    <n v="5410.8106000000007"/>
    <n v="5117.7006000000001"/>
    <n v="-293.11000000000058"/>
    <n v="-5.7273768613974915E-2"/>
    <n v="21.338408000000005"/>
  </r>
  <r>
    <s v="BATCH01681"/>
    <x v="3"/>
    <x v="1"/>
    <x v="0"/>
    <n v="358.38"/>
    <n v="11.8"/>
    <n v="20"/>
    <n v="2.2000000000000002"/>
    <n v="2.7"/>
    <n v="8"/>
    <s v="C"/>
    <n v="5.35"/>
    <x v="2"/>
    <n v="61.92"/>
    <x v="1"/>
    <n v="5.87"/>
    <n v="8.58"/>
    <n v="2103.6905999999999"/>
    <n v="3074.9004"/>
    <n v="971.20980000000009"/>
    <n v="0.31585081585081587"/>
    <n v="19.17333"/>
  </r>
  <r>
    <s v="BATCH01682"/>
    <x v="2"/>
    <x v="0"/>
    <x v="1"/>
    <n v="384.88"/>
    <n v="13.02"/>
    <n v="39.08"/>
    <n v="0.7"/>
    <n v="3.1"/>
    <n v="16"/>
    <s v="B"/>
    <n v="1.74"/>
    <x v="0"/>
    <n v="77.38"/>
    <x v="2"/>
    <n v="3.19"/>
    <n v="14.99"/>
    <n v="1227.7672"/>
    <n v="5769.3512000000001"/>
    <n v="4541.5839999999998"/>
    <n v="0.78719146097398263"/>
    <n v="6.6969120000000002"/>
  </r>
  <r>
    <s v="BATCH01683"/>
    <x v="2"/>
    <x v="2"/>
    <x v="0"/>
    <n v="216.09"/>
    <n v="14.05"/>
    <n v="36.28"/>
    <n v="2"/>
    <n v="3.2"/>
    <n v="2"/>
    <s v="A"/>
    <n v="4.8"/>
    <x v="0"/>
    <n v="92"/>
    <x v="1"/>
    <n v="7.86"/>
    <n v="8.84"/>
    <n v="1698.4674"/>
    <n v="1910.2356"/>
    <n v="211.76819999999998"/>
    <n v="0.11085972850678733"/>
    <n v="10.37232"/>
  </r>
  <r>
    <s v="BATCH01684"/>
    <x v="0"/>
    <x v="1"/>
    <x v="1"/>
    <n v="419.06"/>
    <n v="13.6"/>
    <n v="38.08"/>
    <n v="1.9"/>
    <n v="1.8"/>
    <n v="22"/>
    <s v="C"/>
    <n v="1.36"/>
    <x v="0"/>
    <n v="71.66"/>
    <x v="1"/>
    <n v="8.49"/>
    <n v="7.48"/>
    <n v="3557.8194000000003"/>
    <n v="3134.5688"/>
    <n v="-423.2506000000003"/>
    <n v="-0.13502673796791453"/>
    <n v="5.6992159999999998"/>
  </r>
  <r>
    <s v="BATCH01685"/>
    <x v="2"/>
    <x v="2"/>
    <x v="1"/>
    <n v="595.66999999999996"/>
    <n v="12.86"/>
    <n v="20.309999999999999"/>
    <n v="0.3"/>
    <n v="0.5"/>
    <n v="7"/>
    <s v="B"/>
    <n v="0.97"/>
    <x v="2"/>
    <n v="56.64"/>
    <x v="2"/>
    <n v="3.13"/>
    <n v="11.23"/>
    <n v="1864.4470999999999"/>
    <n v="6689.3741"/>
    <n v="4824.9269999999997"/>
    <n v="0.72128227960819224"/>
    <n v="5.7779989999999994"/>
  </r>
  <r>
    <s v="BATCH01686"/>
    <x v="1"/>
    <x v="3"/>
    <x v="1"/>
    <n v="551.69000000000005"/>
    <n v="13.05"/>
    <n v="38.68"/>
    <n v="0.5"/>
    <n v="0.1"/>
    <n v="12"/>
    <s v="B"/>
    <n v="8.64"/>
    <x v="2"/>
    <n v="69.150000000000006"/>
    <x v="2"/>
    <n v="7.17"/>
    <n v="13.02"/>
    <n v="3955.6173000000003"/>
    <n v="7183.0038000000004"/>
    <n v="3227.3865000000001"/>
    <n v="0.44930875576036866"/>
    <n v="47.666016000000006"/>
  </r>
  <r>
    <s v="BATCH01687"/>
    <x v="2"/>
    <x v="2"/>
    <x v="1"/>
    <n v="477.85"/>
    <n v="9.76"/>
    <n v="36.200000000000003"/>
    <n v="1.9"/>
    <n v="0.8"/>
    <n v="7"/>
    <s v="B"/>
    <n v="2.4500000000000002"/>
    <x v="2"/>
    <n v="97.72"/>
    <x v="2"/>
    <n v="7.12"/>
    <n v="5.7"/>
    <n v="3402.2920000000004"/>
    <n v="2723.7450000000003"/>
    <n v="-678.54700000000003"/>
    <n v="-0.24912280701754383"/>
    <n v="11.707325000000001"/>
  </r>
  <r>
    <s v="BATCH01688"/>
    <x v="2"/>
    <x v="2"/>
    <x v="1"/>
    <n v="497.77"/>
    <n v="16.13"/>
    <n v="36.74"/>
    <n v="0.3"/>
    <n v="0.8"/>
    <n v="19"/>
    <s v="B"/>
    <n v="5.96"/>
    <x v="1"/>
    <n v="53.6"/>
    <x v="0"/>
    <n v="5.65"/>
    <n v="11.19"/>
    <n v="2812.4005000000002"/>
    <n v="5570.0463"/>
    <n v="2757.6457999999998"/>
    <n v="0.49508489722966931"/>
    <n v="29.667091999999997"/>
  </r>
  <r>
    <s v="BATCH01689"/>
    <x v="1"/>
    <x v="1"/>
    <x v="0"/>
    <n v="431.11"/>
    <n v="13.42"/>
    <n v="21.87"/>
    <n v="0.6"/>
    <n v="1.9"/>
    <n v="14"/>
    <s v="C"/>
    <n v="1.92"/>
    <x v="0"/>
    <n v="70.42"/>
    <x v="1"/>
    <n v="8.25"/>
    <n v="5.36"/>
    <n v="3556.6575000000003"/>
    <n v="2310.7496000000001"/>
    <n v="-1245.9079000000002"/>
    <n v="-0.53917910447761197"/>
    <n v="8.2773120000000002"/>
  </r>
  <r>
    <s v="BATCH01690"/>
    <x v="3"/>
    <x v="2"/>
    <x v="0"/>
    <n v="520.48"/>
    <n v="9.31"/>
    <n v="34.78"/>
    <n v="3.6"/>
    <n v="5.5"/>
    <n v="9"/>
    <s v="C"/>
    <n v="2.99"/>
    <x v="0"/>
    <n v="82.4"/>
    <x v="1"/>
    <n v="6"/>
    <n v="10.26"/>
    <n v="3122.88"/>
    <n v="5340.1248000000005"/>
    <n v="2217.2448000000004"/>
    <n v="0.41520467836257313"/>
    <n v="15.562352000000001"/>
  </r>
  <r>
    <s v="BATCH01691"/>
    <x v="3"/>
    <x v="1"/>
    <x v="1"/>
    <n v="576.59"/>
    <n v="15.66"/>
    <n v="39.200000000000003"/>
    <n v="0.8"/>
    <n v="0.7"/>
    <n v="18"/>
    <s v="B"/>
    <n v="3.93"/>
    <x v="1"/>
    <n v="53.93"/>
    <x v="0"/>
    <n v="7.74"/>
    <n v="7.57"/>
    <n v="4462.8066000000008"/>
    <n v="4364.7863000000007"/>
    <n v="-98.020300000000134"/>
    <n v="-2.2457067371202139E-2"/>
    <n v="22.659987000000001"/>
  </r>
  <r>
    <s v="BATCH01692"/>
    <x v="1"/>
    <x v="3"/>
    <x v="0"/>
    <n v="338.41"/>
    <n v="17.32"/>
    <n v="33.57"/>
    <n v="1.3"/>
    <n v="0.4"/>
    <n v="11"/>
    <s v="C"/>
    <n v="1.86"/>
    <x v="1"/>
    <n v="67.25"/>
    <x v="0"/>
    <n v="6.62"/>
    <n v="8.07"/>
    <n v="2240.2742000000003"/>
    <n v="2730.9687000000004"/>
    <n v="490.69450000000006"/>
    <n v="0.17967781908302355"/>
    <n v="6.2944260000000005"/>
  </r>
  <r>
    <s v="BATCH01693"/>
    <x v="0"/>
    <x v="1"/>
    <x v="1"/>
    <n v="529.96"/>
    <n v="17.47"/>
    <n v="31.41"/>
    <n v="5.7"/>
    <n v="0.2"/>
    <n v="16"/>
    <s v="A"/>
    <n v="0.94"/>
    <x v="0"/>
    <n v="97.03"/>
    <x v="2"/>
    <n v="4.74"/>
    <n v="9.67"/>
    <n v="2512.0104000000001"/>
    <n v="5124.7132000000001"/>
    <n v="2612.7028"/>
    <n v="0.50982419855222338"/>
    <n v="4.9816240000000001"/>
  </r>
  <r>
    <s v="BATCH01694"/>
    <x v="2"/>
    <x v="1"/>
    <x v="0"/>
    <n v="593.24"/>
    <n v="11.69"/>
    <n v="38.909999999999997"/>
    <n v="0.5"/>
    <n v="0"/>
    <n v="19"/>
    <s v="C"/>
    <n v="8.83"/>
    <x v="2"/>
    <n v="51.53"/>
    <x v="1"/>
    <n v="7.25"/>
    <n v="14.27"/>
    <n v="4300.99"/>
    <n v="8465.5347999999994"/>
    <n v="4164.5447999999997"/>
    <n v="0.49194113524877364"/>
    <n v="52.383091999999998"/>
  </r>
  <r>
    <s v="BATCH01695"/>
    <x v="1"/>
    <x v="0"/>
    <x v="1"/>
    <n v="458.49"/>
    <n v="9.36"/>
    <n v="28.86"/>
    <n v="1"/>
    <n v="0.7"/>
    <n v="11"/>
    <s v="A"/>
    <n v="0.61"/>
    <x v="0"/>
    <n v="87.59"/>
    <x v="0"/>
    <n v="8.16"/>
    <n v="12.11"/>
    <n v="3741.2784000000001"/>
    <n v="5552.3139000000001"/>
    <n v="1811.0355"/>
    <n v="0.32617671345995042"/>
    <n v="2.796789"/>
  </r>
  <r>
    <s v="BATCH01696"/>
    <x v="2"/>
    <x v="2"/>
    <x v="0"/>
    <n v="570.07000000000005"/>
    <n v="13.18"/>
    <n v="31.99"/>
    <n v="1.9"/>
    <n v="0.8"/>
    <n v="18"/>
    <s v="A"/>
    <n v="1.08"/>
    <x v="2"/>
    <n v="92.07"/>
    <x v="0"/>
    <n v="9.82"/>
    <n v="14.37"/>
    <n v="5598.0874000000003"/>
    <n v="8191.9059000000007"/>
    <n v="2593.8185000000003"/>
    <n v="0.31663187195546277"/>
    <n v="6.1567560000000014"/>
  </r>
  <r>
    <s v="BATCH01697"/>
    <x v="0"/>
    <x v="3"/>
    <x v="1"/>
    <n v="781.47"/>
    <n v="9.1300000000000008"/>
    <n v="29.53"/>
    <n v="2.8"/>
    <n v="1.7"/>
    <n v="11"/>
    <s v="C"/>
    <n v="8.15"/>
    <x v="0"/>
    <n v="63.85"/>
    <x v="1"/>
    <n v="5.66"/>
    <n v="11.6"/>
    <n v="4423.1202000000003"/>
    <n v="9065.0519999999997"/>
    <n v="4641.9317999999994"/>
    <n v="0.51206896551724135"/>
    <n v="63.689805000000007"/>
  </r>
  <r>
    <s v="BATCH01698"/>
    <x v="2"/>
    <x v="1"/>
    <x v="1"/>
    <n v="489.57"/>
    <n v="17.34"/>
    <n v="38.659999999999997"/>
    <n v="4.5999999999999996"/>
    <n v="0.7"/>
    <n v="25"/>
    <s v="B"/>
    <n v="3.18"/>
    <x v="0"/>
    <n v="60.74"/>
    <x v="1"/>
    <n v="3.45"/>
    <n v="5.07"/>
    <n v="1689.0165"/>
    <n v="2482.1199000000001"/>
    <n v="793.10340000000019"/>
    <n v="0.31952662721893499"/>
    <n v="15.568325999999999"/>
  </r>
  <r>
    <s v="BATCH01699"/>
    <x v="1"/>
    <x v="3"/>
    <x v="0"/>
    <n v="539.33000000000004"/>
    <n v="9.84"/>
    <n v="21.52"/>
    <n v="4.9000000000000004"/>
    <n v="2.5"/>
    <n v="4"/>
    <s v="C"/>
    <n v="7.37"/>
    <x v="1"/>
    <n v="95.74"/>
    <x v="1"/>
    <n v="9.92"/>
    <n v="7.66"/>
    <n v="5350.1536000000006"/>
    <n v="4131.2678000000005"/>
    <n v="-1218.8858"/>
    <n v="-0.29503916449086159"/>
    <n v="39.748621"/>
  </r>
  <r>
    <s v="BATCH01700"/>
    <x v="2"/>
    <x v="0"/>
    <x v="0"/>
    <n v="426.19"/>
    <n v="10.53"/>
    <n v="30.02"/>
    <n v="3"/>
    <n v="1"/>
    <n v="18"/>
    <s v="A"/>
    <n v="1.89"/>
    <x v="1"/>
    <n v="88.2"/>
    <x v="2"/>
    <n v="7.37"/>
    <n v="14.06"/>
    <n v="3141.0203000000001"/>
    <n v="5992.2314000000006"/>
    <n v="2851.2111000000004"/>
    <n v="0.47581792318634425"/>
    <n v="8.0549909999999993"/>
  </r>
  <r>
    <s v="BATCH01701"/>
    <x v="3"/>
    <x v="2"/>
    <x v="1"/>
    <n v="518.13"/>
    <n v="12.07"/>
    <n v="33.74"/>
    <n v="0.5"/>
    <n v="1.8"/>
    <n v="19"/>
    <s v="A"/>
    <n v="2.75"/>
    <x v="2"/>
    <n v="55.67"/>
    <x v="0"/>
    <n v="9.6300000000000008"/>
    <n v="11.43"/>
    <n v="4989.5919000000004"/>
    <n v="5922.2258999999995"/>
    <n v="932.63399999999911"/>
    <n v="0.15748031496062978"/>
    <n v="14.248575000000001"/>
  </r>
  <r>
    <s v="BATCH01702"/>
    <x v="0"/>
    <x v="1"/>
    <x v="0"/>
    <n v="546.03"/>
    <n v="11.83"/>
    <n v="35.840000000000003"/>
    <n v="0.1"/>
    <n v="0.2"/>
    <n v="13"/>
    <s v="C"/>
    <n v="5.94"/>
    <x v="2"/>
    <n v="60.61"/>
    <x v="2"/>
    <n v="3.73"/>
    <n v="14.82"/>
    <n v="2036.6918999999998"/>
    <n v="8092.1646000000001"/>
    <n v="6055.4727000000003"/>
    <n v="0.74831309041835359"/>
    <n v="32.434182"/>
  </r>
  <r>
    <s v="BATCH01703"/>
    <x v="0"/>
    <x v="2"/>
    <x v="1"/>
    <n v="519.48"/>
    <n v="15.95"/>
    <n v="31.66"/>
    <n v="1"/>
    <n v="1.9"/>
    <n v="4"/>
    <s v="A"/>
    <n v="9.89"/>
    <x v="0"/>
    <n v="81.069999999999993"/>
    <x v="1"/>
    <n v="5.39"/>
    <n v="6.56"/>
    <n v="2799.9971999999998"/>
    <n v="3407.7887999999998"/>
    <n v="607.79160000000002"/>
    <n v="0.17835365853658539"/>
    <n v="51.376572000000003"/>
  </r>
  <r>
    <s v="BATCH01704"/>
    <x v="0"/>
    <x v="0"/>
    <x v="0"/>
    <n v="398.03"/>
    <n v="12.56"/>
    <n v="38.18"/>
    <n v="0.3"/>
    <n v="1.1000000000000001"/>
    <n v="10"/>
    <s v="C"/>
    <n v="1.2"/>
    <x v="1"/>
    <n v="70.97"/>
    <x v="1"/>
    <n v="3.94"/>
    <n v="7.97"/>
    <n v="1568.2381999999998"/>
    <n v="3172.2990999999997"/>
    <n v="1604.0608999999999"/>
    <n v="0.50564617314930993"/>
    <n v="4.7763599999999995"/>
  </r>
  <r>
    <s v="BATCH01705"/>
    <x v="1"/>
    <x v="0"/>
    <x v="0"/>
    <n v="520.64"/>
    <n v="9.7100000000000009"/>
    <n v="38.840000000000003"/>
    <n v="2.5"/>
    <n v="0.2"/>
    <n v="29"/>
    <s v="C"/>
    <n v="4.3099999999999996"/>
    <x v="2"/>
    <n v="75.209999999999994"/>
    <x v="0"/>
    <n v="8.85"/>
    <n v="8.6199999999999992"/>
    <n v="4607.6639999999998"/>
    <n v="4487.9167999999991"/>
    <n v="-119.7472000000007"/>
    <n v="-2.6682134570765823E-2"/>
    <n v="22.439583999999996"/>
  </r>
  <r>
    <s v="BATCH01706"/>
    <x v="0"/>
    <x v="3"/>
    <x v="1"/>
    <n v="646.22"/>
    <n v="10.67"/>
    <n v="21.29"/>
    <n v="2.2000000000000002"/>
    <n v="0.2"/>
    <n v="22"/>
    <s v="B"/>
    <n v="0.91"/>
    <x v="2"/>
    <n v="97.58"/>
    <x v="2"/>
    <n v="9.16"/>
    <n v="8.27"/>
    <n v="5919.3752000000004"/>
    <n v="5344.2394000000004"/>
    <n v="-575.13580000000002"/>
    <n v="-0.10761789600967352"/>
    <n v="5.8806019999999997"/>
  </r>
  <r>
    <s v="BATCH01707"/>
    <x v="3"/>
    <x v="1"/>
    <x v="0"/>
    <n v="544.86"/>
    <n v="13.09"/>
    <n v="28.05"/>
    <n v="0.1"/>
    <n v="2.6"/>
    <n v="5"/>
    <s v="A"/>
    <n v="2.39"/>
    <x v="2"/>
    <n v="71.010000000000005"/>
    <x v="2"/>
    <n v="6.51"/>
    <n v="7.52"/>
    <n v="3547.0385999999999"/>
    <n v="4097.3472000000002"/>
    <n v="550.3086000000003"/>
    <n v="0.13430851063829793"/>
    <n v="13.022154"/>
  </r>
  <r>
    <s v="BATCH01708"/>
    <x v="1"/>
    <x v="3"/>
    <x v="0"/>
    <n v="596.20000000000005"/>
    <n v="9.4700000000000006"/>
    <n v="20.47"/>
    <n v="3.6"/>
    <n v="0"/>
    <n v="3"/>
    <s v="C"/>
    <n v="9.1199999999999992"/>
    <x v="0"/>
    <n v="94.08"/>
    <x v="2"/>
    <n v="4.3099999999999996"/>
    <n v="9.43"/>
    <n v="2569.6219999999998"/>
    <n v="5622.1660000000002"/>
    <n v="3052.5440000000003"/>
    <n v="0.54294803817603399"/>
    <n v="54.373440000000002"/>
  </r>
  <r>
    <s v="BATCH01709"/>
    <x v="3"/>
    <x v="0"/>
    <x v="1"/>
    <n v="476.3"/>
    <n v="14.12"/>
    <n v="26.59"/>
    <n v="0.6"/>
    <n v="0.6"/>
    <n v="16"/>
    <s v="A"/>
    <n v="1.42"/>
    <x v="2"/>
    <n v="83.04"/>
    <x v="1"/>
    <n v="3.89"/>
    <n v="11.42"/>
    <n v="1852.807"/>
    <n v="5439.3460000000005"/>
    <n v="3586.5390000000007"/>
    <n v="0.65936952714535912"/>
    <n v="6.7634600000000002"/>
  </r>
  <r>
    <s v="BATCH01710"/>
    <x v="2"/>
    <x v="2"/>
    <x v="0"/>
    <n v="574.99"/>
    <n v="13.66"/>
    <n v="30.74"/>
    <n v="1.1000000000000001"/>
    <n v="0.4"/>
    <n v="26"/>
    <s v="C"/>
    <n v="8.64"/>
    <x v="2"/>
    <n v="56.08"/>
    <x v="0"/>
    <n v="7.12"/>
    <n v="8.11"/>
    <n v="4093.9288000000001"/>
    <n v="4663.1688999999997"/>
    <n v="569.24009999999953"/>
    <n v="0.12207151664611582"/>
    <n v="49.679136000000007"/>
  </r>
  <r>
    <s v="BATCH01711"/>
    <x v="2"/>
    <x v="3"/>
    <x v="1"/>
    <n v="527.92999999999995"/>
    <n v="15.15"/>
    <n v="38.22"/>
    <n v="2.2000000000000002"/>
    <n v="1.1000000000000001"/>
    <n v="8"/>
    <s v="C"/>
    <n v="2.19"/>
    <x v="1"/>
    <n v="87.23"/>
    <x v="2"/>
    <n v="6.54"/>
    <n v="5.8"/>
    <n v="3452.6621999999998"/>
    <n v="3061.9939999999997"/>
    <n v="-390.66820000000007"/>
    <n v="-0.12758620689655176"/>
    <n v="11.561666999999998"/>
  </r>
  <r>
    <s v="BATCH01712"/>
    <x v="2"/>
    <x v="3"/>
    <x v="1"/>
    <n v="404.91"/>
    <n v="17.38"/>
    <n v="36.93"/>
    <n v="1.1000000000000001"/>
    <n v="1.8"/>
    <n v="24"/>
    <s v="B"/>
    <n v="8.69"/>
    <x v="1"/>
    <n v="76.010000000000005"/>
    <x v="1"/>
    <n v="7.86"/>
    <n v="12.09"/>
    <n v="3182.5926000000004"/>
    <n v="4895.3618999999999"/>
    <n v="1712.7692999999995"/>
    <n v="0.34987593052109173"/>
    <n v="35.186678999999998"/>
  </r>
  <r>
    <s v="BATCH01713"/>
    <x v="2"/>
    <x v="2"/>
    <x v="1"/>
    <n v="531.85"/>
    <n v="17.12"/>
    <n v="22.55"/>
    <n v="1.2"/>
    <n v="0.4"/>
    <n v="7"/>
    <s v="C"/>
    <n v="5.61"/>
    <x v="1"/>
    <n v="61.25"/>
    <x v="1"/>
    <n v="5.14"/>
    <n v="9.59"/>
    <n v="2733.7089999999998"/>
    <n v="5100.4414999999999"/>
    <n v="2366.7325000000001"/>
    <n v="0.46402502606882173"/>
    <n v="29.836785000000006"/>
  </r>
  <r>
    <s v="BATCH01714"/>
    <x v="3"/>
    <x v="3"/>
    <x v="1"/>
    <n v="400.83"/>
    <n v="17.46"/>
    <n v="21.86"/>
    <n v="0.1"/>
    <n v="0.6"/>
    <n v="19"/>
    <s v="B"/>
    <n v="8.84"/>
    <x v="0"/>
    <n v="64.48"/>
    <x v="2"/>
    <n v="5.82"/>
    <n v="10.56"/>
    <n v="2332.8306000000002"/>
    <n v="4232.7647999999999"/>
    <n v="1899.9341999999997"/>
    <n v="0.4488636363636363"/>
    <n v="35.433371999999999"/>
  </r>
  <r>
    <s v="BATCH01715"/>
    <x v="1"/>
    <x v="2"/>
    <x v="1"/>
    <n v="436.71"/>
    <n v="10.45"/>
    <n v="31.79"/>
    <n v="1"/>
    <n v="4"/>
    <n v="14"/>
    <s v="A"/>
    <n v="1.94"/>
    <x v="1"/>
    <n v="77.87"/>
    <x v="0"/>
    <n v="3.15"/>
    <n v="9.5500000000000007"/>
    <n v="1375.6364999999998"/>
    <n v="4170.5805"/>
    <n v="2794.9440000000004"/>
    <n v="0.67015706806282727"/>
    <n v="8.472173999999999"/>
  </r>
  <r>
    <s v="BATCH01716"/>
    <x v="1"/>
    <x v="1"/>
    <x v="0"/>
    <n v="518.92999999999995"/>
    <n v="9.32"/>
    <n v="30.64"/>
    <n v="2.9"/>
    <n v="1.5"/>
    <n v="15"/>
    <s v="B"/>
    <n v="7.74"/>
    <x v="1"/>
    <n v="80.09"/>
    <x v="0"/>
    <n v="7.27"/>
    <n v="13.9"/>
    <n v="3772.6210999999994"/>
    <n v="7213.1269999999995"/>
    <n v="3440.5059000000001"/>
    <n v="0.47697841726618712"/>
    <n v="40.165181999999994"/>
  </r>
  <r>
    <s v="BATCH01717"/>
    <x v="0"/>
    <x v="2"/>
    <x v="1"/>
    <n v="529.72"/>
    <n v="11.02"/>
    <n v="25.33"/>
    <n v="4.9000000000000004"/>
    <n v="2.2999999999999998"/>
    <n v="17"/>
    <s v="B"/>
    <n v="6.97"/>
    <x v="1"/>
    <n v="98.41"/>
    <x v="2"/>
    <n v="5.96"/>
    <n v="10.59"/>
    <n v="3157.1312000000003"/>
    <n v="5609.7348000000002"/>
    <n v="2452.6035999999999"/>
    <n v="0.43720491029272895"/>
    <n v="36.921484"/>
  </r>
  <r>
    <s v="BATCH01718"/>
    <x v="3"/>
    <x v="1"/>
    <x v="1"/>
    <n v="381.08"/>
    <n v="16.95"/>
    <n v="37.99"/>
    <n v="1.1000000000000001"/>
    <n v="0.6"/>
    <n v="21"/>
    <s v="A"/>
    <n v="5.66"/>
    <x v="1"/>
    <n v="92.74"/>
    <x v="1"/>
    <n v="9.44"/>
    <n v="14.23"/>
    <n v="3597.3951999999995"/>
    <n v="5422.7683999999999"/>
    <n v="1825.3732000000005"/>
    <n v="0.33661278988053417"/>
    <n v="21.569127999999999"/>
  </r>
  <r>
    <s v="BATCH01719"/>
    <x v="2"/>
    <x v="2"/>
    <x v="0"/>
    <n v="605.4"/>
    <n v="17.72"/>
    <n v="38.549999999999997"/>
    <n v="1.1000000000000001"/>
    <n v="0.3"/>
    <n v="1"/>
    <s v="B"/>
    <n v="8.1999999999999993"/>
    <x v="2"/>
    <n v="60.29"/>
    <x v="1"/>
    <n v="7.49"/>
    <n v="10.11"/>
    <n v="4534.4459999999999"/>
    <n v="6120.5939999999991"/>
    <n v="1586.1479999999992"/>
    <n v="0.25914935707220565"/>
    <n v="49.642799999999994"/>
  </r>
  <r>
    <s v="BATCH01720"/>
    <x v="3"/>
    <x v="0"/>
    <x v="0"/>
    <n v="557.20000000000005"/>
    <n v="16.59"/>
    <n v="28.05"/>
    <n v="2.4"/>
    <n v="0.5"/>
    <n v="6"/>
    <s v="B"/>
    <n v="6.66"/>
    <x v="0"/>
    <n v="88.7"/>
    <x v="2"/>
    <n v="5.79"/>
    <n v="7.93"/>
    <n v="3226.1880000000001"/>
    <n v="4418.5960000000005"/>
    <n v="1192.4080000000004"/>
    <n v="0.26986128625472894"/>
    <n v="37.109520000000003"/>
  </r>
  <r>
    <s v="BATCH01721"/>
    <x v="0"/>
    <x v="0"/>
    <x v="0"/>
    <n v="429.53"/>
    <n v="9.1"/>
    <n v="37.81"/>
    <n v="5.7"/>
    <n v="1.3"/>
    <n v="27"/>
    <s v="C"/>
    <n v="8.83"/>
    <x v="2"/>
    <n v="50.41"/>
    <x v="1"/>
    <n v="4.8499999999999996"/>
    <n v="8.5500000000000007"/>
    <n v="2083.2204999999999"/>
    <n v="3672.4814999999999"/>
    <n v="1589.261"/>
    <n v="0.43274853801169594"/>
    <n v="37.927498999999997"/>
  </r>
  <r>
    <s v="BATCH01722"/>
    <x v="0"/>
    <x v="1"/>
    <x v="1"/>
    <n v="346.24"/>
    <n v="17.47"/>
    <n v="27.68"/>
    <n v="0.6"/>
    <n v="0.1"/>
    <n v="23"/>
    <s v="B"/>
    <n v="4.12"/>
    <x v="2"/>
    <n v="56.49"/>
    <x v="1"/>
    <n v="9.34"/>
    <n v="10.220000000000001"/>
    <n v="3233.8816000000002"/>
    <n v="3538.5728000000004"/>
    <n v="304.69120000000021"/>
    <n v="8.6105675146771088E-2"/>
    <n v="14.265088"/>
  </r>
  <r>
    <s v="BATCH01723"/>
    <x v="3"/>
    <x v="1"/>
    <x v="1"/>
    <n v="485.51"/>
    <n v="12.23"/>
    <n v="34.74"/>
    <n v="1.2"/>
    <n v="0.3"/>
    <n v="15"/>
    <s v="C"/>
    <n v="6.1"/>
    <x v="0"/>
    <n v="59.99"/>
    <x v="2"/>
    <n v="3.11"/>
    <n v="10.3"/>
    <n v="1509.9360999999999"/>
    <n v="5000.7530000000006"/>
    <n v="3490.8169000000007"/>
    <n v="0.69805825242718456"/>
    <n v="29.616109999999999"/>
  </r>
  <r>
    <s v="BATCH01724"/>
    <x v="3"/>
    <x v="0"/>
    <x v="1"/>
    <n v="455.41"/>
    <n v="8.09"/>
    <n v="29.52"/>
    <n v="3.2"/>
    <n v="0"/>
    <n v="12"/>
    <s v="B"/>
    <n v="8.77"/>
    <x v="2"/>
    <n v="79.86"/>
    <x v="1"/>
    <n v="5.29"/>
    <n v="11.87"/>
    <n v="2409.1188999999999"/>
    <n v="5405.7166999999999"/>
    <n v="2996.5978"/>
    <n v="0.55433866891322658"/>
    <n v="39.939457000000004"/>
  </r>
  <r>
    <s v="BATCH01725"/>
    <x v="3"/>
    <x v="1"/>
    <x v="0"/>
    <n v="511.31"/>
    <n v="12.42"/>
    <n v="22.45"/>
    <n v="1.9"/>
    <n v="0.6"/>
    <n v="21"/>
    <s v="A"/>
    <n v="2.54"/>
    <x v="1"/>
    <n v="59.73"/>
    <x v="2"/>
    <n v="9.6"/>
    <n v="7.24"/>
    <n v="4908.576"/>
    <n v="3701.8843999999999"/>
    <n v="-1206.6916000000001"/>
    <n v="-0.32596685082872934"/>
    <n v="12.987273999999999"/>
  </r>
  <r>
    <s v="BATCH01726"/>
    <x v="1"/>
    <x v="2"/>
    <x v="1"/>
    <n v="463.69"/>
    <n v="8.4600000000000009"/>
    <n v="38.56"/>
    <n v="0.2"/>
    <n v="1.8"/>
    <n v="20"/>
    <s v="A"/>
    <n v="5.1100000000000003"/>
    <x v="0"/>
    <n v="68.260000000000005"/>
    <x v="2"/>
    <n v="7.58"/>
    <n v="11.59"/>
    <n v="3514.7701999999999"/>
    <n v="5374.1670999999997"/>
    <n v="1859.3968999999997"/>
    <n v="0.34598792062122519"/>
    <n v="23.694558999999998"/>
  </r>
  <r>
    <s v="BATCH01727"/>
    <x v="2"/>
    <x v="2"/>
    <x v="0"/>
    <n v="299.25"/>
    <n v="13.44"/>
    <n v="29.08"/>
    <n v="2"/>
    <n v="0"/>
    <n v="2"/>
    <s v="B"/>
    <n v="9.6300000000000008"/>
    <x v="2"/>
    <n v="62.14"/>
    <x v="2"/>
    <n v="6.73"/>
    <n v="12.79"/>
    <n v="2013.9525000000001"/>
    <n v="3827.4074999999998"/>
    <n v="1813.4549999999997"/>
    <n v="0.47380766223612192"/>
    <n v="28.817775000000001"/>
  </r>
  <r>
    <s v="BATCH01728"/>
    <x v="3"/>
    <x v="0"/>
    <x v="1"/>
    <n v="461.17"/>
    <n v="11.39"/>
    <n v="34.69"/>
    <n v="0.4"/>
    <n v="1.1000000000000001"/>
    <n v="5"/>
    <s v="C"/>
    <n v="5"/>
    <x v="2"/>
    <n v="66.87"/>
    <x v="1"/>
    <n v="4.42"/>
    <n v="11.77"/>
    <n v="2038.3714"/>
    <n v="5427.9709000000003"/>
    <n v="3389.5995000000003"/>
    <n v="0.62446898895497027"/>
    <n v="23.058499999999999"/>
  </r>
  <r>
    <s v="BATCH01729"/>
    <x v="3"/>
    <x v="3"/>
    <x v="0"/>
    <n v="469.44"/>
    <n v="12.73"/>
    <n v="27.34"/>
    <n v="1.4"/>
    <n v="2.7"/>
    <n v="9"/>
    <s v="B"/>
    <n v="2.9"/>
    <x v="1"/>
    <n v="97.12"/>
    <x v="2"/>
    <n v="8.83"/>
    <n v="9.82"/>
    <n v="4145.1552000000001"/>
    <n v="4609.9008000000003"/>
    <n v="464.74560000000019"/>
    <n v="0.1008146639511202"/>
    <n v="13.613759999999999"/>
  </r>
  <r>
    <s v="BATCH01730"/>
    <x v="3"/>
    <x v="2"/>
    <x v="1"/>
    <n v="563.37"/>
    <n v="14.13"/>
    <n v="20.38"/>
    <n v="1.5"/>
    <n v="0.3"/>
    <n v="20"/>
    <s v="C"/>
    <n v="3.84"/>
    <x v="2"/>
    <n v="99.87"/>
    <x v="1"/>
    <n v="4.43"/>
    <n v="14.92"/>
    <n v="2495.7291"/>
    <n v="8405.4804000000004"/>
    <n v="5909.7512999999999"/>
    <n v="0.70308310991957101"/>
    <n v="21.633407999999999"/>
  </r>
  <r>
    <s v="BATCH01731"/>
    <x v="0"/>
    <x v="1"/>
    <x v="1"/>
    <n v="430.18"/>
    <n v="16.690000000000001"/>
    <n v="22.01"/>
    <n v="4.2"/>
    <n v="1.2"/>
    <n v="14"/>
    <s v="B"/>
    <n v="8.91"/>
    <x v="2"/>
    <n v="84.29"/>
    <x v="2"/>
    <n v="4.74"/>
    <n v="9.0500000000000007"/>
    <n v="2039.0532000000001"/>
    <n v="3893.1290000000004"/>
    <n v="1854.0758000000003"/>
    <n v="0.47624309392265196"/>
    <n v="38.329037999999997"/>
  </r>
  <r>
    <s v="BATCH01732"/>
    <x v="0"/>
    <x v="3"/>
    <x v="1"/>
    <n v="667.87"/>
    <n v="14.62"/>
    <n v="29.92"/>
    <n v="1.2"/>
    <n v="3.7"/>
    <n v="18"/>
    <s v="A"/>
    <n v="9.57"/>
    <x v="2"/>
    <n v="78.62"/>
    <x v="0"/>
    <n v="4.34"/>
    <n v="6.07"/>
    <n v="2898.5558000000001"/>
    <n v="4053.9709000000003"/>
    <n v="1155.4151000000002"/>
    <n v="0.28500823723228996"/>
    <n v="63.915159000000003"/>
  </r>
  <r>
    <s v="BATCH01733"/>
    <x v="1"/>
    <x v="3"/>
    <x v="0"/>
    <n v="308.83999999999997"/>
    <n v="12.34"/>
    <n v="33.799999999999997"/>
    <n v="0.7"/>
    <n v="3.3"/>
    <n v="29"/>
    <s v="A"/>
    <n v="9.5299999999999994"/>
    <x v="0"/>
    <n v="85.42"/>
    <x v="1"/>
    <n v="4.1100000000000003"/>
    <n v="13.22"/>
    <n v="1269.3324"/>
    <n v="4082.8647999999998"/>
    <n v="2813.5324000000001"/>
    <n v="0.68910741301059009"/>
    <n v="29.432451999999994"/>
  </r>
  <r>
    <s v="BATCH01734"/>
    <x v="2"/>
    <x v="2"/>
    <x v="0"/>
    <n v="631.12"/>
    <n v="16.190000000000001"/>
    <n v="26.69"/>
    <n v="0.5"/>
    <n v="0.3"/>
    <n v="22"/>
    <s v="C"/>
    <n v="7.14"/>
    <x v="0"/>
    <n v="88.58"/>
    <x v="1"/>
    <n v="9.67"/>
    <n v="7.12"/>
    <n v="6102.9304000000002"/>
    <n v="4493.5744000000004"/>
    <n v="-1609.3559999999998"/>
    <n v="-0.35814606741573024"/>
    <n v="45.061968"/>
  </r>
  <r>
    <s v="BATCH01735"/>
    <x v="1"/>
    <x v="2"/>
    <x v="1"/>
    <n v="477.57"/>
    <n v="17.059999999999999"/>
    <n v="33.909999999999997"/>
    <n v="4.0999999999999996"/>
    <n v="0.1"/>
    <n v="8"/>
    <s v="B"/>
    <n v="5.34"/>
    <x v="2"/>
    <n v="86.95"/>
    <x v="1"/>
    <n v="7.21"/>
    <n v="12.13"/>
    <n v="3443.2797"/>
    <n v="5792.9241000000002"/>
    <n v="2349.6444000000001"/>
    <n v="0.40560593569661996"/>
    <n v="25.502237999999998"/>
  </r>
  <r>
    <s v="BATCH01736"/>
    <x v="2"/>
    <x v="3"/>
    <x v="1"/>
    <n v="585.96"/>
    <n v="9.1999999999999993"/>
    <n v="33.97"/>
    <n v="0.4"/>
    <n v="0.2"/>
    <n v="2"/>
    <s v="C"/>
    <n v="2.2400000000000002"/>
    <x v="2"/>
    <n v="54.09"/>
    <x v="0"/>
    <n v="7.46"/>
    <n v="6.79"/>
    <n v="4371.2615999999998"/>
    <n v="3978.6684000000005"/>
    <n v="-392.59319999999934"/>
    <n v="-9.8674521354933556E-2"/>
    <n v="13.125504000000003"/>
  </r>
  <r>
    <s v="BATCH01737"/>
    <x v="0"/>
    <x v="3"/>
    <x v="1"/>
    <n v="507.98"/>
    <n v="13.32"/>
    <n v="34.08"/>
    <n v="1.1000000000000001"/>
    <n v="1.2"/>
    <n v="9"/>
    <s v="A"/>
    <n v="1.67"/>
    <x v="1"/>
    <n v="65.510000000000005"/>
    <x v="2"/>
    <n v="9.68"/>
    <n v="5.17"/>
    <n v="4917.2464"/>
    <n v="2626.2566000000002"/>
    <n v="-2290.9897999999998"/>
    <n v="-0.87234042553191482"/>
    <n v="8.4832660000000004"/>
  </r>
  <r>
    <s v="BATCH01738"/>
    <x v="0"/>
    <x v="0"/>
    <x v="0"/>
    <n v="613.96"/>
    <n v="10.85"/>
    <n v="29.85"/>
    <n v="0.4"/>
    <n v="1.3"/>
    <n v="7"/>
    <s v="C"/>
    <n v="1.07"/>
    <x v="0"/>
    <n v="67.17"/>
    <x v="0"/>
    <n v="4.6100000000000003"/>
    <n v="6.6"/>
    <n v="2830.3556000000003"/>
    <n v="4052.136"/>
    <n v="1221.7803999999996"/>
    <n v="0.3015151515151514"/>
    <n v="6.5693720000000004"/>
  </r>
  <r>
    <s v="BATCH01739"/>
    <x v="0"/>
    <x v="1"/>
    <x v="1"/>
    <n v="461.26"/>
    <n v="8.4700000000000006"/>
    <n v="38.299999999999997"/>
    <n v="3"/>
    <n v="1.1000000000000001"/>
    <n v="29"/>
    <s v="B"/>
    <n v="0.67"/>
    <x v="0"/>
    <n v="68.459999999999994"/>
    <x v="2"/>
    <n v="3.04"/>
    <n v="8.77"/>
    <n v="1402.2303999999999"/>
    <n v="4045.2501999999999"/>
    <n v="2643.0198"/>
    <n v="0.65336374002280506"/>
    <n v="3.0904419999999999"/>
  </r>
  <r>
    <s v="BATCH01740"/>
    <x v="1"/>
    <x v="0"/>
    <x v="1"/>
    <n v="390.14"/>
    <n v="14.69"/>
    <n v="29.78"/>
    <n v="1.3"/>
    <n v="0.4"/>
    <n v="18"/>
    <s v="C"/>
    <n v="8.84"/>
    <x v="0"/>
    <n v="67.22"/>
    <x v="2"/>
    <n v="7.19"/>
    <n v="6.07"/>
    <n v="2805.1066000000001"/>
    <n v="2368.1498000000001"/>
    <n v="-436.95679999999993"/>
    <n v="-0.18451400329489287"/>
    <n v="34.488375999999995"/>
  </r>
  <r>
    <s v="BATCH01741"/>
    <x v="3"/>
    <x v="2"/>
    <x v="1"/>
    <n v="642.04999999999995"/>
    <n v="16.63"/>
    <n v="29.01"/>
    <n v="0.9"/>
    <n v="0.2"/>
    <n v="27"/>
    <s v="B"/>
    <n v="8.19"/>
    <x v="2"/>
    <n v="89.35"/>
    <x v="2"/>
    <n v="6.55"/>
    <n v="6.98"/>
    <n v="4205.4274999999998"/>
    <n v="4481.509"/>
    <n v="276.08150000000023"/>
    <n v="6.1604584527220681E-2"/>
    <n v="52.583894999999991"/>
  </r>
  <r>
    <s v="BATCH01742"/>
    <x v="3"/>
    <x v="0"/>
    <x v="1"/>
    <n v="488.65"/>
    <n v="9.6300000000000008"/>
    <n v="23.99"/>
    <n v="0.9"/>
    <n v="0.9"/>
    <n v="16"/>
    <s v="B"/>
    <n v="5.89"/>
    <x v="1"/>
    <n v="87.38"/>
    <x v="2"/>
    <n v="6.34"/>
    <n v="12.65"/>
    <n v="3098.0409999999997"/>
    <n v="6181.4224999999997"/>
    <n v="3083.3815"/>
    <n v="0.49881422924901186"/>
    <n v="28.781484999999996"/>
  </r>
  <r>
    <s v="BATCH01743"/>
    <x v="0"/>
    <x v="0"/>
    <x v="0"/>
    <n v="522.16"/>
    <n v="16.12"/>
    <n v="26.15"/>
    <n v="3.8"/>
    <n v="0.7"/>
    <n v="21"/>
    <s v="A"/>
    <n v="9.99"/>
    <x v="1"/>
    <n v="50.23"/>
    <x v="2"/>
    <n v="3.43"/>
    <n v="12.7"/>
    <n v="1791.0088000000001"/>
    <n v="6631.4319999999989"/>
    <n v="4840.4231999999993"/>
    <n v="0.72992125984251965"/>
    <n v="52.163783999999993"/>
  </r>
  <r>
    <s v="BATCH01744"/>
    <x v="3"/>
    <x v="0"/>
    <x v="0"/>
    <n v="623.48"/>
    <n v="16.53"/>
    <n v="20.85"/>
    <n v="1.6"/>
    <n v="1.3"/>
    <n v="5"/>
    <s v="B"/>
    <n v="9.5500000000000007"/>
    <x v="2"/>
    <n v="64.819999999999993"/>
    <x v="0"/>
    <n v="6.18"/>
    <n v="13.17"/>
    <n v="3853.1064000000001"/>
    <n v="8211.231600000001"/>
    <n v="4358.1252000000004"/>
    <n v="0.53075170842824604"/>
    <n v="59.542340000000003"/>
  </r>
  <r>
    <s v="BATCH01745"/>
    <x v="3"/>
    <x v="0"/>
    <x v="1"/>
    <n v="396.8"/>
    <n v="17.14"/>
    <n v="32.67"/>
    <n v="2.5"/>
    <n v="0.6"/>
    <n v="23"/>
    <s v="B"/>
    <n v="6.72"/>
    <x v="2"/>
    <n v="81.180000000000007"/>
    <x v="1"/>
    <n v="5.01"/>
    <n v="13.41"/>
    <n v="1987.9680000000001"/>
    <n v="5321.0880000000006"/>
    <n v="3333.1200000000008"/>
    <n v="0.62639821029082776"/>
    <n v="26.664960000000001"/>
  </r>
  <r>
    <s v="BATCH01746"/>
    <x v="1"/>
    <x v="1"/>
    <x v="1"/>
    <n v="559.54999999999995"/>
    <n v="10.65"/>
    <n v="24.97"/>
    <n v="4.5"/>
    <n v="0.4"/>
    <n v="29"/>
    <s v="B"/>
    <n v="4.91"/>
    <x v="1"/>
    <n v="56.01"/>
    <x v="0"/>
    <n v="4.92"/>
    <n v="9.1999999999999993"/>
    <n v="2752.9859999999999"/>
    <n v="5147.8599999999988"/>
    <n v="2394.8739999999989"/>
    <n v="0.46521739130434775"/>
    <n v="27.473904999999998"/>
  </r>
  <r>
    <s v="BATCH01747"/>
    <x v="2"/>
    <x v="1"/>
    <x v="0"/>
    <n v="441.01"/>
    <n v="17.04"/>
    <n v="26.08"/>
    <n v="4.5999999999999996"/>
    <n v="0.3"/>
    <n v="15"/>
    <s v="C"/>
    <n v="1.95"/>
    <x v="1"/>
    <n v="53.56"/>
    <x v="1"/>
    <n v="4.5599999999999996"/>
    <n v="13.68"/>
    <n v="2011.0055999999997"/>
    <n v="6033.0167999999994"/>
    <n v="4022.0111999999999"/>
    <n v="0.66666666666666674"/>
    <n v="8.5996949999999988"/>
  </r>
  <r>
    <s v="BATCH01748"/>
    <x v="0"/>
    <x v="3"/>
    <x v="0"/>
    <n v="486.78"/>
    <n v="11.21"/>
    <n v="35.42"/>
    <n v="0.8"/>
    <n v="0.2"/>
    <n v="5"/>
    <s v="A"/>
    <n v="5.4"/>
    <x v="0"/>
    <n v="91.42"/>
    <x v="1"/>
    <n v="5.33"/>
    <n v="10.26"/>
    <n v="2594.5373999999997"/>
    <n v="4994.3627999999999"/>
    <n v="2399.8254000000002"/>
    <n v="0.48050682261208583"/>
    <n v="26.28612"/>
  </r>
  <r>
    <s v="BATCH01749"/>
    <x v="0"/>
    <x v="2"/>
    <x v="1"/>
    <n v="507.23"/>
    <n v="13.52"/>
    <n v="26.54"/>
    <n v="6.1"/>
    <n v="0.3"/>
    <n v="11"/>
    <s v="C"/>
    <n v="2"/>
    <x v="2"/>
    <n v="72.63"/>
    <x v="1"/>
    <n v="5.47"/>
    <n v="9.7100000000000009"/>
    <n v="2774.5481"/>
    <n v="4925.203300000001"/>
    <n v="2150.6552000000011"/>
    <n v="0.43666323377960875"/>
    <n v="10.144600000000001"/>
  </r>
  <r>
    <s v="BATCH01750"/>
    <x v="1"/>
    <x v="0"/>
    <x v="0"/>
    <n v="349.98"/>
    <n v="8.51"/>
    <n v="24.84"/>
    <n v="0.1"/>
    <n v="0.1"/>
    <n v="22"/>
    <s v="C"/>
    <n v="4.29"/>
    <x v="0"/>
    <n v="92.78"/>
    <x v="0"/>
    <n v="5.16"/>
    <n v="12.19"/>
    <n v="1805.8968000000002"/>
    <n v="4266.2561999999998"/>
    <n v="2460.3593999999994"/>
    <n v="0.57670221493027063"/>
    <n v="15.014142000000001"/>
  </r>
  <r>
    <s v="BATCH01751"/>
    <x v="1"/>
    <x v="3"/>
    <x v="0"/>
    <n v="422.12"/>
    <n v="8.44"/>
    <n v="23.38"/>
    <n v="0.9"/>
    <n v="0.4"/>
    <n v="14"/>
    <s v="A"/>
    <n v="9.4600000000000009"/>
    <x v="1"/>
    <n v="91.18"/>
    <x v="2"/>
    <n v="9.85"/>
    <n v="7.14"/>
    <n v="4157.8819999999996"/>
    <n v="3013.9367999999999"/>
    <n v="-1143.9451999999997"/>
    <n v="-0.37955182072829119"/>
    <n v="39.932552000000008"/>
  </r>
  <r>
    <s v="BATCH01752"/>
    <x v="3"/>
    <x v="3"/>
    <x v="1"/>
    <n v="635.11"/>
    <n v="15.2"/>
    <n v="35.5"/>
    <n v="4.5"/>
    <n v="0"/>
    <n v="25"/>
    <s v="C"/>
    <n v="3.75"/>
    <x v="0"/>
    <n v="94.67"/>
    <x v="2"/>
    <n v="9.5299999999999994"/>
    <n v="12.89"/>
    <n v="6052.5982999999997"/>
    <n v="8186.5679000000009"/>
    <n v="2133.9696000000013"/>
    <n v="0.26066718386346016"/>
    <n v="23.816624999999998"/>
  </r>
  <r>
    <s v="BATCH01753"/>
    <x v="0"/>
    <x v="3"/>
    <x v="0"/>
    <n v="588.62"/>
    <n v="12.44"/>
    <n v="22.59"/>
    <n v="0.6"/>
    <n v="0.2"/>
    <n v="19"/>
    <s v="C"/>
    <n v="1.95"/>
    <x v="1"/>
    <n v="52.41"/>
    <x v="1"/>
    <n v="7.02"/>
    <n v="9.2899999999999991"/>
    <n v="4132.1124"/>
    <n v="5468.2797999999993"/>
    <n v="1336.1673999999994"/>
    <n v="0.24434876210979539"/>
    <n v="11.47809"/>
  </r>
  <r>
    <s v="BATCH01754"/>
    <x v="2"/>
    <x v="1"/>
    <x v="0"/>
    <n v="493.74"/>
    <n v="10.56"/>
    <n v="29.08"/>
    <n v="0.6"/>
    <n v="1.4"/>
    <n v="3"/>
    <s v="B"/>
    <n v="6.03"/>
    <x v="1"/>
    <n v="59.31"/>
    <x v="2"/>
    <n v="9.8699999999999992"/>
    <n v="6.27"/>
    <n v="4873.2137999999995"/>
    <n v="3095.7498000000001"/>
    <n v="-1777.4639999999995"/>
    <n v="-0.5741626794258371"/>
    <n v="29.772522000000002"/>
  </r>
  <r>
    <s v="BATCH01755"/>
    <x v="1"/>
    <x v="0"/>
    <x v="1"/>
    <n v="524.30999999999995"/>
    <n v="9.9"/>
    <n v="30.14"/>
    <n v="0.7"/>
    <n v="0.4"/>
    <n v="24"/>
    <s v="C"/>
    <n v="6.22"/>
    <x v="0"/>
    <n v="64.81"/>
    <x v="2"/>
    <n v="9.94"/>
    <n v="6.19"/>
    <n v="5211.6413999999995"/>
    <n v="3245.4789000000001"/>
    <n v="-1966.1624999999995"/>
    <n v="-0.60581583198707578"/>
    <n v="32.612081999999994"/>
  </r>
  <r>
    <s v="BATCH01756"/>
    <x v="2"/>
    <x v="0"/>
    <x v="1"/>
    <n v="470.58"/>
    <n v="14.7"/>
    <n v="33.75"/>
    <n v="1.9"/>
    <n v="1.1000000000000001"/>
    <n v="10"/>
    <s v="A"/>
    <n v="2.34"/>
    <x v="2"/>
    <n v="56.81"/>
    <x v="0"/>
    <n v="5.49"/>
    <n v="6.65"/>
    <n v="2583.4841999999999"/>
    <n v="3129.357"/>
    <n v="545.8728000000001"/>
    <n v="0.17443609022556394"/>
    <n v="11.011571999999999"/>
  </r>
  <r>
    <s v="BATCH01757"/>
    <x v="2"/>
    <x v="2"/>
    <x v="0"/>
    <n v="635.66"/>
    <n v="8"/>
    <n v="32.67"/>
    <n v="1.2"/>
    <n v="1.3"/>
    <n v="28"/>
    <s v="C"/>
    <n v="2.37"/>
    <x v="0"/>
    <n v="74.27"/>
    <x v="2"/>
    <n v="6.12"/>
    <n v="13.91"/>
    <n v="3890.2392"/>
    <n v="8842.0306"/>
    <n v="4951.7914000000001"/>
    <n v="0.56002875629043858"/>
    <n v="15.065142000000002"/>
  </r>
  <r>
    <s v="BATCH01758"/>
    <x v="0"/>
    <x v="0"/>
    <x v="1"/>
    <n v="479.96"/>
    <n v="16.059999999999999"/>
    <n v="36.21"/>
    <n v="2.6"/>
    <n v="0.9"/>
    <n v="6"/>
    <s v="B"/>
    <n v="9.9"/>
    <x v="0"/>
    <n v="89.95"/>
    <x v="2"/>
    <n v="9.7100000000000009"/>
    <n v="14.91"/>
    <n v="4660.4116000000004"/>
    <n v="7156.2035999999998"/>
    <n v="2495.7919999999995"/>
    <n v="0.34875922199865855"/>
    <n v="47.516040000000004"/>
  </r>
  <r>
    <s v="BATCH01759"/>
    <x v="0"/>
    <x v="0"/>
    <x v="0"/>
    <n v="523.17999999999995"/>
    <n v="8.7899999999999991"/>
    <n v="20.9"/>
    <n v="4.5"/>
    <n v="3.2"/>
    <n v="28"/>
    <s v="C"/>
    <n v="2.81"/>
    <x v="2"/>
    <n v="97.56"/>
    <x v="0"/>
    <n v="7.26"/>
    <n v="8.57"/>
    <n v="3798.2867999999994"/>
    <n v="4483.6525999999994"/>
    <n v="685.36580000000004"/>
    <n v="0.15285880980163363"/>
    <n v="14.701357999999997"/>
  </r>
  <r>
    <s v="BATCH01760"/>
    <x v="1"/>
    <x v="3"/>
    <x v="1"/>
    <n v="614.6"/>
    <n v="9.91"/>
    <n v="25.93"/>
    <n v="2.2000000000000002"/>
    <n v="0"/>
    <n v="26"/>
    <s v="A"/>
    <n v="8.4600000000000009"/>
    <x v="2"/>
    <n v="94.48"/>
    <x v="2"/>
    <n v="4.49"/>
    <n v="7.92"/>
    <n v="2759.5540000000001"/>
    <n v="4867.6320000000005"/>
    <n v="2108.0780000000004"/>
    <n v="0.43308080808080812"/>
    <n v="51.995160000000006"/>
  </r>
  <r>
    <s v="BATCH01761"/>
    <x v="0"/>
    <x v="2"/>
    <x v="0"/>
    <n v="422.26"/>
    <n v="11.86"/>
    <n v="25.6"/>
    <n v="0.5"/>
    <n v="1.3"/>
    <n v="3"/>
    <s v="B"/>
    <n v="4.97"/>
    <x v="0"/>
    <n v="72.87"/>
    <x v="1"/>
    <n v="7.83"/>
    <n v="7.19"/>
    <n v="3306.2957999999999"/>
    <n v="3036.0493999999999"/>
    <n v="-270.24639999999999"/>
    <n v="-8.9012517385257298E-2"/>
    <n v="20.986322000000001"/>
  </r>
  <r>
    <s v="BATCH01762"/>
    <x v="0"/>
    <x v="0"/>
    <x v="1"/>
    <n v="655.88"/>
    <n v="12.85"/>
    <n v="22.92"/>
    <n v="5.4"/>
    <n v="3.2"/>
    <n v="2"/>
    <s v="C"/>
    <n v="4.63"/>
    <x v="1"/>
    <n v="81.819999999999993"/>
    <x v="0"/>
    <n v="4.4400000000000004"/>
    <n v="13.24"/>
    <n v="2912.1072000000004"/>
    <n v="8683.851200000001"/>
    <n v="5771.7440000000006"/>
    <n v="0.66465256797583083"/>
    <n v="30.367243999999999"/>
  </r>
  <r>
    <s v="BATCH01763"/>
    <x v="0"/>
    <x v="1"/>
    <x v="0"/>
    <n v="346.95"/>
    <n v="11.55"/>
    <n v="25.78"/>
    <n v="0.6"/>
    <n v="2"/>
    <n v="13"/>
    <s v="A"/>
    <n v="3.3"/>
    <x v="0"/>
    <n v="61.53"/>
    <x v="2"/>
    <n v="5.38"/>
    <n v="7.09"/>
    <n v="1866.5909999999999"/>
    <n v="2459.8754999999996"/>
    <n v="593.28449999999975"/>
    <n v="0.24118476727785607"/>
    <n v="11.449349999999999"/>
  </r>
  <r>
    <s v="BATCH01764"/>
    <x v="2"/>
    <x v="0"/>
    <x v="0"/>
    <n v="662.96"/>
    <n v="11.21"/>
    <n v="26.2"/>
    <n v="0.3"/>
    <n v="0.2"/>
    <n v="18"/>
    <s v="A"/>
    <n v="7.85"/>
    <x v="1"/>
    <n v="70.150000000000006"/>
    <x v="2"/>
    <n v="4.59"/>
    <n v="14.24"/>
    <n v="3042.9864000000002"/>
    <n v="9440.5504000000001"/>
    <n v="6397.5640000000003"/>
    <n v="0.6776685393258427"/>
    <n v="52.042360000000002"/>
  </r>
  <r>
    <s v="BATCH01765"/>
    <x v="1"/>
    <x v="3"/>
    <x v="0"/>
    <n v="462.73"/>
    <n v="17.64"/>
    <n v="30.44"/>
    <n v="0.2"/>
    <n v="0.4"/>
    <n v="2"/>
    <s v="C"/>
    <n v="8.8699999999999992"/>
    <x v="2"/>
    <n v="93.56"/>
    <x v="0"/>
    <n v="4.71"/>
    <n v="11.67"/>
    <n v="2179.4583000000002"/>
    <n v="5400.0591000000004"/>
    <n v="3220.6008000000002"/>
    <n v="0.59640102827763497"/>
    <n v="41.044150999999999"/>
  </r>
  <r>
    <s v="BATCH01766"/>
    <x v="3"/>
    <x v="1"/>
    <x v="1"/>
    <n v="475.73"/>
    <n v="14.42"/>
    <n v="33.270000000000003"/>
    <n v="1.7"/>
    <n v="0.2"/>
    <n v="15"/>
    <s v="C"/>
    <n v="2.98"/>
    <x v="2"/>
    <n v="51.46"/>
    <x v="1"/>
    <n v="3.03"/>
    <n v="13.97"/>
    <n v="1441.4619"/>
    <n v="6645.9481000000005"/>
    <n v="5204.4862000000003"/>
    <n v="0.78310665712240513"/>
    <n v="14.176754000000001"/>
  </r>
  <r>
    <s v="BATCH01767"/>
    <x v="2"/>
    <x v="3"/>
    <x v="1"/>
    <n v="311"/>
    <n v="8.23"/>
    <n v="27.62"/>
    <n v="0.2"/>
    <n v="0.9"/>
    <n v="5"/>
    <s v="B"/>
    <n v="1.4"/>
    <x v="1"/>
    <n v="76.64"/>
    <x v="0"/>
    <n v="9.16"/>
    <n v="10.54"/>
    <n v="2848.76"/>
    <n v="3277.9399999999996"/>
    <n v="429.17999999999938"/>
    <n v="0.13092979127134707"/>
    <n v="4.3540000000000001"/>
  </r>
  <r>
    <s v="BATCH01768"/>
    <x v="0"/>
    <x v="0"/>
    <x v="0"/>
    <n v="454.52"/>
    <n v="12.3"/>
    <n v="34.39"/>
    <n v="0.3"/>
    <n v="1.2"/>
    <n v="15"/>
    <s v="C"/>
    <n v="1.8"/>
    <x v="0"/>
    <n v="93.64"/>
    <x v="1"/>
    <n v="5.07"/>
    <n v="11.91"/>
    <n v="2304.4164000000001"/>
    <n v="5413.3332"/>
    <n v="3108.9168"/>
    <n v="0.5743073047858942"/>
    <n v="8.1813599999999997"/>
  </r>
  <r>
    <s v="BATCH01769"/>
    <x v="2"/>
    <x v="1"/>
    <x v="0"/>
    <n v="396.02"/>
    <n v="16.75"/>
    <n v="26.72"/>
    <n v="0.7"/>
    <n v="0.4"/>
    <n v="28"/>
    <s v="B"/>
    <n v="8.0299999999999994"/>
    <x v="2"/>
    <n v="56.1"/>
    <x v="0"/>
    <n v="3.6"/>
    <n v="11.19"/>
    <n v="1425.672"/>
    <n v="4431.4637999999995"/>
    <n v="3005.7917999999995"/>
    <n v="0.67828418230563003"/>
    <n v="31.800405999999999"/>
  </r>
  <r>
    <s v="BATCH01770"/>
    <x v="0"/>
    <x v="2"/>
    <x v="1"/>
    <n v="439.24"/>
    <n v="11.01"/>
    <n v="25.81"/>
    <n v="0.7"/>
    <n v="0.8"/>
    <n v="21"/>
    <s v="C"/>
    <n v="4.6399999999999997"/>
    <x v="1"/>
    <n v="99.13"/>
    <x v="2"/>
    <n v="3.61"/>
    <n v="13.31"/>
    <n v="1585.6564000000001"/>
    <n v="5846.2844000000005"/>
    <n v="4260.6280000000006"/>
    <n v="0.72877535687453043"/>
    <n v="20.380735999999999"/>
  </r>
  <r>
    <s v="BATCH01771"/>
    <x v="0"/>
    <x v="2"/>
    <x v="1"/>
    <n v="486.27"/>
    <n v="8.9499999999999993"/>
    <n v="30.82"/>
    <n v="1.9"/>
    <n v="1.2"/>
    <n v="17"/>
    <s v="A"/>
    <n v="1.75"/>
    <x v="1"/>
    <n v="50.62"/>
    <x v="0"/>
    <n v="6.89"/>
    <n v="13.36"/>
    <n v="3350.4002999999998"/>
    <n v="6496.5671999999995"/>
    <n v="3146.1668999999997"/>
    <n v="0.4842814371257485"/>
    <n v="8.5097249999999995"/>
  </r>
  <r>
    <s v="BATCH01772"/>
    <x v="2"/>
    <x v="1"/>
    <x v="1"/>
    <n v="595.78"/>
    <n v="15.58"/>
    <n v="20.47"/>
    <n v="3.4"/>
    <n v="0.5"/>
    <n v="2"/>
    <s v="A"/>
    <n v="3.73"/>
    <x v="0"/>
    <n v="94.31"/>
    <x v="0"/>
    <n v="9.9499999999999993"/>
    <n v="10.9"/>
    <n v="5928.0109999999995"/>
    <n v="6494.0019999999995"/>
    <n v="565.99099999999999"/>
    <n v="8.7155963302752298E-2"/>
    <n v="22.222594000000001"/>
  </r>
  <r>
    <s v="BATCH01773"/>
    <x v="1"/>
    <x v="1"/>
    <x v="1"/>
    <n v="520.76"/>
    <n v="14.06"/>
    <n v="21.6"/>
    <n v="2.9"/>
    <n v="1.9"/>
    <n v="18"/>
    <s v="A"/>
    <n v="5.39"/>
    <x v="1"/>
    <n v="67.680000000000007"/>
    <x v="1"/>
    <n v="4.0199999999999996"/>
    <n v="11.33"/>
    <n v="2093.4551999999999"/>
    <n v="5900.2107999999998"/>
    <n v="3806.7556"/>
    <n v="0.64518976169461606"/>
    <n v="28.068963999999998"/>
  </r>
  <r>
    <s v="BATCH01774"/>
    <x v="0"/>
    <x v="3"/>
    <x v="1"/>
    <n v="530.77"/>
    <n v="13.7"/>
    <n v="28.36"/>
    <n v="0.6"/>
    <n v="1.5"/>
    <n v="15"/>
    <s v="A"/>
    <n v="8.59"/>
    <x v="1"/>
    <n v="56.63"/>
    <x v="0"/>
    <n v="3.7"/>
    <n v="14.22"/>
    <n v="1963.8489999999999"/>
    <n v="7547.5493999999999"/>
    <n v="5583.7003999999997"/>
    <n v="0.7398030942334739"/>
    <n v="45.593142999999998"/>
  </r>
  <r>
    <s v="BATCH01775"/>
    <x v="1"/>
    <x v="1"/>
    <x v="1"/>
    <n v="390.45"/>
    <n v="8.5399999999999991"/>
    <n v="38.86"/>
    <n v="0.6"/>
    <n v="0.1"/>
    <n v="20"/>
    <s v="B"/>
    <n v="6.6"/>
    <x v="0"/>
    <n v="57.87"/>
    <x v="1"/>
    <n v="6.07"/>
    <n v="14.3"/>
    <n v="2370.0315000000001"/>
    <n v="5583.4350000000004"/>
    <n v="3213.4035000000003"/>
    <n v="0.5755244755244755"/>
    <n v="25.769699999999997"/>
  </r>
  <r>
    <s v="BATCH01776"/>
    <x v="3"/>
    <x v="3"/>
    <x v="0"/>
    <n v="411.92"/>
    <n v="9.4"/>
    <n v="34.43"/>
    <n v="6.8"/>
    <n v="1"/>
    <n v="23"/>
    <s v="A"/>
    <n v="2.17"/>
    <x v="2"/>
    <n v="85.06"/>
    <x v="0"/>
    <n v="6.94"/>
    <n v="11.64"/>
    <n v="2858.7248000000004"/>
    <n v="4794.7488000000003"/>
    <n v="1936.0239999999999"/>
    <n v="0.40378006872852229"/>
    <n v="8.9386639999999993"/>
  </r>
  <r>
    <s v="BATCH01777"/>
    <x v="0"/>
    <x v="0"/>
    <x v="1"/>
    <n v="679.87"/>
    <n v="14.23"/>
    <n v="21.76"/>
    <n v="0"/>
    <n v="0.3"/>
    <n v="3"/>
    <s v="B"/>
    <n v="2.0099999999999998"/>
    <x v="2"/>
    <n v="93.54"/>
    <x v="2"/>
    <n v="5.0599999999999996"/>
    <n v="5.08"/>
    <n v="3440.1421999999998"/>
    <n v="3453.7395999999999"/>
    <n v="13.597400000000107"/>
    <n v="3.9370078740157792E-3"/>
    <n v="13.665386999999999"/>
  </r>
  <r>
    <s v="BATCH01778"/>
    <x v="1"/>
    <x v="3"/>
    <x v="0"/>
    <n v="426.48"/>
    <n v="10.08"/>
    <n v="36.93"/>
    <n v="4.2"/>
    <n v="0.8"/>
    <n v="5"/>
    <s v="B"/>
    <n v="4.42"/>
    <x v="2"/>
    <n v="82.05"/>
    <x v="0"/>
    <n v="5.12"/>
    <n v="6.04"/>
    <n v="2183.5776000000001"/>
    <n v="2575.9392000000003"/>
    <n v="392.36160000000018"/>
    <n v="0.15231788079470204"/>
    <n v="18.850415999999999"/>
  </r>
  <r>
    <s v="BATCH01779"/>
    <x v="1"/>
    <x v="1"/>
    <x v="1"/>
    <n v="665.62"/>
    <n v="13.04"/>
    <n v="34.65"/>
    <n v="0.4"/>
    <n v="3.1"/>
    <n v="11"/>
    <s v="B"/>
    <n v="1.21"/>
    <x v="1"/>
    <n v="96.44"/>
    <x v="2"/>
    <n v="5.97"/>
    <n v="13.58"/>
    <n v="3973.7513999999996"/>
    <n v="9039.1196"/>
    <n v="5065.3682000000008"/>
    <n v="0.56038291605301926"/>
    <n v="8.0540019999999988"/>
  </r>
  <r>
    <s v="BATCH01780"/>
    <x v="3"/>
    <x v="1"/>
    <x v="1"/>
    <n v="475.69"/>
    <n v="13.45"/>
    <n v="32.22"/>
    <n v="5.9"/>
    <n v="2.1"/>
    <n v="9"/>
    <s v="C"/>
    <n v="7.68"/>
    <x v="1"/>
    <n v="92.12"/>
    <x v="1"/>
    <n v="5.2"/>
    <n v="5.85"/>
    <n v="2473.5880000000002"/>
    <n v="2782.7864999999997"/>
    <n v="309.19849999999951"/>
    <n v="0.11111111111111095"/>
    <n v="36.532992"/>
  </r>
  <r>
    <s v="BATCH01781"/>
    <x v="1"/>
    <x v="0"/>
    <x v="0"/>
    <n v="500.23"/>
    <n v="10.84"/>
    <n v="36.409999999999997"/>
    <n v="0.8"/>
    <n v="0.5"/>
    <n v="5"/>
    <s v="B"/>
    <n v="4.3099999999999996"/>
    <x v="0"/>
    <n v="50.45"/>
    <x v="1"/>
    <n v="9.41"/>
    <n v="7.14"/>
    <n v="4707.1643000000004"/>
    <n v="3571.6421999999998"/>
    <n v="-1135.5221000000006"/>
    <n v="-0.31792717086834754"/>
    <n v="21.559912999999998"/>
  </r>
  <r>
    <s v="BATCH01782"/>
    <x v="1"/>
    <x v="1"/>
    <x v="0"/>
    <n v="607.04"/>
    <n v="17.48"/>
    <n v="28.08"/>
    <n v="1.2"/>
    <n v="0.3"/>
    <n v="25"/>
    <s v="C"/>
    <n v="3.76"/>
    <x v="1"/>
    <n v="83.47"/>
    <x v="1"/>
    <n v="3.29"/>
    <n v="7.31"/>
    <n v="1997.1615999999999"/>
    <n v="4437.4623999999994"/>
    <n v="2440.3007999999995"/>
    <n v="0.54993160054719559"/>
    <n v="22.824703999999997"/>
  </r>
  <r>
    <s v="BATCH01783"/>
    <x v="3"/>
    <x v="1"/>
    <x v="1"/>
    <n v="627.19000000000005"/>
    <n v="16.420000000000002"/>
    <n v="24.43"/>
    <n v="2.5"/>
    <n v="0.3"/>
    <n v="1"/>
    <s v="B"/>
    <n v="5.34"/>
    <x v="1"/>
    <n v="65.23"/>
    <x v="1"/>
    <n v="4.6399999999999997"/>
    <n v="11"/>
    <n v="2910.1615999999999"/>
    <n v="6899.09"/>
    <n v="3988.9284000000002"/>
    <n v="0.57818181818181824"/>
    <n v="33.491946000000006"/>
  </r>
  <r>
    <s v="BATCH01784"/>
    <x v="0"/>
    <x v="2"/>
    <x v="0"/>
    <n v="488.92"/>
    <n v="15.22"/>
    <n v="30.24"/>
    <n v="1.8"/>
    <n v="0.8"/>
    <n v="25"/>
    <s v="C"/>
    <n v="7.24"/>
    <x v="2"/>
    <n v="72.73"/>
    <x v="0"/>
    <n v="8.66"/>
    <n v="10.77"/>
    <n v="4234.0472"/>
    <n v="5265.6683999999996"/>
    <n v="1031.6211999999996"/>
    <n v="0.19591457753017635"/>
    <n v="35.397807999999998"/>
  </r>
  <r>
    <s v="BATCH01785"/>
    <x v="1"/>
    <x v="2"/>
    <x v="0"/>
    <n v="461.18"/>
    <n v="8.7799999999999994"/>
    <n v="30.98"/>
    <n v="0.8"/>
    <n v="0.1"/>
    <n v="14"/>
    <s v="C"/>
    <n v="5.91"/>
    <x v="1"/>
    <n v="54.7"/>
    <x v="0"/>
    <n v="8.84"/>
    <n v="7.89"/>
    <n v="4076.8312000000001"/>
    <n v="3638.7102"/>
    <n v="-438.12100000000009"/>
    <n v="-0.12040557667934096"/>
    <n v="27.255738000000001"/>
  </r>
  <r>
    <s v="BATCH01786"/>
    <x v="1"/>
    <x v="0"/>
    <x v="0"/>
    <n v="494.41"/>
    <n v="9.06"/>
    <n v="30.77"/>
    <n v="1.6"/>
    <n v="0.8"/>
    <n v="5"/>
    <s v="A"/>
    <n v="8.1199999999999992"/>
    <x v="1"/>
    <n v="64.099999999999994"/>
    <x v="0"/>
    <n v="3.78"/>
    <n v="7.08"/>
    <n v="1868.8697999999999"/>
    <n v="3500.4228000000003"/>
    <n v="1631.5530000000003"/>
    <n v="0.46610169491525427"/>
    <n v="40.146091999999996"/>
  </r>
  <r>
    <s v="BATCH01787"/>
    <x v="1"/>
    <x v="3"/>
    <x v="0"/>
    <n v="533.79999999999995"/>
    <n v="12.93"/>
    <n v="31.3"/>
    <n v="2.6"/>
    <n v="0"/>
    <n v="8"/>
    <s v="B"/>
    <n v="6.48"/>
    <x v="1"/>
    <n v="81.63"/>
    <x v="2"/>
    <n v="9.82"/>
    <n v="12.65"/>
    <n v="5241.9159999999993"/>
    <n v="6752.57"/>
    <n v="1510.6540000000005"/>
    <n v="0.22371541501976291"/>
    <n v="34.590240000000001"/>
  </r>
  <r>
    <s v="BATCH01788"/>
    <x v="2"/>
    <x v="2"/>
    <x v="1"/>
    <n v="589.13"/>
    <n v="9.61"/>
    <n v="38.97"/>
    <n v="0.1"/>
    <n v="0.4"/>
    <n v="21"/>
    <s v="C"/>
    <n v="7.99"/>
    <x v="0"/>
    <n v="60.92"/>
    <x v="0"/>
    <n v="7.85"/>
    <n v="14.35"/>
    <n v="4624.6705000000002"/>
    <n v="8454.0154999999995"/>
    <n v="3829.3449999999993"/>
    <n v="0.45296167247386754"/>
    <n v="47.071486999999998"/>
  </r>
  <r>
    <s v="BATCH01789"/>
    <x v="3"/>
    <x v="3"/>
    <x v="0"/>
    <n v="500.42"/>
    <n v="17.78"/>
    <n v="38.04"/>
    <n v="0"/>
    <n v="0.2"/>
    <n v="14"/>
    <s v="A"/>
    <n v="7.12"/>
    <x v="1"/>
    <n v="82.38"/>
    <x v="2"/>
    <n v="4.91"/>
    <n v="5.53"/>
    <n v="2457.0622000000003"/>
    <n v="2767.3226000000004"/>
    <n v="310.26040000000012"/>
    <n v="0.11211573236889695"/>
    <n v="35.629904000000003"/>
  </r>
  <r>
    <s v="BATCH01790"/>
    <x v="2"/>
    <x v="1"/>
    <x v="1"/>
    <n v="561.89"/>
    <n v="9.59"/>
    <n v="37.51"/>
    <n v="1.2"/>
    <n v="3.5"/>
    <n v="28"/>
    <s v="B"/>
    <n v="2.33"/>
    <x v="0"/>
    <n v="96.15"/>
    <x v="2"/>
    <n v="6.19"/>
    <n v="6.33"/>
    <n v="3478.0991000000004"/>
    <n v="3556.7637"/>
    <n v="78.664599999999609"/>
    <n v="2.2116903633491201E-2"/>
    <n v="13.092036999999999"/>
  </r>
  <r>
    <s v="BATCH01791"/>
    <x v="3"/>
    <x v="2"/>
    <x v="1"/>
    <n v="663.84"/>
    <n v="12.87"/>
    <n v="36.03"/>
    <n v="0.3"/>
    <n v="1.3"/>
    <n v="16"/>
    <s v="A"/>
    <n v="1"/>
    <x v="2"/>
    <n v="50.25"/>
    <x v="0"/>
    <n v="5.08"/>
    <n v="11.42"/>
    <n v="3372.3072000000002"/>
    <n v="7581.0528000000004"/>
    <n v="4208.7456000000002"/>
    <n v="0.55516637478108577"/>
    <n v="6.6384000000000007"/>
  </r>
  <r>
    <s v="BATCH01792"/>
    <x v="0"/>
    <x v="0"/>
    <x v="1"/>
    <n v="538.13"/>
    <n v="11.64"/>
    <n v="38.869999999999997"/>
    <n v="2.2000000000000002"/>
    <n v="0.4"/>
    <n v="6"/>
    <s v="C"/>
    <n v="9.08"/>
    <x v="1"/>
    <n v="89.29"/>
    <x v="2"/>
    <n v="4.05"/>
    <n v="13.04"/>
    <n v="2179.4265"/>
    <n v="7017.2151999999996"/>
    <n v="4837.7886999999992"/>
    <n v="0.68941717791411039"/>
    <n v="48.862203999999998"/>
  </r>
  <r>
    <s v="BATCH01793"/>
    <x v="0"/>
    <x v="0"/>
    <x v="1"/>
    <n v="531.16999999999996"/>
    <n v="14.39"/>
    <n v="21.97"/>
    <n v="0.5"/>
    <n v="0.1"/>
    <n v="8"/>
    <s v="A"/>
    <n v="9.48"/>
    <x v="0"/>
    <n v="82.07"/>
    <x v="1"/>
    <n v="5.04"/>
    <n v="12.91"/>
    <n v="2677.0967999999998"/>
    <n v="6857.4046999999991"/>
    <n v="4180.3078999999998"/>
    <n v="0.60960495739736642"/>
    <n v="50.354916000000003"/>
  </r>
  <r>
    <s v="BATCH01794"/>
    <x v="1"/>
    <x v="0"/>
    <x v="0"/>
    <n v="348.11"/>
    <n v="9.2899999999999991"/>
    <n v="25.3"/>
    <n v="1.1000000000000001"/>
    <n v="0.7"/>
    <n v="2"/>
    <s v="A"/>
    <n v="7.41"/>
    <x v="2"/>
    <n v="52.33"/>
    <x v="0"/>
    <n v="7.06"/>
    <n v="12.2"/>
    <n v="2457.6565999999998"/>
    <n v="4246.942"/>
    <n v="1789.2854000000002"/>
    <n v="0.4213114754098361"/>
    <n v="25.794951000000001"/>
  </r>
  <r>
    <s v="BATCH01795"/>
    <x v="3"/>
    <x v="2"/>
    <x v="0"/>
    <n v="236.93"/>
    <n v="12.3"/>
    <n v="29.9"/>
    <n v="0.4"/>
    <n v="0.2"/>
    <n v="19"/>
    <s v="B"/>
    <n v="7.38"/>
    <x v="1"/>
    <n v="89.51"/>
    <x v="0"/>
    <n v="8.7799999999999994"/>
    <n v="13.87"/>
    <n v="2080.2453999999998"/>
    <n v="3286.2190999999998"/>
    <n v="1205.9737"/>
    <n v="0.36697909156452779"/>
    <n v="17.485434000000001"/>
  </r>
  <r>
    <s v="BATCH01796"/>
    <x v="0"/>
    <x v="3"/>
    <x v="1"/>
    <n v="538.84"/>
    <n v="10.75"/>
    <n v="36.93"/>
    <n v="1.6"/>
    <n v="0.8"/>
    <n v="27"/>
    <s v="C"/>
    <n v="3.07"/>
    <x v="0"/>
    <n v="61.23"/>
    <x v="2"/>
    <n v="5.54"/>
    <n v="7.17"/>
    <n v="2985.1736000000001"/>
    <n v="3863.4828000000002"/>
    <n v="878.30920000000015"/>
    <n v="0.22733612273361231"/>
    <n v="16.542388000000003"/>
  </r>
  <r>
    <s v="BATCH01797"/>
    <x v="3"/>
    <x v="1"/>
    <x v="1"/>
    <n v="490.52"/>
    <n v="16.88"/>
    <n v="30.1"/>
    <n v="0.2"/>
    <n v="1.8"/>
    <n v="9"/>
    <s v="B"/>
    <n v="5.65"/>
    <x v="0"/>
    <n v="63.29"/>
    <x v="0"/>
    <n v="5.44"/>
    <n v="6.07"/>
    <n v="2668.4288000000001"/>
    <n v="2977.4564"/>
    <n v="309.02759999999989"/>
    <n v="0.10378912685337723"/>
    <n v="27.714380000000002"/>
  </r>
  <r>
    <s v="BATCH01798"/>
    <x v="0"/>
    <x v="3"/>
    <x v="1"/>
    <n v="448.52"/>
    <n v="8.41"/>
    <n v="34.96"/>
    <n v="0"/>
    <n v="1"/>
    <n v="5"/>
    <s v="B"/>
    <n v="9.93"/>
    <x v="2"/>
    <n v="54.68"/>
    <x v="0"/>
    <n v="6.28"/>
    <n v="11.15"/>
    <n v="2816.7055999999998"/>
    <n v="5000.9979999999996"/>
    <n v="2184.2923999999998"/>
    <n v="0.43677130044843049"/>
    <n v="44.538035999999991"/>
  </r>
  <r>
    <s v="BATCH01799"/>
    <x v="2"/>
    <x v="3"/>
    <x v="1"/>
    <n v="524.35"/>
    <n v="17.14"/>
    <n v="22.78"/>
    <n v="0.1"/>
    <n v="1"/>
    <n v="5"/>
    <s v="A"/>
    <n v="8.6300000000000008"/>
    <x v="1"/>
    <n v="76.72"/>
    <x v="2"/>
    <n v="7.51"/>
    <n v="13.22"/>
    <n v="3937.8685"/>
    <n v="6931.9070000000011"/>
    <n v="2994.038500000001"/>
    <n v="0.43192133131618765"/>
    <n v="45.251405000000005"/>
  </r>
  <r>
    <s v="BATCH01800"/>
    <x v="0"/>
    <x v="1"/>
    <x v="0"/>
    <n v="493.96"/>
    <n v="16.329999999999998"/>
    <n v="25.05"/>
    <n v="6.2"/>
    <n v="0.8"/>
    <n v="25"/>
    <s v="C"/>
    <n v="3.39"/>
    <x v="1"/>
    <n v="74.91"/>
    <x v="0"/>
    <n v="8.26"/>
    <n v="10.82"/>
    <n v="4080.1095999999998"/>
    <n v="5344.6472000000003"/>
    <n v="1264.5376000000006"/>
    <n v="0.23659889094269879"/>
    <n v="16.745244"/>
  </r>
  <r>
    <s v="BATCH01801"/>
    <x v="2"/>
    <x v="1"/>
    <x v="1"/>
    <n v="612.78"/>
    <n v="10.98"/>
    <n v="34.64"/>
    <n v="0.3"/>
    <n v="2.6"/>
    <n v="26"/>
    <s v="B"/>
    <n v="3.36"/>
    <x v="1"/>
    <n v="67.36"/>
    <x v="0"/>
    <n v="5.29"/>
    <n v="14.63"/>
    <n v="3241.6061999999997"/>
    <n v="8964.9714000000004"/>
    <n v="5723.3652000000002"/>
    <n v="0.63841421736158577"/>
    <n v="20.589407999999999"/>
  </r>
  <r>
    <s v="BATCH01802"/>
    <x v="0"/>
    <x v="2"/>
    <x v="0"/>
    <n v="508.61"/>
    <n v="15.89"/>
    <n v="23.29"/>
    <n v="2.5"/>
    <n v="2.7"/>
    <n v="19"/>
    <s v="C"/>
    <n v="5.09"/>
    <x v="0"/>
    <n v="58.44"/>
    <x v="0"/>
    <n v="7.1"/>
    <n v="12.96"/>
    <n v="3611.1309999999999"/>
    <n v="6591.5856000000003"/>
    <n v="2980.4546000000005"/>
    <n v="0.45216049382716056"/>
    <n v="25.888249000000002"/>
  </r>
  <r>
    <s v="BATCH01803"/>
    <x v="1"/>
    <x v="2"/>
    <x v="1"/>
    <n v="425.31"/>
    <n v="8.31"/>
    <n v="27.03"/>
    <n v="0.1"/>
    <n v="0.7"/>
    <n v="4"/>
    <s v="B"/>
    <n v="4.34"/>
    <x v="1"/>
    <n v="91.9"/>
    <x v="2"/>
    <n v="5.73"/>
    <n v="12.01"/>
    <n v="2437.0263"/>
    <n v="5107.9731000000002"/>
    <n v="2670.9468000000002"/>
    <n v="0.52289758534554542"/>
    <n v="18.458454"/>
  </r>
  <r>
    <s v="BATCH01804"/>
    <x v="2"/>
    <x v="2"/>
    <x v="1"/>
    <n v="599.02"/>
    <n v="17.670000000000002"/>
    <n v="25.3"/>
    <n v="0.2"/>
    <n v="0.4"/>
    <n v="16"/>
    <s v="A"/>
    <n v="4.03"/>
    <x v="0"/>
    <n v="93.82"/>
    <x v="0"/>
    <n v="8.01"/>
    <n v="5.6"/>
    <n v="4798.1502"/>
    <n v="3354.5119999999997"/>
    <n v="-1443.6382000000003"/>
    <n v="-0.43035714285714299"/>
    <n v="24.140506000000002"/>
  </r>
  <r>
    <s v="BATCH01805"/>
    <x v="0"/>
    <x v="2"/>
    <x v="1"/>
    <n v="478.29"/>
    <n v="13.27"/>
    <n v="27"/>
    <n v="1.4"/>
    <n v="0.6"/>
    <n v="16"/>
    <s v="B"/>
    <n v="6.46"/>
    <x v="0"/>
    <n v="77.03"/>
    <x v="0"/>
    <n v="4.1500000000000004"/>
    <n v="6.08"/>
    <n v="1984.9035000000003"/>
    <n v="2908.0032000000001"/>
    <n v="923.09969999999976"/>
    <n v="0.31743421052631571"/>
    <n v="30.897534"/>
  </r>
  <r>
    <s v="BATCH01806"/>
    <x v="1"/>
    <x v="2"/>
    <x v="1"/>
    <n v="552.65"/>
    <n v="11.03"/>
    <n v="34.17"/>
    <n v="1.3"/>
    <n v="0.2"/>
    <n v="16"/>
    <s v="B"/>
    <n v="0.61"/>
    <x v="2"/>
    <n v="62.21"/>
    <x v="0"/>
    <n v="4.8"/>
    <n v="12.85"/>
    <n v="2652.72"/>
    <n v="7101.5524999999998"/>
    <n v="4448.8325000000004"/>
    <n v="0.6264591439688717"/>
    <n v="3.3711649999999995"/>
  </r>
  <r>
    <s v="BATCH01807"/>
    <x v="2"/>
    <x v="1"/>
    <x v="0"/>
    <n v="452.26"/>
    <n v="11.63"/>
    <n v="27.36"/>
    <n v="6.1"/>
    <n v="1"/>
    <n v="7"/>
    <s v="B"/>
    <n v="7.75"/>
    <x v="0"/>
    <n v="54.81"/>
    <x v="1"/>
    <n v="5.98"/>
    <n v="6.98"/>
    <n v="2704.5147999999999"/>
    <n v="3156.7748000000001"/>
    <n v="452.26000000000022"/>
    <n v="0.14326647564469921"/>
    <n v="35.050150000000002"/>
  </r>
  <r>
    <s v="BATCH01808"/>
    <x v="1"/>
    <x v="3"/>
    <x v="0"/>
    <n v="435.02"/>
    <n v="8.66"/>
    <n v="31.11"/>
    <n v="5.8"/>
    <n v="0.7"/>
    <n v="18"/>
    <s v="C"/>
    <n v="7.53"/>
    <x v="2"/>
    <n v="93.43"/>
    <x v="0"/>
    <n v="9.23"/>
    <n v="5.29"/>
    <n v="4015.2346000000002"/>
    <n v="2301.2557999999999"/>
    <n v="-1713.9788000000003"/>
    <n v="-0.74480151228733471"/>
    <n v="32.757006000000004"/>
  </r>
  <r>
    <s v="BATCH01809"/>
    <x v="3"/>
    <x v="2"/>
    <x v="0"/>
    <n v="508.42"/>
    <n v="17.89"/>
    <n v="22"/>
    <n v="3"/>
    <n v="0.1"/>
    <n v="24"/>
    <s v="A"/>
    <n v="8.39"/>
    <x v="2"/>
    <n v="54.8"/>
    <x v="2"/>
    <n v="7.01"/>
    <n v="14.11"/>
    <n v="3564.0241999999998"/>
    <n v="7173.8062"/>
    <n v="3609.7820000000002"/>
    <n v="0.50318922749822825"/>
    <n v="42.656438000000009"/>
  </r>
  <r>
    <s v="BATCH01810"/>
    <x v="3"/>
    <x v="2"/>
    <x v="1"/>
    <n v="501.28"/>
    <n v="8.39"/>
    <n v="36.1"/>
    <n v="1.8"/>
    <n v="0.2"/>
    <n v="21"/>
    <s v="C"/>
    <n v="8.49"/>
    <x v="1"/>
    <n v="50.66"/>
    <x v="1"/>
    <n v="9.76"/>
    <n v="13.91"/>
    <n v="4892.4928"/>
    <n v="6972.8047999999999"/>
    <n v="2080.3119999999999"/>
    <n v="0.29834651329978434"/>
    <n v="42.558671999999994"/>
  </r>
  <r>
    <s v="BATCH01811"/>
    <x v="2"/>
    <x v="3"/>
    <x v="1"/>
    <n v="547.98"/>
    <n v="14.55"/>
    <n v="27.4"/>
    <n v="1.2"/>
    <n v="0.7"/>
    <n v="1"/>
    <s v="B"/>
    <n v="5.88"/>
    <x v="2"/>
    <n v="73.47"/>
    <x v="2"/>
    <n v="3.72"/>
    <n v="7.18"/>
    <n v="2038.4856000000002"/>
    <n v="3934.4964"/>
    <n v="1896.0107999999998"/>
    <n v="0.48189415041782724"/>
    <n v="32.221223999999999"/>
  </r>
  <r>
    <s v="BATCH01812"/>
    <x v="0"/>
    <x v="2"/>
    <x v="0"/>
    <n v="473.14"/>
    <n v="12.43"/>
    <n v="32.97"/>
    <n v="0.9"/>
    <n v="2.2000000000000002"/>
    <n v="3"/>
    <s v="A"/>
    <n v="7.91"/>
    <x v="1"/>
    <n v="86.56"/>
    <x v="0"/>
    <n v="6.22"/>
    <n v="12.8"/>
    <n v="2942.9307999999996"/>
    <n v="6056.192"/>
    <n v="3113.2612000000004"/>
    <n v="0.51406250000000009"/>
    <n v="37.425374000000005"/>
  </r>
  <r>
    <s v="BATCH01813"/>
    <x v="2"/>
    <x v="3"/>
    <x v="0"/>
    <n v="316.36"/>
    <n v="17.489999999999998"/>
    <n v="34.51"/>
    <n v="5.9"/>
    <n v="0.8"/>
    <n v="25"/>
    <s v="C"/>
    <n v="5.18"/>
    <x v="2"/>
    <n v="72.88"/>
    <x v="0"/>
    <n v="5.93"/>
    <n v="5.48"/>
    <n v="1876.0147999999999"/>
    <n v="1733.6528000000003"/>
    <n v="-142.36199999999963"/>
    <n v="-8.2116788321167658E-2"/>
    <n v="16.387447999999999"/>
  </r>
  <r>
    <s v="BATCH01814"/>
    <x v="1"/>
    <x v="3"/>
    <x v="1"/>
    <n v="456.72"/>
    <n v="10.46"/>
    <n v="24.19"/>
    <n v="1.8"/>
    <n v="1.1000000000000001"/>
    <n v="21"/>
    <s v="B"/>
    <n v="9.5399999999999991"/>
    <x v="0"/>
    <n v="52.57"/>
    <x v="0"/>
    <n v="7.2"/>
    <n v="7.85"/>
    <n v="3288.3840000000005"/>
    <n v="3585.252"/>
    <n v="296.86799999999948"/>
    <n v="8.2802547770700494E-2"/>
    <n v="43.571088000000003"/>
  </r>
  <r>
    <s v="BATCH01815"/>
    <x v="0"/>
    <x v="1"/>
    <x v="1"/>
    <n v="579.38"/>
    <n v="13.32"/>
    <n v="37.69"/>
    <n v="1.7"/>
    <n v="0.4"/>
    <n v="8"/>
    <s v="A"/>
    <n v="2.31"/>
    <x v="1"/>
    <n v="84.5"/>
    <x v="1"/>
    <n v="8.68"/>
    <n v="11.24"/>
    <n v="5029.0183999999999"/>
    <n v="6512.2312000000002"/>
    <n v="1483.2128000000002"/>
    <n v="0.22775800711743777"/>
    <n v="13.383678"/>
  </r>
  <r>
    <s v="BATCH01816"/>
    <x v="3"/>
    <x v="0"/>
    <x v="0"/>
    <n v="470.26"/>
    <n v="12.82"/>
    <n v="32.32"/>
    <n v="0.5"/>
    <n v="0.8"/>
    <n v="1"/>
    <s v="A"/>
    <n v="9.1999999999999993"/>
    <x v="0"/>
    <n v="82.12"/>
    <x v="0"/>
    <n v="8.89"/>
    <n v="12.63"/>
    <n v="4180.6113999999998"/>
    <n v="5939.3838000000005"/>
    <n v="1758.7724000000007"/>
    <n v="0.29612034837688056"/>
    <n v="43.263919999999999"/>
  </r>
  <r>
    <s v="BATCH01817"/>
    <x v="0"/>
    <x v="1"/>
    <x v="1"/>
    <n v="475.36"/>
    <n v="15.03"/>
    <n v="28.57"/>
    <n v="0.1"/>
    <n v="0.6"/>
    <n v="7"/>
    <s v="B"/>
    <n v="2.96"/>
    <x v="1"/>
    <n v="84.08"/>
    <x v="2"/>
    <n v="7.69"/>
    <n v="5.0999999999999996"/>
    <n v="3655.5184000000004"/>
    <n v="2424.3359999999998"/>
    <n v="-1231.1824000000006"/>
    <n v="-0.50784313725490227"/>
    <n v="14.070656000000001"/>
  </r>
  <r>
    <s v="BATCH01818"/>
    <x v="3"/>
    <x v="0"/>
    <x v="1"/>
    <n v="598.64"/>
    <n v="8.68"/>
    <n v="23.65"/>
    <n v="5.8"/>
    <n v="1.1000000000000001"/>
    <n v="7"/>
    <s v="A"/>
    <n v="1.48"/>
    <x v="0"/>
    <n v="60.56"/>
    <x v="1"/>
    <n v="7.49"/>
    <n v="8.26"/>
    <n v="4483.8136000000004"/>
    <n v="4944.7663999999995"/>
    <n v="460.95279999999912"/>
    <n v="9.3220338983050682E-2"/>
    <n v="8.8598719999999993"/>
  </r>
  <r>
    <s v="BATCH01819"/>
    <x v="0"/>
    <x v="0"/>
    <x v="0"/>
    <n v="428.8"/>
    <n v="9.94"/>
    <n v="38.85"/>
    <n v="0.8"/>
    <n v="0.1"/>
    <n v="8"/>
    <s v="A"/>
    <n v="4.67"/>
    <x v="2"/>
    <n v="89.78"/>
    <x v="2"/>
    <n v="9.64"/>
    <n v="7.14"/>
    <n v="4133.6320000000005"/>
    <n v="3061.6320000000001"/>
    <n v="-1072.0000000000005"/>
    <n v="-0.35014005602240911"/>
    <n v="20.02496"/>
  </r>
  <r>
    <s v="BATCH01820"/>
    <x v="0"/>
    <x v="0"/>
    <x v="1"/>
    <n v="345.72"/>
    <n v="10.15"/>
    <n v="35.1"/>
    <n v="1.2"/>
    <n v="0.7"/>
    <n v="19"/>
    <s v="C"/>
    <n v="6.34"/>
    <x v="1"/>
    <n v="73.959999999999994"/>
    <x v="2"/>
    <n v="5.69"/>
    <n v="14.99"/>
    <n v="1967.1468000000002"/>
    <n v="5182.3428000000004"/>
    <n v="3215.1959999999999"/>
    <n v="0.62041360907271503"/>
    <n v="21.918648000000005"/>
  </r>
  <r>
    <s v="BATCH01821"/>
    <x v="0"/>
    <x v="2"/>
    <x v="0"/>
    <n v="483.94"/>
    <n v="15.38"/>
    <n v="24.16"/>
    <n v="0.2"/>
    <n v="0.4"/>
    <n v="17"/>
    <s v="A"/>
    <n v="2.69"/>
    <x v="1"/>
    <n v="76.819999999999993"/>
    <x v="2"/>
    <n v="8.83"/>
    <n v="11.71"/>
    <n v="4273.1902"/>
    <n v="5666.9374000000007"/>
    <n v="1393.7472000000007"/>
    <n v="0.24594363791631094"/>
    <n v="13.017986000000001"/>
  </r>
  <r>
    <s v="BATCH01822"/>
    <x v="1"/>
    <x v="1"/>
    <x v="1"/>
    <n v="451.58"/>
    <n v="9.89"/>
    <n v="26.75"/>
    <n v="3.6"/>
    <n v="0.4"/>
    <n v="11"/>
    <s v="C"/>
    <n v="5.78"/>
    <x v="1"/>
    <n v="77.290000000000006"/>
    <x v="2"/>
    <n v="9.4499999999999993"/>
    <n v="9.06"/>
    <n v="4267.4309999999996"/>
    <n v="4091.3148000000001"/>
    <n v="-176.11619999999948"/>
    <n v="-4.3046357615893913E-2"/>
    <n v="26.101323999999998"/>
  </r>
  <r>
    <s v="BATCH01823"/>
    <x v="1"/>
    <x v="0"/>
    <x v="0"/>
    <n v="403.38"/>
    <n v="13.73"/>
    <n v="36.19"/>
    <n v="0.1"/>
    <n v="3.2"/>
    <n v="15"/>
    <s v="C"/>
    <n v="8.17"/>
    <x v="2"/>
    <n v="64.34"/>
    <x v="2"/>
    <n v="6.44"/>
    <n v="5.76"/>
    <n v="2597.7672000000002"/>
    <n v="2323.4688000000001"/>
    <n v="-274.29840000000013"/>
    <n v="-0.11805555555555561"/>
    <n v="32.956145999999997"/>
  </r>
  <r>
    <s v="BATCH01824"/>
    <x v="2"/>
    <x v="3"/>
    <x v="1"/>
    <n v="482.46"/>
    <n v="10.15"/>
    <n v="33.909999999999997"/>
    <n v="3.6"/>
    <n v="0.2"/>
    <n v="9"/>
    <s v="C"/>
    <n v="2.94"/>
    <x v="0"/>
    <n v="62.51"/>
    <x v="0"/>
    <n v="8.1"/>
    <n v="10.99"/>
    <n v="3907.9259999999995"/>
    <n v="5302.2353999999996"/>
    <n v="1394.3094000000001"/>
    <n v="0.26296633303002731"/>
    <n v="14.184323999999998"/>
  </r>
  <r>
    <s v="BATCH01825"/>
    <x v="2"/>
    <x v="2"/>
    <x v="0"/>
    <n v="549.15"/>
    <n v="16.62"/>
    <n v="35.32"/>
    <n v="0.3"/>
    <n v="0.4"/>
    <n v="17"/>
    <s v="C"/>
    <n v="6.01"/>
    <x v="2"/>
    <n v="50.24"/>
    <x v="2"/>
    <n v="5.64"/>
    <n v="11.42"/>
    <n v="3097.2059999999997"/>
    <n v="6271.2929999999997"/>
    <n v="3174.087"/>
    <n v="0.50612959719789841"/>
    <n v="33.003914999999999"/>
  </r>
  <r>
    <s v="BATCH01826"/>
    <x v="3"/>
    <x v="1"/>
    <x v="0"/>
    <n v="499.07"/>
    <n v="17.420000000000002"/>
    <n v="28.82"/>
    <n v="4.4000000000000004"/>
    <n v="0.7"/>
    <n v="11"/>
    <s v="A"/>
    <n v="3.72"/>
    <x v="2"/>
    <n v="69.83"/>
    <x v="2"/>
    <n v="4.1100000000000003"/>
    <n v="13.16"/>
    <n v="2051.1777000000002"/>
    <n v="6567.7611999999999"/>
    <n v="4516.5834999999997"/>
    <n v="0.68768996960486317"/>
    <n v="18.565404000000001"/>
  </r>
  <r>
    <s v="BATCH01827"/>
    <x v="1"/>
    <x v="0"/>
    <x v="0"/>
    <n v="530.70000000000005"/>
    <n v="13.18"/>
    <n v="34.33"/>
    <n v="2.6"/>
    <n v="2"/>
    <n v="6"/>
    <s v="A"/>
    <n v="5.53"/>
    <x v="2"/>
    <n v="74.260000000000005"/>
    <x v="0"/>
    <n v="7.11"/>
    <n v="7.89"/>
    <n v="3773.2770000000005"/>
    <n v="4187.223"/>
    <n v="413.94599999999946"/>
    <n v="9.8859315589353486E-2"/>
    <n v="29.347710000000003"/>
  </r>
  <r>
    <s v="BATCH01828"/>
    <x v="3"/>
    <x v="3"/>
    <x v="0"/>
    <n v="681.34"/>
    <n v="11.52"/>
    <n v="27.73"/>
    <n v="0.4"/>
    <n v="0.5"/>
    <n v="9"/>
    <s v="C"/>
    <n v="6.84"/>
    <x v="0"/>
    <n v="87.14"/>
    <x v="1"/>
    <n v="4.38"/>
    <n v="14.81"/>
    <n v="2984.2692000000002"/>
    <n v="10090.645400000001"/>
    <n v="7106.3762000000006"/>
    <n v="0.70425388251181631"/>
    <n v="46.603656000000001"/>
  </r>
  <r>
    <s v="BATCH01829"/>
    <x v="2"/>
    <x v="1"/>
    <x v="1"/>
    <n v="465.71"/>
    <n v="10.34"/>
    <n v="24.23"/>
    <n v="1.7"/>
    <n v="1.4"/>
    <n v="18"/>
    <s v="A"/>
    <n v="3.83"/>
    <x v="2"/>
    <n v="53.33"/>
    <x v="0"/>
    <n v="6.2"/>
    <n v="9.39"/>
    <n v="2887.402"/>
    <n v="4373.0168999999996"/>
    <n v="1485.6148999999996"/>
    <n v="0.33972310969116076"/>
    <n v="17.836693"/>
  </r>
  <r>
    <s v="BATCH01830"/>
    <x v="3"/>
    <x v="1"/>
    <x v="1"/>
    <n v="527.83000000000004"/>
    <n v="8.5"/>
    <n v="32.65"/>
    <n v="0.7"/>
    <n v="1.9"/>
    <n v="20"/>
    <s v="C"/>
    <n v="9.9499999999999993"/>
    <x v="1"/>
    <n v="96.2"/>
    <x v="1"/>
    <n v="9.11"/>
    <n v="7.96"/>
    <n v="4808.5312999999996"/>
    <n v="4201.5268000000005"/>
    <n v="-607.0044999999991"/>
    <n v="-0.14447236180904499"/>
    <n v="52.519085000000004"/>
  </r>
  <r>
    <s v="BATCH01831"/>
    <x v="2"/>
    <x v="2"/>
    <x v="0"/>
    <n v="449.08"/>
    <n v="10.69"/>
    <n v="39.520000000000003"/>
    <n v="0.4"/>
    <n v="0.4"/>
    <n v="2"/>
    <s v="C"/>
    <n v="5.86"/>
    <x v="2"/>
    <n v="63.2"/>
    <x v="2"/>
    <n v="3.6"/>
    <n v="8.48"/>
    <n v="1616.6879999999999"/>
    <n v="3808.1984000000002"/>
    <n v="2191.5104000000001"/>
    <n v="0.57547169811320753"/>
    <n v="26.316088000000001"/>
  </r>
  <r>
    <s v="BATCH01832"/>
    <x v="1"/>
    <x v="1"/>
    <x v="1"/>
    <n v="415.36"/>
    <n v="14.54"/>
    <n v="26.21"/>
    <n v="3.9"/>
    <n v="0.5"/>
    <n v="4"/>
    <s v="C"/>
    <n v="8.33"/>
    <x v="0"/>
    <n v="68.34"/>
    <x v="0"/>
    <n v="3.21"/>
    <n v="10.199999999999999"/>
    <n v="1333.3056000000001"/>
    <n v="4236.6719999999996"/>
    <n v="2903.3663999999994"/>
    <n v="0.68529411764705872"/>
    <n v="34.599488000000001"/>
  </r>
  <r>
    <s v="BATCH01833"/>
    <x v="0"/>
    <x v="2"/>
    <x v="1"/>
    <n v="441.51"/>
    <n v="13.34"/>
    <n v="29.22"/>
    <n v="1"/>
    <n v="0.4"/>
    <n v="18"/>
    <s v="B"/>
    <n v="7.39"/>
    <x v="1"/>
    <n v="52.42"/>
    <x v="1"/>
    <n v="7.25"/>
    <n v="14.37"/>
    <n v="3200.9474999999998"/>
    <n v="6344.4986999999992"/>
    <n v="3143.5511999999994"/>
    <n v="0.49547668754349339"/>
    <n v="32.627589"/>
  </r>
  <r>
    <s v="BATCH01834"/>
    <x v="1"/>
    <x v="0"/>
    <x v="1"/>
    <n v="452.12"/>
    <n v="17.440000000000001"/>
    <n v="33.479999999999997"/>
    <n v="1"/>
    <n v="1.8"/>
    <n v="28"/>
    <s v="A"/>
    <n v="8.6"/>
    <x v="0"/>
    <n v="82.66"/>
    <x v="1"/>
    <n v="5.32"/>
    <n v="12.35"/>
    <n v="2405.2784000000001"/>
    <n v="5583.6819999999998"/>
    <n v="3178.4035999999996"/>
    <n v="0.56923076923076921"/>
    <n v="38.88232"/>
  </r>
  <r>
    <s v="BATCH01835"/>
    <x v="3"/>
    <x v="2"/>
    <x v="1"/>
    <n v="535.95000000000005"/>
    <n v="11.96"/>
    <n v="30.83"/>
    <n v="0.4"/>
    <n v="0"/>
    <n v="1"/>
    <s v="A"/>
    <n v="2.15"/>
    <x v="2"/>
    <n v="85.45"/>
    <x v="0"/>
    <n v="5.93"/>
    <n v="10.77"/>
    <n v="3178.1835000000001"/>
    <n v="5772.1815000000006"/>
    <n v="2593.9980000000005"/>
    <n v="0.44939647168059427"/>
    <n v="11.522925000000001"/>
  </r>
  <r>
    <s v="BATCH01836"/>
    <x v="3"/>
    <x v="3"/>
    <x v="1"/>
    <n v="734.91"/>
    <n v="14.94"/>
    <n v="36.869999999999997"/>
    <n v="1"/>
    <n v="0.4"/>
    <n v="11"/>
    <s v="C"/>
    <n v="2.61"/>
    <x v="0"/>
    <n v="96.44"/>
    <x v="0"/>
    <n v="5.84"/>
    <n v="6.63"/>
    <n v="4291.8743999999997"/>
    <n v="4872.4533000000001"/>
    <n v="580.57890000000043"/>
    <n v="0.11915535444947219"/>
    <n v="19.181150999999996"/>
  </r>
  <r>
    <s v="BATCH01837"/>
    <x v="1"/>
    <x v="2"/>
    <x v="0"/>
    <n v="428.4"/>
    <n v="12.89"/>
    <n v="35.229999999999997"/>
    <n v="4.0999999999999996"/>
    <n v="1.1000000000000001"/>
    <n v="3"/>
    <s v="A"/>
    <n v="5.13"/>
    <x v="1"/>
    <n v="66.84"/>
    <x v="0"/>
    <n v="3.61"/>
    <n v="6.49"/>
    <n v="1546.5239999999999"/>
    <n v="2780.3159999999998"/>
    <n v="1233.7919999999999"/>
    <n v="0.44375963020030817"/>
    <n v="21.97692"/>
  </r>
  <r>
    <s v="BATCH01838"/>
    <x v="1"/>
    <x v="3"/>
    <x v="0"/>
    <n v="458.34"/>
    <n v="13.13"/>
    <n v="21.17"/>
    <n v="0.9"/>
    <n v="0.8"/>
    <n v="8"/>
    <s v="C"/>
    <n v="8.6"/>
    <x v="0"/>
    <n v="62.87"/>
    <x v="0"/>
    <n v="3.02"/>
    <n v="10.02"/>
    <n v="1384.1867999999999"/>
    <n v="4592.5667999999996"/>
    <n v="3208.3799999999997"/>
    <n v="0.69860279441117767"/>
    <n v="39.41724"/>
  </r>
  <r>
    <s v="BATCH01839"/>
    <x v="2"/>
    <x v="2"/>
    <x v="0"/>
    <n v="493.69"/>
    <n v="10.68"/>
    <n v="39.97"/>
    <n v="6.1"/>
    <n v="0.6"/>
    <n v="5"/>
    <s v="A"/>
    <n v="2.38"/>
    <x v="1"/>
    <n v="86.3"/>
    <x v="0"/>
    <n v="9.2899999999999991"/>
    <n v="12.29"/>
    <n v="4586.3800999999994"/>
    <n v="6067.4500999999991"/>
    <n v="1481.0699999999997"/>
    <n v="0.24410089503661511"/>
    <n v="11.749822"/>
  </r>
  <r>
    <s v="BATCH01840"/>
    <x v="3"/>
    <x v="1"/>
    <x v="0"/>
    <n v="539.58000000000004"/>
    <n v="12.55"/>
    <n v="35.049999999999997"/>
    <n v="5.8"/>
    <n v="0.8"/>
    <n v="20"/>
    <s v="C"/>
    <n v="9.73"/>
    <x v="1"/>
    <n v="85.34"/>
    <x v="2"/>
    <n v="4.5199999999999996"/>
    <n v="12.51"/>
    <n v="2438.9016000000001"/>
    <n v="6750.1458000000002"/>
    <n v="4311.2442000000001"/>
    <n v="0.6386890487609912"/>
    <n v="52.501134"/>
  </r>
  <r>
    <s v="BATCH01841"/>
    <x v="3"/>
    <x v="0"/>
    <x v="1"/>
    <n v="526.36"/>
    <n v="12.71"/>
    <n v="37.28"/>
    <n v="0.3"/>
    <n v="0.2"/>
    <n v="21"/>
    <s v="C"/>
    <n v="1.71"/>
    <x v="2"/>
    <n v="96.86"/>
    <x v="2"/>
    <n v="5.98"/>
    <n v="7.26"/>
    <n v="3147.6328000000003"/>
    <n v="3821.3735999999999"/>
    <n v="673.74079999999958"/>
    <n v="0.17630853994490348"/>
    <n v="9.0007560000000009"/>
  </r>
  <r>
    <s v="BATCH01842"/>
    <x v="1"/>
    <x v="3"/>
    <x v="1"/>
    <n v="628.41"/>
    <n v="15.07"/>
    <n v="33.020000000000003"/>
    <n v="0.4"/>
    <n v="0.6"/>
    <n v="22"/>
    <s v="B"/>
    <n v="2.16"/>
    <x v="2"/>
    <n v="60.27"/>
    <x v="0"/>
    <n v="9.8000000000000007"/>
    <n v="6"/>
    <n v="6158.4180000000006"/>
    <n v="3770.46"/>
    <n v="-2387.9580000000005"/>
    <n v="-0.63333333333333341"/>
    <n v="13.573656000000001"/>
  </r>
  <r>
    <s v="BATCH01843"/>
    <x v="0"/>
    <x v="2"/>
    <x v="0"/>
    <n v="257.36"/>
    <n v="17.41"/>
    <n v="37.130000000000003"/>
    <n v="4"/>
    <n v="0.7"/>
    <n v="22"/>
    <s v="C"/>
    <n v="2.09"/>
    <x v="1"/>
    <n v="85.26"/>
    <x v="0"/>
    <n v="8.7899999999999991"/>
    <n v="8.84"/>
    <n v="2262.1943999999999"/>
    <n v="2275.0624000000003"/>
    <n v="12.868000000000393"/>
    <n v="5.6561085972852403E-3"/>
    <n v="5.3788239999999998"/>
  </r>
  <r>
    <s v="BATCH01844"/>
    <x v="3"/>
    <x v="2"/>
    <x v="1"/>
    <n v="261.31"/>
    <n v="11.29"/>
    <n v="22.25"/>
    <n v="1"/>
    <n v="2.2999999999999998"/>
    <n v="5"/>
    <s v="B"/>
    <n v="6.07"/>
    <x v="0"/>
    <n v="53.34"/>
    <x v="2"/>
    <n v="3.76"/>
    <n v="14.18"/>
    <n v="982.52559999999994"/>
    <n v="3705.3757999999998"/>
    <n v="2722.8501999999999"/>
    <n v="0.73483779971791252"/>
    <n v="15.861517000000001"/>
  </r>
  <r>
    <s v="BATCH01845"/>
    <x v="0"/>
    <x v="2"/>
    <x v="1"/>
    <n v="450.41"/>
    <n v="8.42"/>
    <n v="26.95"/>
    <n v="0"/>
    <n v="0.3"/>
    <n v="28"/>
    <s v="A"/>
    <n v="9.2200000000000006"/>
    <x v="1"/>
    <n v="74.02"/>
    <x v="1"/>
    <n v="6.56"/>
    <n v="10.45"/>
    <n v="2954.6896000000002"/>
    <n v="4706.7844999999998"/>
    <n v="1752.0948999999996"/>
    <n v="0.37224880382775111"/>
    <n v="41.527802000000001"/>
  </r>
  <r>
    <s v="BATCH01846"/>
    <x v="1"/>
    <x v="1"/>
    <x v="0"/>
    <n v="609.73"/>
    <n v="12.96"/>
    <n v="37.53"/>
    <n v="0.6"/>
    <n v="2"/>
    <n v="11"/>
    <s v="A"/>
    <n v="2.92"/>
    <x v="2"/>
    <n v="55.97"/>
    <x v="2"/>
    <n v="8.11"/>
    <n v="8.1999999999999993"/>
    <n v="4944.9102999999996"/>
    <n v="4999.7860000000001"/>
    <n v="54.875700000000506"/>
    <n v="1.0975609756097663E-2"/>
    <n v="17.804116"/>
  </r>
  <r>
    <s v="BATCH01847"/>
    <x v="1"/>
    <x v="1"/>
    <x v="1"/>
    <n v="343.44"/>
    <n v="13.44"/>
    <n v="24.03"/>
    <n v="1.8"/>
    <n v="1"/>
    <n v="12"/>
    <s v="B"/>
    <n v="5.75"/>
    <x v="0"/>
    <n v="82.66"/>
    <x v="0"/>
    <n v="7.89"/>
    <n v="8.24"/>
    <n v="2709.7415999999998"/>
    <n v="2829.9456"/>
    <n v="120.20400000000018"/>
    <n v="4.247572815533987E-2"/>
    <n v="19.747799999999998"/>
  </r>
  <r>
    <s v="BATCH01848"/>
    <x v="2"/>
    <x v="3"/>
    <x v="0"/>
    <n v="199.24"/>
    <n v="9.68"/>
    <n v="21.56"/>
    <n v="3.2"/>
    <n v="0"/>
    <n v="22"/>
    <s v="A"/>
    <n v="2.17"/>
    <x v="1"/>
    <n v="80.069999999999993"/>
    <x v="1"/>
    <n v="8.33"/>
    <n v="6.32"/>
    <n v="1659.6692"/>
    <n v="1259.1968000000002"/>
    <n v="-400.47239999999988"/>
    <n v="-0.31803797468354417"/>
    <n v="4.3235080000000004"/>
  </r>
  <r>
    <s v="BATCH01849"/>
    <x v="3"/>
    <x v="3"/>
    <x v="0"/>
    <n v="557.12"/>
    <n v="15.6"/>
    <n v="35.76"/>
    <n v="0.3"/>
    <n v="1.3"/>
    <n v="9"/>
    <s v="B"/>
    <n v="6.5"/>
    <x v="2"/>
    <n v="52.44"/>
    <x v="0"/>
    <n v="6.2"/>
    <n v="9.73"/>
    <n v="3454.1440000000002"/>
    <n v="5420.7776000000003"/>
    <n v="1966.6336000000001"/>
    <n v="0.36279547790339156"/>
    <n v="36.212800000000001"/>
  </r>
  <r>
    <s v="BATCH01850"/>
    <x v="0"/>
    <x v="1"/>
    <x v="1"/>
    <n v="524.37"/>
    <n v="17.850000000000001"/>
    <n v="36.71"/>
    <n v="0.2"/>
    <n v="0"/>
    <n v="21"/>
    <s v="A"/>
    <n v="1.67"/>
    <x v="1"/>
    <n v="65.98"/>
    <x v="1"/>
    <n v="4.2300000000000004"/>
    <n v="12.91"/>
    <n v="2218.0851000000002"/>
    <n v="6769.6167000000005"/>
    <n v="4551.5316000000003"/>
    <n v="0.67234701781564676"/>
    <n v="8.7569789999999994"/>
  </r>
  <r>
    <s v="BATCH01851"/>
    <x v="2"/>
    <x v="3"/>
    <x v="1"/>
    <n v="390.98"/>
    <n v="17.46"/>
    <n v="23.25"/>
    <n v="5.0999999999999996"/>
    <n v="5.9"/>
    <n v="13"/>
    <s v="B"/>
    <n v="5.17"/>
    <x v="1"/>
    <n v="69.75"/>
    <x v="0"/>
    <n v="6.25"/>
    <n v="14.69"/>
    <n v="2443.625"/>
    <n v="5743.4962000000005"/>
    <n v="3299.8712000000005"/>
    <n v="0.57454050374404364"/>
    <n v="20.213666"/>
  </r>
  <r>
    <s v="BATCH01852"/>
    <x v="3"/>
    <x v="0"/>
    <x v="0"/>
    <n v="401.45"/>
    <n v="9.9700000000000006"/>
    <n v="37.090000000000003"/>
    <n v="2.8"/>
    <n v="2.1"/>
    <n v="22"/>
    <s v="B"/>
    <n v="6.72"/>
    <x v="1"/>
    <n v="62.4"/>
    <x v="2"/>
    <n v="7.54"/>
    <n v="10.02"/>
    <n v="3026.933"/>
    <n v="4022.5289999999995"/>
    <n v="995.59599999999955"/>
    <n v="0.24750499001995999"/>
    <n v="26.977439999999998"/>
  </r>
  <r>
    <s v="BATCH01853"/>
    <x v="2"/>
    <x v="0"/>
    <x v="0"/>
    <n v="403.03"/>
    <n v="16.75"/>
    <n v="33.74"/>
    <n v="1.8"/>
    <n v="0.4"/>
    <n v="20"/>
    <s v="C"/>
    <n v="6"/>
    <x v="0"/>
    <n v="51.93"/>
    <x v="0"/>
    <n v="7.26"/>
    <n v="6.67"/>
    <n v="2925.9977999999996"/>
    <n v="2688.2100999999998"/>
    <n v="-237.78769999999986"/>
    <n v="-8.8455772113942982E-2"/>
    <n v="24.181799999999999"/>
  </r>
  <r>
    <s v="BATCH01854"/>
    <x v="1"/>
    <x v="1"/>
    <x v="1"/>
    <n v="511.05"/>
    <n v="15.04"/>
    <n v="30.4"/>
    <n v="2.9"/>
    <n v="0.3"/>
    <n v="29"/>
    <s v="A"/>
    <n v="1.83"/>
    <x v="2"/>
    <n v="65.94"/>
    <x v="2"/>
    <n v="3.49"/>
    <n v="11.83"/>
    <n v="1783.5645000000002"/>
    <n v="6045.7215000000006"/>
    <n v="4262.1570000000002"/>
    <n v="0.70498732037193568"/>
    <n v="9.3522150000000011"/>
  </r>
  <r>
    <s v="BATCH01855"/>
    <x v="3"/>
    <x v="3"/>
    <x v="0"/>
    <n v="437.37"/>
    <n v="12.54"/>
    <n v="36.61"/>
    <n v="1.1000000000000001"/>
    <n v="0.5"/>
    <n v="3"/>
    <s v="C"/>
    <n v="2.0299999999999998"/>
    <x v="2"/>
    <n v="89.63"/>
    <x v="1"/>
    <n v="3.45"/>
    <n v="12.57"/>
    <n v="1508.9265"/>
    <n v="5497.7408999999998"/>
    <n v="3988.8143999999998"/>
    <n v="0.72553699284009543"/>
    <n v="8.8786109999999994"/>
  </r>
  <r>
    <s v="BATCH01856"/>
    <x v="2"/>
    <x v="2"/>
    <x v="0"/>
    <n v="549.41"/>
    <n v="13.41"/>
    <n v="28.38"/>
    <n v="2.8"/>
    <n v="0.4"/>
    <n v="13"/>
    <s v="B"/>
    <n v="6.88"/>
    <x v="1"/>
    <n v="68.010000000000005"/>
    <x v="2"/>
    <n v="9.76"/>
    <n v="5.72"/>
    <n v="5362.2415999999994"/>
    <n v="3142.6251999999995"/>
    <n v="-2219.6163999999999"/>
    <n v="-0.70629370629370636"/>
    <n v="37.799408"/>
  </r>
  <r>
    <s v="BATCH01857"/>
    <x v="2"/>
    <x v="0"/>
    <x v="0"/>
    <n v="214.54"/>
    <n v="16.5"/>
    <n v="23.88"/>
    <n v="0.9"/>
    <n v="0.5"/>
    <n v="28"/>
    <s v="C"/>
    <n v="8.18"/>
    <x v="1"/>
    <n v="66.17"/>
    <x v="1"/>
    <n v="4.0599999999999996"/>
    <n v="13.5"/>
    <n v="871.03239999999994"/>
    <n v="2896.29"/>
    <n v="2025.2575999999999"/>
    <n v="0.69925925925925925"/>
    <n v="17.549371999999998"/>
  </r>
  <r>
    <s v="BATCH01858"/>
    <x v="0"/>
    <x v="1"/>
    <x v="1"/>
    <n v="414.31"/>
    <n v="12.8"/>
    <n v="25.7"/>
    <n v="0.6"/>
    <n v="0.4"/>
    <n v="22"/>
    <s v="B"/>
    <n v="9.1300000000000008"/>
    <x v="1"/>
    <n v="97.09"/>
    <x v="0"/>
    <n v="5.0599999999999996"/>
    <n v="13.29"/>
    <n v="2096.4085999999998"/>
    <n v="5506.1799000000001"/>
    <n v="3409.7713000000003"/>
    <n v="0.61926260346124906"/>
    <n v="37.826503000000002"/>
  </r>
  <r>
    <s v="BATCH01859"/>
    <x v="2"/>
    <x v="3"/>
    <x v="0"/>
    <n v="387.39"/>
    <n v="11.73"/>
    <n v="30.1"/>
    <n v="2.6"/>
    <n v="1"/>
    <n v="11"/>
    <s v="A"/>
    <n v="8.23"/>
    <x v="0"/>
    <n v="52.08"/>
    <x v="2"/>
    <n v="8.3699999999999992"/>
    <n v="9.73"/>
    <n v="3242.4542999999994"/>
    <n v="3769.3047000000001"/>
    <n v="526.85040000000072"/>
    <n v="0.1397738951695788"/>
    <n v="31.882197000000001"/>
  </r>
  <r>
    <s v="BATCH01860"/>
    <x v="3"/>
    <x v="1"/>
    <x v="1"/>
    <n v="474.37"/>
    <n v="12.93"/>
    <n v="30.63"/>
    <n v="1.1000000000000001"/>
    <n v="0.2"/>
    <n v="11"/>
    <s v="A"/>
    <n v="9.75"/>
    <x v="2"/>
    <n v="88.36"/>
    <x v="1"/>
    <n v="5.87"/>
    <n v="10.6"/>
    <n v="2784.5518999999999"/>
    <n v="5028.3220000000001"/>
    <n v="2243.7701000000002"/>
    <n v="0.44622641509433963"/>
    <n v="46.251075"/>
  </r>
  <r>
    <s v="BATCH01861"/>
    <x v="3"/>
    <x v="2"/>
    <x v="0"/>
    <n v="446.2"/>
    <n v="13.79"/>
    <n v="36.11"/>
    <n v="8"/>
    <n v="1.9"/>
    <n v="21"/>
    <s v="A"/>
    <n v="4.38"/>
    <x v="1"/>
    <n v="74.150000000000006"/>
    <x v="1"/>
    <n v="4.2699999999999996"/>
    <n v="12.13"/>
    <n v="1905.2739999999997"/>
    <n v="5412.4059999999999"/>
    <n v="3507.1320000000005"/>
    <n v="0.64798021434460029"/>
    <n v="19.543559999999999"/>
  </r>
  <r>
    <s v="BATCH01862"/>
    <x v="0"/>
    <x v="0"/>
    <x v="1"/>
    <n v="579.78"/>
    <n v="9.89"/>
    <n v="35.83"/>
    <n v="0.9"/>
    <n v="1.7"/>
    <n v="20"/>
    <s v="B"/>
    <n v="3.65"/>
    <x v="2"/>
    <n v="97.22"/>
    <x v="1"/>
    <n v="6.27"/>
    <n v="11.77"/>
    <n v="3635.2205999999996"/>
    <n v="6824.0105999999996"/>
    <n v="3188.79"/>
    <n v="0.46728971962616822"/>
    <n v="21.161969999999997"/>
  </r>
  <r>
    <s v="BATCH01863"/>
    <x v="3"/>
    <x v="1"/>
    <x v="0"/>
    <n v="314.07"/>
    <n v="17.010000000000002"/>
    <n v="31.63"/>
    <n v="5.0999999999999996"/>
    <n v="0.6"/>
    <n v="21"/>
    <s v="C"/>
    <n v="0.77"/>
    <x v="1"/>
    <n v="69.67"/>
    <x v="1"/>
    <n v="6.98"/>
    <n v="5.17"/>
    <n v="2192.2085999999999"/>
    <n v="1623.7419"/>
    <n v="-568.46669999999995"/>
    <n v="-0.35009671179883944"/>
    <n v="2.418339"/>
  </r>
  <r>
    <s v="BATCH01864"/>
    <x v="1"/>
    <x v="1"/>
    <x v="1"/>
    <n v="504.55"/>
    <n v="14.74"/>
    <n v="35.619999999999997"/>
    <n v="5.4"/>
    <n v="1.9"/>
    <n v="7"/>
    <s v="A"/>
    <n v="4.7699999999999996"/>
    <x v="2"/>
    <n v="85.4"/>
    <x v="0"/>
    <n v="6.17"/>
    <n v="6.22"/>
    <n v="3113.0735"/>
    <n v="3138.3009999999999"/>
    <n v="25.227499999999964"/>
    <n v="8.0385852090032045E-3"/>
    <n v="24.067034999999997"/>
  </r>
  <r>
    <s v="BATCH01865"/>
    <x v="3"/>
    <x v="1"/>
    <x v="1"/>
    <n v="555.83000000000004"/>
    <n v="14.33"/>
    <n v="23.84"/>
    <n v="0.6"/>
    <n v="0.3"/>
    <n v="17"/>
    <s v="B"/>
    <n v="6.69"/>
    <x v="1"/>
    <n v="53.5"/>
    <x v="0"/>
    <n v="9.43"/>
    <n v="6.63"/>
    <n v="5241.4769000000006"/>
    <n v="3685.1529"/>
    <n v="-1556.3240000000005"/>
    <n v="-0.42232277526395184"/>
    <n v="37.185027000000005"/>
  </r>
  <r>
    <s v="BATCH01866"/>
    <x v="3"/>
    <x v="2"/>
    <x v="1"/>
    <n v="685.66"/>
    <n v="8.99"/>
    <n v="21"/>
    <n v="3.2"/>
    <n v="0"/>
    <n v="16"/>
    <s v="C"/>
    <n v="8.25"/>
    <x v="0"/>
    <n v="96.44"/>
    <x v="0"/>
    <n v="4.99"/>
    <n v="12.56"/>
    <n v="3421.4434000000001"/>
    <n v="8611.8896000000004"/>
    <n v="5190.4462000000003"/>
    <n v="0.60270700636942676"/>
    <n v="56.566949999999999"/>
  </r>
  <r>
    <s v="BATCH01867"/>
    <x v="2"/>
    <x v="1"/>
    <x v="0"/>
    <n v="451.82"/>
    <n v="14.04"/>
    <n v="37.47"/>
    <n v="1.1000000000000001"/>
    <n v="1"/>
    <n v="14"/>
    <s v="B"/>
    <n v="3.04"/>
    <x v="1"/>
    <n v="67.23"/>
    <x v="1"/>
    <n v="7.63"/>
    <n v="9.4"/>
    <n v="3447.3865999999998"/>
    <n v="4247.1080000000002"/>
    <n v="799.72140000000036"/>
    <n v="0.18829787234042561"/>
    <n v="13.735327999999999"/>
  </r>
  <r>
    <s v="BATCH01868"/>
    <x v="2"/>
    <x v="2"/>
    <x v="0"/>
    <n v="532.45000000000005"/>
    <n v="9.2100000000000009"/>
    <n v="21.51"/>
    <n v="5"/>
    <n v="0.6"/>
    <n v="1"/>
    <s v="B"/>
    <n v="5.38"/>
    <x v="1"/>
    <n v="76.2"/>
    <x v="0"/>
    <n v="3.79"/>
    <n v="10.46"/>
    <n v="2017.9855000000002"/>
    <n v="5569.4270000000006"/>
    <n v="3551.4415000000004"/>
    <n v="0.63766730401529637"/>
    <n v="28.645810000000001"/>
  </r>
  <r>
    <s v="BATCH01869"/>
    <x v="3"/>
    <x v="2"/>
    <x v="0"/>
    <n v="319.61"/>
    <n v="8.7899999999999991"/>
    <n v="24.93"/>
    <n v="1.2"/>
    <n v="0.8"/>
    <n v="11"/>
    <s v="A"/>
    <n v="6.79"/>
    <x v="1"/>
    <n v="56.92"/>
    <x v="1"/>
    <n v="5.75"/>
    <n v="12.73"/>
    <n v="1837.7575000000002"/>
    <n v="4068.6353000000004"/>
    <n v="2230.8778000000002"/>
    <n v="0.5483110761979576"/>
    <n v="21.701519000000005"/>
  </r>
  <r>
    <s v="BATCH01870"/>
    <x v="0"/>
    <x v="2"/>
    <x v="1"/>
    <n v="260.8"/>
    <n v="13.27"/>
    <n v="33.909999999999997"/>
    <n v="2.7"/>
    <n v="2.2999999999999998"/>
    <n v="13"/>
    <s v="B"/>
    <n v="5.74"/>
    <x v="1"/>
    <n v="97.28"/>
    <x v="1"/>
    <n v="8.19"/>
    <n v="8.41"/>
    <n v="2135.9519999999998"/>
    <n v="2193.328"/>
    <n v="57.376000000000204"/>
    <n v="2.6159334126040521E-2"/>
    <n v="14.969920000000002"/>
  </r>
  <r>
    <s v="BATCH01871"/>
    <x v="2"/>
    <x v="0"/>
    <x v="0"/>
    <n v="584.48"/>
    <n v="12.03"/>
    <n v="28.19"/>
    <n v="1.3"/>
    <n v="3.5"/>
    <n v="1"/>
    <s v="B"/>
    <n v="3.1"/>
    <x v="1"/>
    <n v="83.65"/>
    <x v="1"/>
    <n v="4.57"/>
    <n v="12.49"/>
    <n v="2671.0736000000002"/>
    <n v="7300.1552000000001"/>
    <n v="4629.0815999999995"/>
    <n v="0.63410728582866283"/>
    <n v="18.118880000000001"/>
  </r>
  <r>
    <s v="BATCH01872"/>
    <x v="0"/>
    <x v="0"/>
    <x v="1"/>
    <n v="499.44"/>
    <n v="13.89"/>
    <n v="37.53"/>
    <n v="0.5"/>
    <n v="1"/>
    <n v="2"/>
    <s v="C"/>
    <n v="8.06"/>
    <x v="2"/>
    <n v="52.7"/>
    <x v="2"/>
    <n v="7.13"/>
    <n v="9.42"/>
    <n v="3561.0072"/>
    <n v="4704.7248"/>
    <n v="1143.7175999999999"/>
    <n v="0.24309978768577495"/>
    <n v="40.254864000000005"/>
  </r>
  <r>
    <s v="BATCH01873"/>
    <x v="3"/>
    <x v="1"/>
    <x v="0"/>
    <n v="617.85"/>
    <n v="8.89"/>
    <n v="25.96"/>
    <n v="0.4"/>
    <n v="1.4"/>
    <n v="9"/>
    <s v="A"/>
    <n v="2.15"/>
    <x v="2"/>
    <n v="57.76"/>
    <x v="0"/>
    <n v="4.07"/>
    <n v="8.77"/>
    <n v="2514.6495000000004"/>
    <n v="5418.5445"/>
    <n v="2903.8949999999995"/>
    <n v="0.53591790193842637"/>
    <n v="13.283775"/>
  </r>
  <r>
    <s v="BATCH01874"/>
    <x v="3"/>
    <x v="1"/>
    <x v="1"/>
    <n v="362.66"/>
    <n v="12.31"/>
    <n v="20.239999999999998"/>
    <n v="1.1000000000000001"/>
    <n v="0.1"/>
    <n v="13"/>
    <s v="B"/>
    <n v="9.1"/>
    <x v="0"/>
    <n v="69.989999999999995"/>
    <x v="0"/>
    <n v="3.72"/>
    <n v="8.33"/>
    <n v="1349.0952000000002"/>
    <n v="3020.9578000000001"/>
    <n v="1671.8625999999999"/>
    <n v="0.55342136854741897"/>
    <n v="33.00206"/>
  </r>
  <r>
    <s v="BATCH01875"/>
    <x v="1"/>
    <x v="0"/>
    <x v="1"/>
    <n v="551.99"/>
    <n v="9.75"/>
    <n v="26.01"/>
    <n v="2.8"/>
    <n v="0.2"/>
    <n v="5"/>
    <s v="B"/>
    <n v="9.5500000000000007"/>
    <x v="1"/>
    <n v="60.84"/>
    <x v="2"/>
    <n v="6.66"/>
    <n v="14.65"/>
    <n v="3676.2534000000001"/>
    <n v="8086.6535000000003"/>
    <n v="4410.4001000000007"/>
    <n v="0.54539249146757685"/>
    <n v="52.715045000000011"/>
  </r>
  <r>
    <s v="BATCH01876"/>
    <x v="2"/>
    <x v="3"/>
    <x v="1"/>
    <n v="686.88"/>
    <n v="17.87"/>
    <n v="31.56"/>
    <n v="1.9"/>
    <n v="1.3"/>
    <n v="9"/>
    <s v="C"/>
    <n v="3.97"/>
    <x v="2"/>
    <n v="65.23"/>
    <x v="2"/>
    <n v="7.73"/>
    <n v="12.72"/>
    <n v="5309.5824000000002"/>
    <n v="8737.1136000000006"/>
    <n v="3427.5312000000004"/>
    <n v="0.39229559748427673"/>
    <n v="27.269136000000003"/>
  </r>
  <r>
    <s v="BATCH01877"/>
    <x v="3"/>
    <x v="0"/>
    <x v="0"/>
    <n v="541.97"/>
    <n v="13.61"/>
    <n v="27.52"/>
    <n v="2.2999999999999998"/>
    <n v="0.6"/>
    <n v="13"/>
    <s v="B"/>
    <n v="4.07"/>
    <x v="2"/>
    <n v="99.87"/>
    <x v="2"/>
    <n v="3.79"/>
    <n v="5.2"/>
    <n v="2054.0663"/>
    <n v="2818.2440000000001"/>
    <n v="764.17770000000019"/>
    <n v="0.27115384615384619"/>
    <n v="22.058179000000006"/>
  </r>
  <r>
    <s v="BATCH01878"/>
    <x v="1"/>
    <x v="2"/>
    <x v="0"/>
    <n v="527.66"/>
    <n v="14.87"/>
    <n v="30.7"/>
    <n v="0.7"/>
    <n v="0.6"/>
    <n v="5"/>
    <s v="B"/>
    <n v="7.56"/>
    <x v="1"/>
    <n v="82.93"/>
    <x v="2"/>
    <n v="9.42"/>
    <n v="14.57"/>
    <n v="4970.5571999999993"/>
    <n v="7688.0061999999998"/>
    <n v="2717.4490000000005"/>
    <n v="0.35346602608098843"/>
    <n v="39.891095999999997"/>
  </r>
  <r>
    <s v="BATCH01879"/>
    <x v="2"/>
    <x v="0"/>
    <x v="0"/>
    <n v="500.86"/>
    <n v="11.25"/>
    <n v="37.53"/>
    <n v="1.3"/>
    <n v="0.4"/>
    <n v="15"/>
    <s v="B"/>
    <n v="4.83"/>
    <x v="1"/>
    <n v="96.11"/>
    <x v="1"/>
    <n v="4.58"/>
    <n v="12.75"/>
    <n v="2293.9387999999999"/>
    <n v="6385.9650000000001"/>
    <n v="4092.0262000000002"/>
    <n v="0.64078431372549027"/>
    <n v="24.191538000000001"/>
  </r>
  <r>
    <s v="BATCH01880"/>
    <x v="3"/>
    <x v="2"/>
    <x v="1"/>
    <n v="342.91"/>
    <n v="8.9499999999999993"/>
    <n v="38.25"/>
    <n v="0.1"/>
    <n v="0.9"/>
    <n v="7"/>
    <s v="B"/>
    <n v="0.77"/>
    <x v="0"/>
    <n v="71.790000000000006"/>
    <x v="0"/>
    <n v="3.84"/>
    <n v="6.49"/>
    <n v="1316.7744"/>
    <n v="2225.4859000000001"/>
    <n v="908.71150000000011"/>
    <n v="0.40832049306625579"/>
    <n v="2.6404070000000002"/>
  </r>
  <r>
    <s v="BATCH01881"/>
    <x v="3"/>
    <x v="1"/>
    <x v="1"/>
    <n v="635.55999999999995"/>
    <n v="17.760000000000002"/>
    <n v="25.32"/>
    <n v="3.4"/>
    <n v="0.2"/>
    <n v="14"/>
    <s v="B"/>
    <n v="9.24"/>
    <x v="0"/>
    <n v="85.51"/>
    <x v="0"/>
    <n v="4.42"/>
    <n v="5.76"/>
    <n v="2809.1751999999997"/>
    <n v="3660.8255999999997"/>
    <n v="851.65039999999999"/>
    <n v="0.2326388888888889"/>
    <n v="58.725743999999992"/>
  </r>
  <r>
    <s v="BATCH01882"/>
    <x v="2"/>
    <x v="3"/>
    <x v="0"/>
    <n v="438.91"/>
    <n v="10.86"/>
    <n v="29.24"/>
    <n v="9.1999999999999993"/>
    <n v="1"/>
    <n v="16"/>
    <s v="C"/>
    <n v="4.59"/>
    <x v="2"/>
    <n v="72.98"/>
    <x v="0"/>
    <n v="4.1900000000000004"/>
    <n v="8.08"/>
    <n v="1839.0329000000004"/>
    <n v="3546.3928000000001"/>
    <n v="1707.3598999999997"/>
    <n v="0.48143564356435636"/>
    <n v="20.145969000000001"/>
  </r>
  <r>
    <s v="BATCH01883"/>
    <x v="2"/>
    <x v="1"/>
    <x v="0"/>
    <n v="550.45000000000005"/>
    <n v="12.24"/>
    <n v="30.98"/>
    <n v="1"/>
    <n v="0.2"/>
    <n v="6"/>
    <s v="B"/>
    <n v="2.4300000000000002"/>
    <x v="0"/>
    <n v="66.41"/>
    <x v="1"/>
    <n v="3.63"/>
    <n v="11.24"/>
    <n v="1998.1335000000001"/>
    <n v="6187.0580000000009"/>
    <n v="4188.924500000001"/>
    <n v="0.6770462633451958"/>
    <n v="13.375935000000002"/>
  </r>
  <r>
    <s v="BATCH01884"/>
    <x v="2"/>
    <x v="2"/>
    <x v="0"/>
    <n v="343.7"/>
    <n v="14.5"/>
    <n v="38.979999999999997"/>
    <n v="0"/>
    <n v="0.1"/>
    <n v="2"/>
    <s v="B"/>
    <n v="5.78"/>
    <x v="2"/>
    <n v="75.959999999999994"/>
    <x v="0"/>
    <n v="8.58"/>
    <n v="11.17"/>
    <n v="2948.9459999999999"/>
    <n v="3839.1289999999999"/>
    <n v="890.18299999999999"/>
    <n v="0.23187108325872874"/>
    <n v="19.865860000000001"/>
  </r>
  <r>
    <s v="BATCH01885"/>
    <x v="3"/>
    <x v="2"/>
    <x v="1"/>
    <n v="382.05"/>
    <n v="8.25"/>
    <n v="39.97"/>
    <n v="0.4"/>
    <n v="0.4"/>
    <n v="16"/>
    <s v="B"/>
    <n v="2.58"/>
    <x v="0"/>
    <n v="71.37"/>
    <x v="2"/>
    <n v="6.47"/>
    <n v="7.76"/>
    <n v="2471.8634999999999"/>
    <n v="2964.7080000000001"/>
    <n v="492.84450000000015"/>
    <n v="0.1662371134020619"/>
    <n v="9.8568899999999999"/>
  </r>
  <r>
    <s v="BATCH01886"/>
    <x v="3"/>
    <x v="2"/>
    <x v="1"/>
    <n v="643.51"/>
    <n v="16.100000000000001"/>
    <n v="24.71"/>
    <n v="2.1"/>
    <n v="0.3"/>
    <n v="19"/>
    <s v="B"/>
    <n v="2.46"/>
    <x v="1"/>
    <n v="99.03"/>
    <x v="0"/>
    <n v="5.72"/>
    <n v="9.4600000000000009"/>
    <n v="3680.8771999999999"/>
    <n v="6087.6046000000006"/>
    <n v="2406.7274000000007"/>
    <n v="0.39534883720930242"/>
    <n v="15.830345999999999"/>
  </r>
  <r>
    <s v="BATCH01887"/>
    <x v="1"/>
    <x v="3"/>
    <x v="1"/>
    <n v="465.27"/>
    <n v="13.37"/>
    <n v="34.54"/>
    <n v="1.9"/>
    <n v="2.2000000000000002"/>
    <n v="5"/>
    <s v="A"/>
    <n v="5.68"/>
    <x v="0"/>
    <n v="74.81"/>
    <x v="0"/>
    <n v="9.65"/>
    <n v="7.12"/>
    <n v="4489.8554999999997"/>
    <n v="3312.7224000000001"/>
    <n v="-1177.1330999999996"/>
    <n v="-0.35533707865168523"/>
    <n v="26.427335999999997"/>
  </r>
  <r>
    <s v="BATCH01888"/>
    <x v="0"/>
    <x v="0"/>
    <x v="1"/>
    <n v="645.33000000000004"/>
    <n v="10.78"/>
    <n v="27.56"/>
    <n v="3.1"/>
    <n v="0.1"/>
    <n v="4"/>
    <s v="A"/>
    <n v="4.21"/>
    <x v="2"/>
    <n v="90.56"/>
    <x v="1"/>
    <n v="5.6"/>
    <n v="5.51"/>
    <n v="3613.848"/>
    <n v="3555.7683000000002"/>
    <n v="-58.079699999999775"/>
    <n v="-1.6333938294010825E-2"/>
    <n v="27.168393000000002"/>
  </r>
  <r>
    <s v="BATCH01889"/>
    <x v="2"/>
    <x v="1"/>
    <x v="1"/>
    <n v="492.18"/>
    <n v="8.6199999999999992"/>
    <n v="20.16"/>
    <n v="0.6"/>
    <n v="0.2"/>
    <n v="14"/>
    <s v="A"/>
    <n v="5.94"/>
    <x v="0"/>
    <n v="83.34"/>
    <x v="2"/>
    <n v="4.17"/>
    <n v="10.17"/>
    <n v="2052.3906000000002"/>
    <n v="5005.4705999999996"/>
    <n v="2953.0799999999995"/>
    <n v="0.58997050147492613"/>
    <n v="29.235492000000004"/>
  </r>
  <r>
    <s v="BATCH01890"/>
    <x v="3"/>
    <x v="1"/>
    <x v="0"/>
    <n v="315.81"/>
    <n v="9.6199999999999992"/>
    <n v="20.190000000000001"/>
    <n v="2.9"/>
    <n v="0.8"/>
    <n v="27"/>
    <s v="A"/>
    <n v="9.9700000000000006"/>
    <x v="2"/>
    <n v="73.98"/>
    <x v="2"/>
    <n v="4.92"/>
    <n v="8.4700000000000006"/>
    <n v="1553.7852"/>
    <n v="2674.9107000000004"/>
    <n v="1121.1255000000003"/>
    <n v="0.41912632821723739"/>
    <n v="31.486257000000002"/>
  </r>
  <r>
    <s v="BATCH01891"/>
    <x v="3"/>
    <x v="0"/>
    <x v="1"/>
    <n v="589.21"/>
    <n v="16.95"/>
    <n v="29.21"/>
    <n v="2.2999999999999998"/>
    <n v="0.7"/>
    <n v="6"/>
    <s v="C"/>
    <n v="8.66"/>
    <x v="2"/>
    <n v="73.709999999999994"/>
    <x v="2"/>
    <n v="4.67"/>
    <n v="10.43"/>
    <n v="2751.6107000000002"/>
    <n v="6145.4603000000006"/>
    <n v="3393.8496000000005"/>
    <n v="0.55225311601150529"/>
    <n v="51.025586000000004"/>
  </r>
  <r>
    <s v="BATCH01892"/>
    <x v="2"/>
    <x v="1"/>
    <x v="1"/>
    <n v="441.01"/>
    <n v="14.86"/>
    <n v="29.77"/>
    <n v="0.8"/>
    <n v="0"/>
    <n v="8"/>
    <s v="A"/>
    <n v="0.56999999999999995"/>
    <x v="0"/>
    <n v="67.09"/>
    <x v="0"/>
    <n v="6.49"/>
    <n v="14.47"/>
    <n v="2862.1549"/>
    <n v="6381.4147000000003"/>
    <n v="3519.2598000000003"/>
    <n v="0.55148583275742913"/>
    <n v="2.5137569999999996"/>
  </r>
  <r>
    <s v="BATCH01893"/>
    <x v="0"/>
    <x v="3"/>
    <x v="1"/>
    <n v="569.87"/>
    <n v="10.5"/>
    <n v="20.45"/>
    <n v="1.6"/>
    <n v="0"/>
    <n v="24"/>
    <s v="C"/>
    <n v="0.98"/>
    <x v="0"/>
    <n v="55.35"/>
    <x v="2"/>
    <n v="5.04"/>
    <n v="6.43"/>
    <n v="2872.1448"/>
    <n v="3664.2640999999999"/>
    <n v="792.11929999999984"/>
    <n v="0.21617418351477447"/>
    <n v="5.5847259999999999"/>
  </r>
  <r>
    <s v="BATCH01894"/>
    <x v="2"/>
    <x v="1"/>
    <x v="1"/>
    <n v="502.52"/>
    <n v="8.66"/>
    <n v="33.74"/>
    <n v="0.3"/>
    <n v="4.4000000000000004"/>
    <n v="3"/>
    <s v="A"/>
    <n v="6.3"/>
    <x v="2"/>
    <n v="88.07"/>
    <x v="2"/>
    <n v="6.61"/>
    <n v="5.0199999999999996"/>
    <n v="3321.6572000000001"/>
    <n v="2522.6503999999995"/>
    <n v="-799.00680000000057"/>
    <n v="-0.31673306772908394"/>
    <n v="31.658759999999997"/>
  </r>
  <r>
    <s v="BATCH01895"/>
    <x v="0"/>
    <x v="2"/>
    <x v="1"/>
    <n v="345.69"/>
    <n v="14.91"/>
    <n v="25.88"/>
    <n v="1.2"/>
    <n v="1.1000000000000001"/>
    <n v="4"/>
    <s v="C"/>
    <n v="6.45"/>
    <x v="1"/>
    <n v="95.9"/>
    <x v="0"/>
    <n v="7.69"/>
    <n v="5.77"/>
    <n v="2658.3561"/>
    <n v="1994.6312999999998"/>
    <n v="-663.72480000000019"/>
    <n v="-0.33275563258232249"/>
    <n v="22.297004999999999"/>
  </r>
  <r>
    <s v="BATCH01896"/>
    <x v="3"/>
    <x v="0"/>
    <x v="0"/>
    <n v="516.42999999999995"/>
    <n v="13.72"/>
    <n v="31.2"/>
    <n v="4.3"/>
    <n v="0.5"/>
    <n v="1"/>
    <s v="A"/>
    <n v="8.84"/>
    <x v="0"/>
    <n v="60.9"/>
    <x v="1"/>
    <n v="8.44"/>
    <n v="9.6300000000000008"/>
    <n v="4358.6691999999994"/>
    <n v="4973.2209000000003"/>
    <n v="614.55170000000089"/>
    <n v="0.12357217030114244"/>
    <n v="45.652411999999998"/>
  </r>
  <r>
    <s v="BATCH01897"/>
    <x v="0"/>
    <x v="3"/>
    <x v="1"/>
    <n v="719.62"/>
    <n v="12.05"/>
    <n v="26.02"/>
    <n v="1.1000000000000001"/>
    <n v="0.6"/>
    <n v="2"/>
    <s v="B"/>
    <n v="6.48"/>
    <x v="2"/>
    <n v="96.28"/>
    <x v="0"/>
    <n v="7.97"/>
    <n v="12.07"/>
    <n v="5735.3714"/>
    <n v="8685.8134000000009"/>
    <n v="2950.4420000000009"/>
    <n v="0.33968516984258501"/>
    <n v="46.631376000000003"/>
  </r>
  <r>
    <s v="BATCH01898"/>
    <x v="1"/>
    <x v="0"/>
    <x v="1"/>
    <n v="549.29999999999995"/>
    <n v="11.64"/>
    <n v="23.34"/>
    <n v="3.7"/>
    <n v="0.3"/>
    <n v="13"/>
    <s v="A"/>
    <n v="2.66"/>
    <x v="1"/>
    <n v="61.62"/>
    <x v="1"/>
    <n v="4.4400000000000004"/>
    <n v="10.81"/>
    <n v="2438.8919999999998"/>
    <n v="5937.933"/>
    <n v="3499.0410000000002"/>
    <n v="0.58926919518963927"/>
    <n v="14.611379999999999"/>
  </r>
  <r>
    <s v="BATCH01899"/>
    <x v="3"/>
    <x v="3"/>
    <x v="1"/>
    <n v="494.25"/>
    <n v="10.17"/>
    <n v="28.14"/>
    <n v="1.8"/>
    <n v="0.4"/>
    <n v="9"/>
    <s v="A"/>
    <n v="4.95"/>
    <x v="2"/>
    <n v="76.5"/>
    <x v="1"/>
    <n v="3.81"/>
    <n v="9.9499999999999993"/>
    <n v="1883.0925"/>
    <n v="4917.7874999999995"/>
    <n v="3034.6949999999997"/>
    <n v="0.61708542713567838"/>
    <n v="24.465374999999998"/>
  </r>
  <r>
    <s v="BATCH01900"/>
    <x v="1"/>
    <x v="2"/>
    <x v="0"/>
    <n v="607.53"/>
    <n v="14.7"/>
    <n v="24.65"/>
    <n v="0.4"/>
    <n v="1"/>
    <n v="12"/>
    <s v="A"/>
    <n v="8.19"/>
    <x v="0"/>
    <n v="67.180000000000007"/>
    <x v="2"/>
    <n v="6.8"/>
    <n v="8.5399999999999991"/>
    <n v="4131.2039999999997"/>
    <n v="5188.3061999999991"/>
    <n v="1057.1021999999994"/>
    <n v="0.20374707259953154"/>
    <n v="49.756706999999999"/>
  </r>
  <r>
    <s v="BATCH01901"/>
    <x v="2"/>
    <x v="0"/>
    <x v="0"/>
    <n v="521.07000000000005"/>
    <n v="17.71"/>
    <n v="30.7"/>
    <n v="1.7"/>
    <n v="2.1"/>
    <n v="10"/>
    <s v="B"/>
    <n v="9.27"/>
    <x v="2"/>
    <n v="55.73"/>
    <x v="2"/>
    <n v="4.3899999999999997"/>
    <n v="8.1"/>
    <n v="2287.4973"/>
    <n v="4220.6670000000004"/>
    <n v="1933.1697000000004"/>
    <n v="0.45802469135802476"/>
    <n v="48.303189000000003"/>
  </r>
  <r>
    <s v="BATCH01902"/>
    <x v="2"/>
    <x v="1"/>
    <x v="0"/>
    <n v="520.95000000000005"/>
    <n v="9.76"/>
    <n v="23.98"/>
    <n v="1.4"/>
    <n v="0.2"/>
    <n v="10"/>
    <s v="C"/>
    <n v="2.75"/>
    <x v="2"/>
    <n v="52.64"/>
    <x v="0"/>
    <n v="3.59"/>
    <n v="8.76"/>
    <n v="1870.2105000000001"/>
    <n v="4563.5219999999999"/>
    <n v="2693.3114999999998"/>
    <n v="0.59018264840182644"/>
    <n v="14.326125000000001"/>
  </r>
  <r>
    <s v="BATCH01903"/>
    <x v="2"/>
    <x v="3"/>
    <x v="1"/>
    <n v="390.84"/>
    <n v="13.97"/>
    <n v="30.17"/>
    <n v="1"/>
    <n v="1.8"/>
    <n v="18"/>
    <s v="C"/>
    <n v="5.63"/>
    <x v="2"/>
    <n v="68.27"/>
    <x v="1"/>
    <n v="6.69"/>
    <n v="11.12"/>
    <n v="2614.7195999999999"/>
    <n v="4346.1407999999992"/>
    <n v="1731.4211999999993"/>
    <n v="0.39838129496402869"/>
    <n v="22.004292"/>
  </r>
  <r>
    <s v="BATCH01904"/>
    <x v="0"/>
    <x v="0"/>
    <x v="0"/>
    <n v="523.38"/>
    <n v="12.24"/>
    <n v="23.15"/>
    <n v="0.3"/>
    <n v="0.1"/>
    <n v="12"/>
    <s v="B"/>
    <n v="2.0099999999999998"/>
    <x v="0"/>
    <n v="52.37"/>
    <x v="0"/>
    <n v="5.29"/>
    <n v="6.68"/>
    <n v="2768.6801999999998"/>
    <n v="3496.1783999999998"/>
    <n v="727.4982"/>
    <n v="0.20808383233532934"/>
    <n v="10.519938"/>
  </r>
  <r>
    <s v="BATCH01905"/>
    <x v="3"/>
    <x v="1"/>
    <x v="1"/>
    <n v="603.54"/>
    <n v="12.47"/>
    <n v="33.42"/>
    <n v="1.1000000000000001"/>
    <n v="0.2"/>
    <n v="22"/>
    <s v="A"/>
    <n v="5.22"/>
    <x v="1"/>
    <n v="55.21"/>
    <x v="2"/>
    <n v="8.2899999999999991"/>
    <n v="12.71"/>
    <n v="5003.3465999999989"/>
    <n v="7670.9934000000003"/>
    <n v="2667.6468000000013"/>
    <n v="0.34775767112509853"/>
    <n v="31.504787999999998"/>
  </r>
  <r>
    <s v="BATCH01906"/>
    <x v="2"/>
    <x v="0"/>
    <x v="1"/>
    <n v="416.39"/>
    <n v="10.54"/>
    <n v="35.08"/>
    <n v="0.2"/>
    <n v="0"/>
    <n v="16"/>
    <s v="A"/>
    <n v="1.36"/>
    <x v="1"/>
    <n v="57.11"/>
    <x v="1"/>
    <n v="5.2"/>
    <n v="10.75"/>
    <n v="2165.2280000000001"/>
    <n v="4476.1925000000001"/>
    <n v="2310.9645"/>
    <n v="0.51627906976744187"/>
    <n v="5.6629040000000002"/>
  </r>
  <r>
    <s v="BATCH01907"/>
    <x v="2"/>
    <x v="0"/>
    <x v="0"/>
    <n v="642.45000000000005"/>
    <n v="16.25"/>
    <n v="22.21"/>
    <n v="0.2"/>
    <n v="0.2"/>
    <n v="23"/>
    <s v="A"/>
    <n v="9.4499999999999993"/>
    <x v="1"/>
    <n v="50.1"/>
    <x v="2"/>
    <n v="9.85"/>
    <n v="7.69"/>
    <n v="6328.1325000000006"/>
    <n v="4940.4405000000006"/>
    <n v="-1387.692"/>
    <n v="-0.28088426527958382"/>
    <n v="60.711525000000002"/>
  </r>
  <r>
    <s v="BATCH01908"/>
    <x v="3"/>
    <x v="0"/>
    <x v="1"/>
    <n v="490.83"/>
    <n v="12.85"/>
    <n v="29.36"/>
    <n v="1.1000000000000001"/>
    <n v="2.5"/>
    <n v="6"/>
    <s v="C"/>
    <n v="6.56"/>
    <x v="1"/>
    <n v="57.66"/>
    <x v="2"/>
    <n v="8.31"/>
    <n v="10.01"/>
    <n v="4078.7973000000002"/>
    <n v="4913.2082999999993"/>
    <n v="834.41099999999915"/>
    <n v="0.16983016983016969"/>
    <n v="32.198447999999999"/>
  </r>
  <r>
    <s v="BATCH01909"/>
    <x v="2"/>
    <x v="3"/>
    <x v="1"/>
    <n v="411.22"/>
    <n v="13.43"/>
    <n v="21.42"/>
    <n v="0.7"/>
    <n v="0.6"/>
    <n v="24"/>
    <s v="C"/>
    <n v="8.6199999999999992"/>
    <x v="0"/>
    <n v="78.86"/>
    <x v="2"/>
    <n v="3.4"/>
    <n v="14.63"/>
    <n v="1398.1480000000001"/>
    <n v="6016.1486000000004"/>
    <n v="4618.0006000000003"/>
    <n v="0.76760082023239917"/>
    <n v="35.447164000000001"/>
  </r>
  <r>
    <s v="BATCH01910"/>
    <x v="1"/>
    <x v="1"/>
    <x v="1"/>
    <n v="599.76"/>
    <n v="11.05"/>
    <n v="31.96"/>
    <n v="5.2"/>
    <n v="0.1"/>
    <n v="25"/>
    <s v="B"/>
    <n v="9.98"/>
    <x v="2"/>
    <n v="90.98"/>
    <x v="1"/>
    <n v="6.56"/>
    <n v="5.2"/>
    <n v="3934.4255999999996"/>
    <n v="3118.752"/>
    <n v="-815.67359999999962"/>
    <n v="-0.26153846153846144"/>
    <n v="59.856048000000001"/>
  </r>
  <r>
    <s v="BATCH01911"/>
    <x v="3"/>
    <x v="2"/>
    <x v="0"/>
    <n v="471.32"/>
    <n v="9.82"/>
    <n v="25.29"/>
    <n v="0.9"/>
    <n v="3.2"/>
    <n v="24"/>
    <s v="B"/>
    <n v="2.2400000000000002"/>
    <x v="1"/>
    <n v="59.67"/>
    <x v="1"/>
    <n v="6.94"/>
    <n v="7"/>
    <n v="3270.9608000000003"/>
    <n v="3299.24"/>
    <n v="28.279199999999491"/>
    <n v="8.5714285714284175E-3"/>
    <n v="10.557568000000002"/>
  </r>
  <r>
    <s v="BATCH01912"/>
    <x v="3"/>
    <x v="3"/>
    <x v="1"/>
    <n v="575.95000000000005"/>
    <n v="8.86"/>
    <n v="30.55"/>
    <n v="2.8"/>
    <n v="2.1"/>
    <n v="21"/>
    <s v="C"/>
    <n v="7.09"/>
    <x v="1"/>
    <n v="54.04"/>
    <x v="2"/>
    <n v="7.87"/>
    <n v="9.48"/>
    <n v="4532.7265000000007"/>
    <n v="5460.0060000000003"/>
    <n v="927.27949999999964"/>
    <n v="0.16983122362869191"/>
    <n v="40.834855000000005"/>
  </r>
  <r>
    <s v="BATCH01913"/>
    <x v="3"/>
    <x v="3"/>
    <x v="1"/>
    <n v="470.82"/>
    <n v="15.14"/>
    <n v="30.35"/>
    <n v="1.5"/>
    <n v="1.4"/>
    <n v="24"/>
    <s v="A"/>
    <n v="8.93"/>
    <x v="0"/>
    <n v="86.48"/>
    <x v="1"/>
    <n v="6.48"/>
    <n v="11.38"/>
    <n v="3050.9136000000003"/>
    <n v="5357.9315999999999"/>
    <n v="2307.0179999999996"/>
    <n v="0.43057996485061506"/>
    <n v="42.044226000000002"/>
  </r>
  <r>
    <s v="BATCH01914"/>
    <x v="1"/>
    <x v="3"/>
    <x v="0"/>
    <n v="494.02"/>
    <n v="9.9600000000000009"/>
    <n v="38.49"/>
    <n v="2.4"/>
    <n v="2.7"/>
    <n v="10"/>
    <s v="A"/>
    <n v="5.97"/>
    <x v="2"/>
    <n v="50.41"/>
    <x v="2"/>
    <n v="6.38"/>
    <n v="7.12"/>
    <n v="3151.8476000000001"/>
    <n v="3517.4223999999999"/>
    <n v="365.57479999999987"/>
    <n v="0.10393258426966288"/>
    <n v="29.492993999999999"/>
  </r>
  <r>
    <s v="BATCH01915"/>
    <x v="3"/>
    <x v="2"/>
    <x v="1"/>
    <n v="549.36"/>
    <n v="14.9"/>
    <n v="30.98"/>
    <n v="0.6"/>
    <n v="0.2"/>
    <n v="15"/>
    <s v="A"/>
    <n v="6.58"/>
    <x v="2"/>
    <n v="86.71"/>
    <x v="2"/>
    <n v="5.58"/>
    <n v="14.31"/>
    <n v="3065.4288000000001"/>
    <n v="7861.3416000000007"/>
    <n v="4795.9128000000001"/>
    <n v="0.61006289308176098"/>
    <n v="36.147888000000002"/>
  </r>
  <r>
    <s v="BATCH01916"/>
    <x v="1"/>
    <x v="1"/>
    <x v="1"/>
    <n v="529.09"/>
    <n v="11.9"/>
    <n v="31.66"/>
    <n v="5.7"/>
    <n v="1.8"/>
    <n v="26"/>
    <s v="A"/>
    <n v="4.37"/>
    <x v="1"/>
    <n v="56.56"/>
    <x v="2"/>
    <n v="4.9000000000000004"/>
    <n v="11.43"/>
    <n v="2592.5410000000002"/>
    <n v="6047.4987000000001"/>
    <n v="3454.9576999999999"/>
    <n v="0.57130358705161854"/>
    <n v="23.121233000000004"/>
  </r>
  <r>
    <s v="BATCH01917"/>
    <x v="3"/>
    <x v="1"/>
    <x v="0"/>
    <n v="300.45"/>
    <n v="12.16"/>
    <n v="28.03"/>
    <n v="1.5"/>
    <n v="1.2"/>
    <n v="9"/>
    <s v="B"/>
    <n v="6.91"/>
    <x v="1"/>
    <n v="61.41"/>
    <x v="1"/>
    <n v="9.6199999999999992"/>
    <n v="13.77"/>
    <n v="2890.3289999999997"/>
    <n v="4137.1965"/>
    <n v="1246.8675000000003"/>
    <n v="0.3013798111837328"/>
    <n v="20.761095000000001"/>
  </r>
  <r>
    <s v="BATCH01918"/>
    <x v="0"/>
    <x v="1"/>
    <x v="1"/>
    <n v="387.88"/>
    <n v="12.69"/>
    <n v="38.979999999999997"/>
    <n v="3.6"/>
    <n v="2"/>
    <n v="24"/>
    <s v="B"/>
    <n v="4.26"/>
    <x v="2"/>
    <n v="56"/>
    <x v="0"/>
    <n v="5.22"/>
    <n v="8.2899999999999991"/>
    <n v="2024.7335999999998"/>
    <n v="3215.5251999999996"/>
    <n v="1190.7915999999998"/>
    <n v="0.3703256936067551"/>
    <n v="16.523688"/>
  </r>
  <r>
    <s v="BATCH01919"/>
    <x v="2"/>
    <x v="0"/>
    <x v="1"/>
    <n v="592.94000000000005"/>
    <n v="11.68"/>
    <n v="35.54"/>
    <n v="0.9"/>
    <n v="1.6"/>
    <n v="2"/>
    <s v="C"/>
    <n v="5.03"/>
    <x v="0"/>
    <n v="62.37"/>
    <x v="0"/>
    <n v="3.44"/>
    <n v="13.29"/>
    <n v="2039.7136000000003"/>
    <n v="7880.1725999999999"/>
    <n v="5840.4589999999998"/>
    <n v="0.74115876598946573"/>
    <n v="29.824882000000002"/>
  </r>
  <r>
    <s v="BATCH01920"/>
    <x v="0"/>
    <x v="0"/>
    <x v="1"/>
    <n v="486.79"/>
    <n v="9.01"/>
    <n v="25.71"/>
    <n v="0.2"/>
    <n v="0.4"/>
    <n v="18"/>
    <s v="B"/>
    <n v="1.48"/>
    <x v="2"/>
    <n v="89.91"/>
    <x v="1"/>
    <n v="4.17"/>
    <n v="8.7799999999999994"/>
    <n v="2029.9143000000001"/>
    <n v="4274.0162"/>
    <n v="2244.1018999999997"/>
    <n v="0.52505694760820032"/>
    <n v="7.2044920000000001"/>
  </r>
  <r>
    <s v="BATCH01921"/>
    <x v="2"/>
    <x v="0"/>
    <x v="1"/>
    <n v="447.63"/>
    <n v="11.1"/>
    <n v="36.880000000000003"/>
    <n v="2.2000000000000002"/>
    <n v="1.5"/>
    <n v="12"/>
    <s v="A"/>
    <n v="0.56999999999999995"/>
    <x v="2"/>
    <n v="56.63"/>
    <x v="1"/>
    <n v="9"/>
    <n v="7.53"/>
    <n v="4028.67"/>
    <n v="3370.6539000000002"/>
    <n v="-658.01609999999982"/>
    <n v="-0.19521912350597603"/>
    <n v="2.551491"/>
  </r>
  <r>
    <s v="BATCH01922"/>
    <x v="1"/>
    <x v="2"/>
    <x v="1"/>
    <n v="364.14"/>
    <n v="14.64"/>
    <n v="28.65"/>
    <n v="0"/>
    <n v="0.3"/>
    <n v="3"/>
    <s v="C"/>
    <n v="1.02"/>
    <x v="1"/>
    <n v="99.71"/>
    <x v="2"/>
    <n v="7.11"/>
    <n v="14.12"/>
    <n v="2589.0354000000002"/>
    <n v="5141.6567999999997"/>
    <n v="2552.6213999999995"/>
    <n v="0.49645892351274779"/>
    <n v="3.7142279999999999"/>
  </r>
  <r>
    <s v="BATCH01923"/>
    <x v="0"/>
    <x v="0"/>
    <x v="0"/>
    <n v="392.03"/>
    <n v="14.66"/>
    <n v="36.57"/>
    <n v="1.3"/>
    <n v="0.4"/>
    <n v="7"/>
    <s v="B"/>
    <n v="2.33"/>
    <x v="0"/>
    <n v="66.349999999999994"/>
    <x v="2"/>
    <n v="8.4499999999999993"/>
    <n v="5.92"/>
    <n v="3312.6534999999994"/>
    <n v="2320.8175999999999"/>
    <n v="-991.83589999999958"/>
    <n v="-0.42736486486486469"/>
    <n v="9.1342990000000004"/>
  </r>
  <r>
    <s v="BATCH01924"/>
    <x v="3"/>
    <x v="2"/>
    <x v="0"/>
    <n v="297.82"/>
    <n v="10.86"/>
    <n v="36.46"/>
    <n v="0.4"/>
    <n v="0.1"/>
    <n v="9"/>
    <s v="B"/>
    <n v="4.84"/>
    <x v="0"/>
    <n v="96.1"/>
    <x v="0"/>
    <n v="8.66"/>
    <n v="14.43"/>
    <n v="2579.1212"/>
    <n v="4297.5425999999998"/>
    <n v="1718.4213999999997"/>
    <n v="0.39986139986139979"/>
    <n v="14.414487999999999"/>
  </r>
  <r>
    <s v="BATCH01925"/>
    <x v="2"/>
    <x v="1"/>
    <x v="0"/>
    <n v="489.87"/>
    <n v="12.6"/>
    <n v="23.78"/>
    <n v="2"/>
    <n v="2.7"/>
    <n v="8"/>
    <s v="B"/>
    <n v="0.7"/>
    <x v="0"/>
    <n v="59.5"/>
    <x v="2"/>
    <n v="8.76"/>
    <n v="9.59"/>
    <n v="4291.2611999999999"/>
    <n v="4697.8532999999998"/>
    <n v="406.59209999999985"/>
    <n v="8.6548488008342001E-2"/>
    <n v="3.42909"/>
  </r>
  <r>
    <s v="BATCH01926"/>
    <x v="2"/>
    <x v="0"/>
    <x v="0"/>
    <n v="440.16"/>
    <n v="9.93"/>
    <n v="34.020000000000003"/>
    <n v="7.8"/>
    <n v="0.3"/>
    <n v="25"/>
    <s v="B"/>
    <n v="1.98"/>
    <x v="1"/>
    <n v="59.39"/>
    <x v="0"/>
    <n v="6.85"/>
    <n v="14.93"/>
    <n v="3015.096"/>
    <n v="6571.5888000000004"/>
    <n v="3556.4928000000004"/>
    <n v="0.54119223040857334"/>
    <n v="8.7151680000000002"/>
  </r>
  <r>
    <s v="BATCH01927"/>
    <x v="0"/>
    <x v="0"/>
    <x v="1"/>
    <n v="403.34"/>
    <n v="10.1"/>
    <n v="25.81"/>
    <n v="1.2"/>
    <n v="0.7"/>
    <n v="6"/>
    <s v="B"/>
    <n v="7.92"/>
    <x v="0"/>
    <n v="78.27"/>
    <x v="0"/>
    <n v="4.24"/>
    <n v="10.4"/>
    <n v="1710.1615999999999"/>
    <n v="4194.7359999999999"/>
    <n v="2484.5744"/>
    <n v="0.59230769230769231"/>
    <n v="31.944527999999995"/>
  </r>
  <r>
    <s v="BATCH01928"/>
    <x v="1"/>
    <x v="3"/>
    <x v="1"/>
    <n v="493.19"/>
    <n v="8.23"/>
    <n v="25.95"/>
    <n v="3.4"/>
    <n v="0.5"/>
    <n v="1"/>
    <s v="A"/>
    <n v="7.74"/>
    <x v="0"/>
    <n v="52.53"/>
    <x v="1"/>
    <n v="4.04"/>
    <n v="12.57"/>
    <n v="1992.4875999999999"/>
    <n v="6199.3982999999998"/>
    <n v="4206.9107000000004"/>
    <n v="0.67859984089101044"/>
    <n v="38.172906000000005"/>
  </r>
  <r>
    <s v="BATCH01929"/>
    <x v="0"/>
    <x v="2"/>
    <x v="1"/>
    <n v="536.4"/>
    <n v="16.97"/>
    <n v="25.93"/>
    <n v="1.4"/>
    <n v="3.2"/>
    <n v="14"/>
    <s v="A"/>
    <n v="8"/>
    <x v="1"/>
    <n v="90.05"/>
    <x v="1"/>
    <n v="7.02"/>
    <n v="5.07"/>
    <n v="3765.5279999999998"/>
    <n v="2719.5480000000002"/>
    <n v="-1045.9799999999996"/>
    <n v="-0.38461538461538441"/>
    <n v="42.911999999999999"/>
  </r>
  <r>
    <s v="BATCH01930"/>
    <x v="1"/>
    <x v="1"/>
    <x v="1"/>
    <n v="709.32"/>
    <n v="10.11"/>
    <n v="34.51"/>
    <n v="1.4"/>
    <n v="0.4"/>
    <n v="16"/>
    <s v="A"/>
    <n v="9.25"/>
    <x v="2"/>
    <n v="71.98"/>
    <x v="1"/>
    <n v="5.57"/>
    <n v="9.9700000000000006"/>
    <n v="3950.9124000000006"/>
    <n v="7071.9204000000009"/>
    <n v="3121.0080000000003"/>
    <n v="0.44132397191574724"/>
    <n v="65.612099999999998"/>
  </r>
  <r>
    <s v="BATCH01931"/>
    <x v="1"/>
    <x v="3"/>
    <x v="1"/>
    <n v="348.81"/>
    <n v="10.28"/>
    <n v="24.6"/>
    <n v="5.3"/>
    <n v="1.5"/>
    <n v="28"/>
    <s v="B"/>
    <n v="1.63"/>
    <x v="0"/>
    <n v="84.96"/>
    <x v="0"/>
    <n v="6.91"/>
    <n v="12.37"/>
    <n v="2410.2771000000002"/>
    <n v="4314.7797"/>
    <n v="1904.5025999999998"/>
    <n v="0.44139046079223926"/>
    <n v="5.6856029999999995"/>
  </r>
  <r>
    <s v="BATCH01932"/>
    <x v="2"/>
    <x v="3"/>
    <x v="0"/>
    <n v="615.94000000000005"/>
    <n v="10.8"/>
    <n v="20.02"/>
    <n v="4.4000000000000004"/>
    <n v="1.9"/>
    <n v="16"/>
    <s v="C"/>
    <n v="2.0499999999999998"/>
    <x v="2"/>
    <n v="58.73"/>
    <x v="1"/>
    <n v="6.49"/>
    <n v="12.83"/>
    <n v="3997.4506000000006"/>
    <n v="7902.5102000000006"/>
    <n v="3905.0596"/>
    <n v="0.49415432579890878"/>
    <n v="12.626769999999999"/>
  </r>
  <r>
    <s v="BATCH01933"/>
    <x v="0"/>
    <x v="1"/>
    <x v="0"/>
    <n v="597.30999999999995"/>
    <n v="9.27"/>
    <n v="34.299999999999997"/>
    <n v="3.1"/>
    <n v="0.6"/>
    <n v="4"/>
    <s v="A"/>
    <n v="3.67"/>
    <x v="0"/>
    <n v="82.12"/>
    <x v="0"/>
    <n v="7.22"/>
    <n v="6.58"/>
    <n v="4312.578199999999"/>
    <n v="3930.2997999999998"/>
    <n v="-382.27839999999924"/>
    <n v="-9.726443768996941E-2"/>
    <n v="21.921276999999996"/>
  </r>
  <r>
    <s v="BATCH01934"/>
    <x v="0"/>
    <x v="3"/>
    <x v="1"/>
    <n v="422.09"/>
    <n v="14.39"/>
    <n v="23.42"/>
    <n v="0.7"/>
    <n v="0.5"/>
    <n v="29"/>
    <s v="A"/>
    <n v="9.19"/>
    <x v="2"/>
    <n v="79.7"/>
    <x v="1"/>
    <n v="3.22"/>
    <n v="9.19"/>
    <n v="1359.1297999999999"/>
    <n v="3879.0070999999994"/>
    <n v="2519.8772999999992"/>
    <n v="0.64961915125136005"/>
    <n v="38.79007099999999"/>
  </r>
  <r>
    <s v="BATCH01935"/>
    <x v="1"/>
    <x v="2"/>
    <x v="1"/>
    <n v="520.32000000000005"/>
    <n v="8.75"/>
    <n v="22.09"/>
    <n v="1.6"/>
    <n v="1.4"/>
    <n v="6"/>
    <s v="B"/>
    <n v="7.87"/>
    <x v="2"/>
    <n v="87.78"/>
    <x v="0"/>
    <n v="3.23"/>
    <n v="9.19"/>
    <n v="1680.6336000000001"/>
    <n v="4781.7408000000005"/>
    <n v="3101.1072000000004"/>
    <n v="0.64853101196953211"/>
    <n v="40.949184000000002"/>
  </r>
  <r>
    <s v="BATCH01936"/>
    <x v="0"/>
    <x v="2"/>
    <x v="1"/>
    <n v="454.24"/>
    <n v="9.34"/>
    <n v="24.75"/>
    <n v="0.5"/>
    <n v="2.4"/>
    <n v="15"/>
    <s v="C"/>
    <n v="3.58"/>
    <x v="1"/>
    <n v="64.87"/>
    <x v="2"/>
    <n v="8.0500000000000007"/>
    <n v="6.04"/>
    <n v="3656.6320000000005"/>
    <n v="2743.6096000000002"/>
    <n v="-913.02240000000029"/>
    <n v="-0.33278145695364247"/>
    <n v="16.261792"/>
  </r>
  <r>
    <s v="BATCH01937"/>
    <x v="3"/>
    <x v="0"/>
    <x v="0"/>
    <n v="518.57000000000005"/>
    <n v="14.45"/>
    <n v="27.6"/>
    <n v="1.2"/>
    <n v="1.4"/>
    <n v="28"/>
    <s v="A"/>
    <n v="1.33"/>
    <x v="1"/>
    <n v="96.66"/>
    <x v="2"/>
    <n v="4.3499999999999996"/>
    <n v="9.43"/>
    <n v="2255.7795000000001"/>
    <n v="4890.1151"/>
    <n v="2634.3355999999999"/>
    <n v="0.5387062566277836"/>
    <n v="6.8969810000000003"/>
  </r>
  <r>
    <s v="BATCH01938"/>
    <x v="3"/>
    <x v="3"/>
    <x v="1"/>
    <n v="650.91"/>
    <n v="11.4"/>
    <n v="29.52"/>
    <n v="1.3"/>
    <n v="0.3"/>
    <n v="22"/>
    <s v="A"/>
    <n v="6.36"/>
    <x v="0"/>
    <n v="98.07"/>
    <x v="0"/>
    <n v="7.57"/>
    <n v="13.07"/>
    <n v="4927.3886999999995"/>
    <n v="8507.3937000000005"/>
    <n v="3580.005000000001"/>
    <n v="0.42081101759755174"/>
    <n v="41.397875999999997"/>
  </r>
  <r>
    <s v="BATCH01939"/>
    <x v="0"/>
    <x v="0"/>
    <x v="1"/>
    <n v="560.55999999999995"/>
    <n v="15.08"/>
    <n v="20.89"/>
    <n v="3.6"/>
    <n v="2.2000000000000002"/>
    <n v="8"/>
    <s v="C"/>
    <n v="2.94"/>
    <x v="0"/>
    <n v="93.41"/>
    <x v="0"/>
    <n v="6.83"/>
    <n v="8"/>
    <n v="3828.6247999999996"/>
    <n v="4484.4799999999996"/>
    <n v="655.85519999999997"/>
    <n v="0.14625000000000002"/>
    <n v="16.480463999999998"/>
  </r>
  <r>
    <s v="BATCH01940"/>
    <x v="0"/>
    <x v="3"/>
    <x v="1"/>
    <n v="550.86"/>
    <n v="13.57"/>
    <n v="39.409999999999997"/>
    <n v="4.5"/>
    <n v="0.5"/>
    <n v="1"/>
    <s v="B"/>
    <n v="5.55"/>
    <x v="1"/>
    <n v="78.599999999999994"/>
    <x v="2"/>
    <n v="9.8699999999999992"/>
    <n v="9.33"/>
    <n v="5436.9881999999998"/>
    <n v="5139.5237999999999"/>
    <n v="-297.46439999999984"/>
    <n v="-5.7877813504823121E-2"/>
    <n v="30.57273"/>
  </r>
  <r>
    <s v="BATCH01941"/>
    <x v="1"/>
    <x v="2"/>
    <x v="0"/>
    <n v="456.97"/>
    <n v="10.56"/>
    <n v="34.32"/>
    <n v="1.1000000000000001"/>
    <n v="0.9"/>
    <n v="13"/>
    <s v="C"/>
    <n v="9.4499999999999993"/>
    <x v="0"/>
    <n v="71.010000000000005"/>
    <x v="0"/>
    <n v="8.85"/>
    <n v="14.61"/>
    <n v="4044.1845000000003"/>
    <n v="6676.3316999999997"/>
    <n v="2632.1471999999994"/>
    <n v="0.39425051334702249"/>
    <n v="43.183664999999998"/>
  </r>
  <r>
    <s v="BATCH01942"/>
    <x v="3"/>
    <x v="2"/>
    <x v="1"/>
    <n v="351.59"/>
    <n v="14.51"/>
    <n v="26.46"/>
    <n v="0"/>
    <n v="1.8"/>
    <n v="27"/>
    <s v="B"/>
    <n v="5.94"/>
    <x v="0"/>
    <n v="52.9"/>
    <x v="0"/>
    <n v="5.89"/>
    <n v="5.32"/>
    <n v="2070.8650999999995"/>
    <n v="1870.4587999999999"/>
    <n v="-200.40629999999965"/>
    <n v="-0.10714285714285696"/>
    <n v="20.884445999999997"/>
  </r>
  <r>
    <s v="BATCH01943"/>
    <x v="3"/>
    <x v="2"/>
    <x v="0"/>
    <n v="479.15"/>
    <n v="9.16"/>
    <n v="26.37"/>
    <n v="4"/>
    <n v="0.2"/>
    <n v="18"/>
    <s v="A"/>
    <n v="9.2799999999999994"/>
    <x v="1"/>
    <n v="97.36"/>
    <x v="2"/>
    <n v="7.31"/>
    <n v="10.92"/>
    <n v="3502.5864999999994"/>
    <n v="5232.3179999999993"/>
    <n v="1729.7314999999999"/>
    <n v="0.33058608058608063"/>
    <n v="44.465119999999999"/>
  </r>
  <r>
    <s v="BATCH01944"/>
    <x v="2"/>
    <x v="3"/>
    <x v="0"/>
    <n v="620.66"/>
    <n v="13.36"/>
    <n v="28.97"/>
    <n v="0.4"/>
    <n v="1.5"/>
    <n v="18"/>
    <s v="C"/>
    <n v="4.2300000000000004"/>
    <x v="2"/>
    <n v="97.59"/>
    <x v="0"/>
    <n v="3.82"/>
    <n v="12.43"/>
    <n v="2370.9211999999998"/>
    <n v="7714.8037999999997"/>
    <n v="5343.8825999999999"/>
    <n v="0.69267900241351565"/>
    <n v="26.253918000000002"/>
  </r>
  <r>
    <s v="BATCH01945"/>
    <x v="1"/>
    <x v="2"/>
    <x v="0"/>
    <n v="347.28"/>
    <n v="12.37"/>
    <n v="32.520000000000003"/>
    <n v="1.9"/>
    <n v="0.9"/>
    <n v="13"/>
    <s v="C"/>
    <n v="6.52"/>
    <x v="0"/>
    <n v="50.93"/>
    <x v="1"/>
    <n v="5.7"/>
    <n v="12.61"/>
    <n v="1979.4959999999999"/>
    <n v="4379.2007999999996"/>
    <n v="2399.7047999999995"/>
    <n v="0.54797779540047575"/>
    <n v="22.642655999999999"/>
  </r>
  <r>
    <s v="BATCH01946"/>
    <x v="2"/>
    <x v="3"/>
    <x v="0"/>
    <n v="394.49"/>
    <n v="10.68"/>
    <n v="22.93"/>
    <n v="0.1"/>
    <n v="2.2000000000000002"/>
    <n v="22"/>
    <s v="A"/>
    <n v="8.99"/>
    <x v="1"/>
    <n v="67.84"/>
    <x v="2"/>
    <n v="8.14"/>
    <n v="12.16"/>
    <n v="3211.1486000000004"/>
    <n v="4796.9984000000004"/>
    <n v="1585.8498"/>
    <n v="0.33059210526315785"/>
    <n v="35.464651000000003"/>
  </r>
  <r>
    <s v="BATCH01947"/>
    <x v="3"/>
    <x v="0"/>
    <x v="0"/>
    <n v="512.63"/>
    <n v="14.04"/>
    <n v="23.78"/>
    <n v="1"/>
    <n v="0.2"/>
    <n v="14"/>
    <s v="A"/>
    <n v="6.09"/>
    <x v="0"/>
    <n v="94"/>
    <x v="1"/>
    <n v="7.36"/>
    <n v="12.26"/>
    <n v="3772.9567999999999"/>
    <n v="6284.8437999999996"/>
    <n v="2511.8869999999997"/>
    <n v="0.39967373572593801"/>
    <n v="31.219166999999999"/>
  </r>
  <r>
    <s v="BATCH01948"/>
    <x v="1"/>
    <x v="3"/>
    <x v="0"/>
    <n v="401.53"/>
    <n v="16.71"/>
    <n v="37.19"/>
    <n v="8.5"/>
    <n v="0.5"/>
    <n v="11"/>
    <s v="B"/>
    <n v="6.34"/>
    <x v="0"/>
    <n v="54.04"/>
    <x v="0"/>
    <n v="6.39"/>
    <n v="5.59"/>
    <n v="2565.7766999999999"/>
    <n v="2244.5526999999997"/>
    <n v="-321.22400000000016"/>
    <n v="-0.14311270125223621"/>
    <n v="25.457001999999999"/>
  </r>
  <r>
    <s v="BATCH01949"/>
    <x v="0"/>
    <x v="0"/>
    <x v="1"/>
    <n v="420.75"/>
    <n v="17.989999999999998"/>
    <n v="25.13"/>
    <n v="0.2"/>
    <n v="1.8"/>
    <n v="7"/>
    <s v="A"/>
    <n v="7.3"/>
    <x v="1"/>
    <n v="59.83"/>
    <x v="0"/>
    <n v="4.24"/>
    <n v="10.34"/>
    <n v="1783.98"/>
    <n v="4350.5550000000003"/>
    <n v="2566.5750000000003"/>
    <n v="0.58994197292069639"/>
    <n v="30.714749999999999"/>
  </r>
  <r>
    <s v="BATCH01950"/>
    <x v="1"/>
    <x v="3"/>
    <x v="1"/>
    <n v="457.64"/>
    <n v="14.08"/>
    <n v="27.6"/>
    <n v="1.1000000000000001"/>
    <n v="0"/>
    <n v="18"/>
    <s v="A"/>
    <n v="8.8800000000000008"/>
    <x v="1"/>
    <n v="98.93"/>
    <x v="1"/>
    <n v="8.6199999999999992"/>
    <n v="12.83"/>
    <n v="3944.8567999999996"/>
    <n v="5871.5212000000001"/>
    <n v="1926.6644000000006"/>
    <n v="0.32813717848791901"/>
    <n v="40.638432000000002"/>
  </r>
  <r>
    <s v="BATCH01951"/>
    <x v="0"/>
    <x v="0"/>
    <x v="1"/>
    <n v="363.44"/>
    <n v="12.05"/>
    <n v="37.43"/>
    <n v="0.7"/>
    <n v="0.1"/>
    <n v="21"/>
    <s v="C"/>
    <n v="1.34"/>
    <x v="0"/>
    <n v="92.36"/>
    <x v="0"/>
    <n v="4.91"/>
    <n v="5.94"/>
    <n v="1784.4904000000001"/>
    <n v="2158.8335999999999"/>
    <n v="374.3431999999998"/>
    <n v="0.17340067340067331"/>
    <n v="4.8700960000000002"/>
  </r>
  <r>
    <s v="BATCH01952"/>
    <x v="0"/>
    <x v="2"/>
    <x v="0"/>
    <n v="402.59"/>
    <n v="10.25"/>
    <n v="33.26"/>
    <n v="4.7"/>
    <n v="4.7"/>
    <n v="22"/>
    <s v="B"/>
    <n v="3.7"/>
    <x v="0"/>
    <n v="95.6"/>
    <x v="0"/>
    <n v="8.74"/>
    <n v="5.12"/>
    <n v="3518.6365999999998"/>
    <n v="2061.2608"/>
    <n v="-1457.3757999999998"/>
    <n v="-0.70703124999999989"/>
    <n v="14.89583"/>
  </r>
  <r>
    <s v="BATCH01953"/>
    <x v="1"/>
    <x v="0"/>
    <x v="1"/>
    <n v="570.34"/>
    <n v="10.57"/>
    <n v="26.83"/>
    <n v="4.0999999999999996"/>
    <n v="0.3"/>
    <n v="4"/>
    <s v="A"/>
    <n v="4.28"/>
    <x v="2"/>
    <n v="57.11"/>
    <x v="1"/>
    <n v="7.28"/>
    <n v="13.15"/>
    <n v="4152.0752000000002"/>
    <n v="7499.9710000000005"/>
    <n v="3347.8958000000002"/>
    <n v="0.44638783269961979"/>
    <n v="24.410552000000003"/>
  </r>
  <r>
    <s v="BATCH01954"/>
    <x v="0"/>
    <x v="2"/>
    <x v="0"/>
    <n v="369.26"/>
    <n v="12.79"/>
    <n v="33.67"/>
    <n v="0.5"/>
    <n v="3.7"/>
    <n v="17"/>
    <s v="C"/>
    <n v="9.14"/>
    <x v="2"/>
    <n v="60.57"/>
    <x v="0"/>
    <n v="5.61"/>
    <n v="12.12"/>
    <n v="2071.5486000000001"/>
    <n v="4475.4312"/>
    <n v="2403.8825999999999"/>
    <n v="0.53712871287128716"/>
    <n v="33.750363999999998"/>
  </r>
  <r>
    <s v="BATCH01955"/>
    <x v="2"/>
    <x v="2"/>
    <x v="0"/>
    <n v="340.21"/>
    <n v="11.67"/>
    <n v="20.39"/>
    <n v="0.2"/>
    <n v="0.2"/>
    <n v="19"/>
    <s v="A"/>
    <n v="9.58"/>
    <x v="1"/>
    <n v="80.27"/>
    <x v="2"/>
    <n v="3.28"/>
    <n v="9.1199999999999992"/>
    <n v="1115.8887999999999"/>
    <n v="3102.7151999999996"/>
    <n v="1986.8263999999997"/>
    <n v="0.64035087719298245"/>
    <n v="32.592117999999999"/>
  </r>
  <r>
    <s v="BATCH01956"/>
    <x v="3"/>
    <x v="0"/>
    <x v="0"/>
    <n v="437"/>
    <n v="17.14"/>
    <n v="34.71"/>
    <n v="2"/>
    <n v="0.4"/>
    <n v="14"/>
    <s v="A"/>
    <n v="1.64"/>
    <x v="0"/>
    <n v="75.09"/>
    <x v="1"/>
    <n v="4.63"/>
    <n v="14.4"/>
    <n v="2023.31"/>
    <n v="6292.8"/>
    <n v="4269.49"/>
    <n v="0.67847222222222214"/>
    <n v="7.1667999999999994"/>
  </r>
  <r>
    <s v="BATCH01957"/>
    <x v="0"/>
    <x v="3"/>
    <x v="1"/>
    <n v="573.20000000000005"/>
    <n v="11.68"/>
    <n v="29.74"/>
    <n v="0.8"/>
    <n v="1.4"/>
    <n v="10"/>
    <s v="A"/>
    <n v="1.63"/>
    <x v="1"/>
    <n v="64.930000000000007"/>
    <x v="1"/>
    <n v="9.2200000000000006"/>
    <n v="12.67"/>
    <n v="5284.9040000000005"/>
    <n v="7262.4440000000004"/>
    <n v="1977.54"/>
    <n v="0.27229676400947117"/>
    <n v="9.343160000000001"/>
  </r>
  <r>
    <s v="BATCH01958"/>
    <x v="2"/>
    <x v="3"/>
    <x v="0"/>
    <n v="480.31"/>
    <n v="11.73"/>
    <n v="36.26"/>
    <n v="2.2000000000000002"/>
    <n v="1.1000000000000001"/>
    <n v="25"/>
    <s v="A"/>
    <n v="9.3800000000000008"/>
    <x v="1"/>
    <n v="94.19"/>
    <x v="1"/>
    <n v="8.73"/>
    <n v="14.68"/>
    <n v="4193.1063000000004"/>
    <n v="7050.9507999999996"/>
    <n v="2857.8444999999992"/>
    <n v="0.40531335149863751"/>
    <n v="45.053078000000006"/>
  </r>
  <r>
    <s v="BATCH01959"/>
    <x v="0"/>
    <x v="1"/>
    <x v="0"/>
    <n v="453.54"/>
    <n v="11.84"/>
    <n v="39.090000000000003"/>
    <n v="0.1"/>
    <n v="0.9"/>
    <n v="29"/>
    <s v="B"/>
    <n v="3.31"/>
    <x v="0"/>
    <n v="95.07"/>
    <x v="1"/>
    <n v="7.02"/>
    <n v="14.29"/>
    <n v="3183.8508000000002"/>
    <n v="6481.0865999999996"/>
    <n v="3297.2357999999995"/>
    <n v="0.50874737578726381"/>
    <n v="15.012174"/>
  </r>
  <r>
    <s v="BATCH01960"/>
    <x v="3"/>
    <x v="3"/>
    <x v="1"/>
    <n v="504.44"/>
    <n v="16.37"/>
    <n v="38.520000000000003"/>
    <n v="0.3"/>
    <n v="0.8"/>
    <n v="6"/>
    <s v="C"/>
    <n v="2.8"/>
    <x v="2"/>
    <n v="64.58"/>
    <x v="2"/>
    <n v="6.26"/>
    <n v="9.81"/>
    <n v="3157.7943999999998"/>
    <n v="4948.5564000000004"/>
    <n v="1790.7620000000006"/>
    <n v="0.36187563710499498"/>
    <n v="14.124320000000001"/>
  </r>
  <r>
    <s v="BATCH01961"/>
    <x v="2"/>
    <x v="1"/>
    <x v="1"/>
    <n v="325.43"/>
    <n v="14.51"/>
    <n v="38.19"/>
    <n v="2.2999999999999998"/>
    <n v="1.9"/>
    <n v="18"/>
    <s v="C"/>
    <n v="0.84"/>
    <x v="1"/>
    <n v="57.79"/>
    <x v="1"/>
    <n v="7.53"/>
    <n v="12.55"/>
    <n v="2450.4879000000001"/>
    <n v="4084.1465000000003"/>
    <n v="1633.6586000000002"/>
    <n v="0.4"/>
    <n v="2.7336119999999999"/>
  </r>
  <r>
    <s v="BATCH01962"/>
    <x v="3"/>
    <x v="3"/>
    <x v="0"/>
    <n v="549.47"/>
    <n v="14.14"/>
    <n v="30.24"/>
    <n v="0.5"/>
    <n v="0.3"/>
    <n v="25"/>
    <s v="A"/>
    <n v="3.12"/>
    <x v="1"/>
    <n v="57.45"/>
    <x v="1"/>
    <n v="6.26"/>
    <n v="11.69"/>
    <n v="3439.6822000000002"/>
    <n v="6423.3042999999998"/>
    <n v="2983.6220999999996"/>
    <n v="0.46449957228400335"/>
    <n v="17.143464000000002"/>
  </r>
  <r>
    <s v="BATCH01963"/>
    <x v="3"/>
    <x v="3"/>
    <x v="0"/>
    <n v="538.34"/>
    <n v="11.34"/>
    <n v="27.2"/>
    <n v="3.9"/>
    <n v="0.6"/>
    <n v="4"/>
    <s v="C"/>
    <n v="7.09"/>
    <x v="0"/>
    <n v="74.22"/>
    <x v="0"/>
    <n v="7.51"/>
    <n v="13.11"/>
    <n v="4042.9334000000003"/>
    <n v="7057.6374000000005"/>
    <n v="3014.7040000000002"/>
    <n v="0.42715484363081618"/>
    <n v="38.168306000000001"/>
  </r>
  <r>
    <s v="BATCH01964"/>
    <x v="2"/>
    <x v="2"/>
    <x v="1"/>
    <n v="459.07"/>
    <n v="16.18"/>
    <n v="29.3"/>
    <n v="0.1"/>
    <n v="0.2"/>
    <n v="11"/>
    <s v="A"/>
    <n v="4.55"/>
    <x v="2"/>
    <n v="56.65"/>
    <x v="1"/>
    <n v="5.15"/>
    <n v="12.88"/>
    <n v="2364.2105000000001"/>
    <n v="5912.8216000000002"/>
    <n v="3548.6111000000001"/>
    <n v="0.60015527950310554"/>
    <n v="20.887684999999998"/>
  </r>
  <r>
    <s v="BATCH01965"/>
    <x v="2"/>
    <x v="1"/>
    <x v="1"/>
    <n v="600.59"/>
    <n v="8.3800000000000008"/>
    <n v="33.799999999999997"/>
    <n v="0.5"/>
    <n v="0.9"/>
    <n v="13"/>
    <s v="C"/>
    <n v="5.41"/>
    <x v="2"/>
    <n v="73.67"/>
    <x v="0"/>
    <n v="8.8699999999999992"/>
    <n v="6.53"/>
    <n v="5327.2332999999999"/>
    <n v="3921.8527000000004"/>
    <n v="-1405.3805999999995"/>
    <n v="-0.35834609494640107"/>
    <n v="32.491919000000003"/>
  </r>
  <r>
    <s v="BATCH01966"/>
    <x v="2"/>
    <x v="3"/>
    <x v="1"/>
    <n v="387.25"/>
    <n v="16.71"/>
    <n v="37.68"/>
    <n v="13.1"/>
    <n v="0.3"/>
    <n v="8"/>
    <s v="B"/>
    <n v="9.2100000000000009"/>
    <x v="0"/>
    <n v="73.099999999999994"/>
    <x v="1"/>
    <n v="7.91"/>
    <n v="7.34"/>
    <n v="3063.1475"/>
    <n v="2842.415"/>
    <n v="-220.73250000000007"/>
    <n v="-7.7656675749318824E-2"/>
    <n v="35.665725000000002"/>
  </r>
  <r>
    <s v="BATCH01967"/>
    <x v="1"/>
    <x v="1"/>
    <x v="0"/>
    <n v="612.79"/>
    <n v="13.13"/>
    <n v="24.14"/>
    <n v="1.1000000000000001"/>
    <n v="0.4"/>
    <n v="10"/>
    <s v="B"/>
    <n v="1.59"/>
    <x v="1"/>
    <n v="94.21"/>
    <x v="1"/>
    <n v="5.31"/>
    <n v="7.66"/>
    <n v="3253.9148999999998"/>
    <n v="4693.9713999999994"/>
    <n v="1440.0564999999997"/>
    <n v="0.30678851174934724"/>
    <n v="9.7433610000000002"/>
  </r>
  <r>
    <s v="BATCH01968"/>
    <x v="2"/>
    <x v="2"/>
    <x v="1"/>
    <n v="515.45000000000005"/>
    <n v="11.98"/>
    <n v="38.36"/>
    <n v="2.4"/>
    <n v="0.6"/>
    <n v="23"/>
    <s v="C"/>
    <n v="1.18"/>
    <x v="0"/>
    <n v="64.81"/>
    <x v="2"/>
    <n v="8.81"/>
    <n v="13.18"/>
    <n v="4541.1145000000006"/>
    <n v="6793.6310000000003"/>
    <n v="2252.5164999999997"/>
    <n v="0.33156297420333836"/>
    <n v="6.0823099999999997"/>
  </r>
  <r>
    <s v="BATCH01969"/>
    <x v="2"/>
    <x v="2"/>
    <x v="1"/>
    <n v="466.34"/>
    <n v="12.97"/>
    <n v="36.299999999999997"/>
    <n v="0.4"/>
    <n v="0"/>
    <n v="28"/>
    <s v="A"/>
    <n v="8.59"/>
    <x v="0"/>
    <n v="78.03"/>
    <x v="0"/>
    <n v="6.41"/>
    <n v="13.11"/>
    <n v="2989.2393999999999"/>
    <n v="6113.7173999999995"/>
    <n v="3124.4779999999996"/>
    <n v="0.51106025934401222"/>
    <n v="40.058605999999997"/>
  </r>
  <r>
    <s v="BATCH01970"/>
    <x v="2"/>
    <x v="1"/>
    <x v="1"/>
    <n v="498.01"/>
    <n v="14.67"/>
    <n v="39.58"/>
    <n v="1.9"/>
    <n v="0.1"/>
    <n v="11"/>
    <s v="A"/>
    <n v="7.86"/>
    <x v="2"/>
    <n v="87.17"/>
    <x v="2"/>
    <n v="4.22"/>
    <n v="9.9499999999999993"/>
    <n v="2101.6021999999998"/>
    <n v="4955.1994999999997"/>
    <n v="2853.5972999999999"/>
    <n v="0.57587939698492463"/>
    <n v="39.143585999999999"/>
  </r>
  <r>
    <s v="BATCH01971"/>
    <x v="2"/>
    <x v="2"/>
    <x v="0"/>
    <n v="489.27"/>
    <n v="8.1300000000000008"/>
    <n v="37.61"/>
    <n v="2.6"/>
    <n v="1.2"/>
    <n v="3"/>
    <s v="A"/>
    <n v="3.01"/>
    <x v="1"/>
    <n v="79.8"/>
    <x v="0"/>
    <n v="3.54"/>
    <n v="10.81"/>
    <n v="1732.0157999999999"/>
    <n v="5289.0087000000003"/>
    <n v="3556.9929000000002"/>
    <n v="0.67252543940795562"/>
    <n v="14.727026999999998"/>
  </r>
  <r>
    <s v="BATCH01972"/>
    <x v="0"/>
    <x v="0"/>
    <x v="1"/>
    <n v="622.03"/>
    <n v="16.72"/>
    <n v="25.6"/>
    <n v="0.8"/>
    <n v="0.6"/>
    <n v="15"/>
    <s v="A"/>
    <n v="3.58"/>
    <x v="1"/>
    <n v="97.7"/>
    <x v="1"/>
    <n v="7.9"/>
    <n v="13.27"/>
    <n v="4914.0370000000003"/>
    <n v="8254.338099999999"/>
    <n v="3340.3010999999988"/>
    <n v="0.40467219291635259"/>
    <n v="22.268674000000001"/>
  </r>
  <r>
    <s v="BATCH01973"/>
    <x v="1"/>
    <x v="0"/>
    <x v="1"/>
    <n v="392.33"/>
    <n v="12.47"/>
    <n v="22.12"/>
    <n v="3.5"/>
    <n v="2"/>
    <n v="8"/>
    <s v="B"/>
    <n v="3.45"/>
    <x v="2"/>
    <n v="80.11"/>
    <x v="2"/>
    <n v="9.06"/>
    <n v="8.1300000000000008"/>
    <n v="3554.5098000000003"/>
    <n v="3189.6429000000003"/>
    <n v="-364.86689999999999"/>
    <n v="-0.11439114391143911"/>
    <n v="13.535385000000002"/>
  </r>
  <r>
    <s v="BATCH01974"/>
    <x v="3"/>
    <x v="2"/>
    <x v="1"/>
    <n v="423.75"/>
    <n v="11.43"/>
    <n v="22.24"/>
    <n v="1.8"/>
    <n v="1.2"/>
    <n v="20"/>
    <s v="A"/>
    <n v="6.65"/>
    <x v="1"/>
    <n v="95.09"/>
    <x v="0"/>
    <n v="8.65"/>
    <n v="5.5"/>
    <n v="3665.4375"/>
    <n v="2330.625"/>
    <n v="-1334.8125"/>
    <n v="-0.57272727272727275"/>
    <n v="28.179375"/>
  </r>
  <r>
    <s v="BATCH01975"/>
    <x v="2"/>
    <x v="0"/>
    <x v="1"/>
    <n v="603.63"/>
    <n v="9.3800000000000008"/>
    <n v="25.82"/>
    <n v="1"/>
    <n v="0"/>
    <n v="18"/>
    <s v="A"/>
    <n v="1.08"/>
    <x v="1"/>
    <n v="62.25"/>
    <x v="0"/>
    <n v="7.59"/>
    <n v="9.83"/>
    <n v="4581.5517"/>
    <n v="5933.6828999999998"/>
    <n v="1352.1311999999998"/>
    <n v="0.22787385554425227"/>
    <n v="6.5192040000000011"/>
  </r>
  <r>
    <s v="BATCH01976"/>
    <x v="0"/>
    <x v="3"/>
    <x v="1"/>
    <n v="440.45"/>
    <n v="12.39"/>
    <n v="32.28"/>
    <n v="1.6"/>
    <n v="1"/>
    <n v="27"/>
    <s v="A"/>
    <n v="5.15"/>
    <x v="0"/>
    <n v="78.040000000000006"/>
    <x v="2"/>
    <n v="3.99"/>
    <n v="14.14"/>
    <n v="1757.3955000000001"/>
    <n v="6227.9629999999997"/>
    <n v="4470.5674999999992"/>
    <n v="0.71782178217821768"/>
    <n v="22.683175000000002"/>
  </r>
  <r>
    <s v="BATCH01977"/>
    <x v="0"/>
    <x v="1"/>
    <x v="0"/>
    <n v="590.04999999999995"/>
    <n v="12.96"/>
    <n v="36.090000000000003"/>
    <n v="1.7"/>
    <n v="0.1"/>
    <n v="21"/>
    <s v="A"/>
    <n v="1.77"/>
    <x v="0"/>
    <n v="77.17"/>
    <x v="0"/>
    <n v="3.66"/>
    <n v="12.9"/>
    <n v="2159.5830000000001"/>
    <n v="7611.6449999999995"/>
    <n v="5452.0619999999999"/>
    <n v="0.71627906976744193"/>
    <n v="10.443885"/>
  </r>
  <r>
    <s v="BATCH01978"/>
    <x v="0"/>
    <x v="3"/>
    <x v="0"/>
    <n v="669.94"/>
    <n v="12.04"/>
    <n v="37.99"/>
    <n v="0.4"/>
    <n v="1.5"/>
    <n v="1"/>
    <s v="B"/>
    <n v="8.2899999999999991"/>
    <x v="0"/>
    <n v="99.47"/>
    <x v="1"/>
    <n v="5.42"/>
    <n v="8.67"/>
    <n v="3631.0748000000003"/>
    <n v="5808.3798000000006"/>
    <n v="2177.3050000000003"/>
    <n v="0.37485582468281431"/>
    <n v="55.538026000000002"/>
  </r>
  <r>
    <s v="BATCH01979"/>
    <x v="3"/>
    <x v="1"/>
    <x v="0"/>
    <n v="459.82"/>
    <n v="14.79"/>
    <n v="32.479999999999997"/>
    <n v="1"/>
    <n v="4.8"/>
    <n v="29"/>
    <s v="C"/>
    <n v="4.12"/>
    <x v="1"/>
    <n v="60.23"/>
    <x v="0"/>
    <n v="8.98"/>
    <n v="5.65"/>
    <n v="4129.1836000000003"/>
    <n v="2597.9830000000002"/>
    <n v="-1531.2006000000001"/>
    <n v="-0.58938053097345133"/>
    <n v="18.944583999999999"/>
  </r>
  <r>
    <s v="BATCH01980"/>
    <x v="2"/>
    <x v="2"/>
    <x v="1"/>
    <n v="568.14"/>
    <n v="12.21"/>
    <n v="20.11"/>
    <n v="0.8"/>
    <n v="0.8"/>
    <n v="24"/>
    <s v="C"/>
    <n v="5.51"/>
    <x v="1"/>
    <n v="57.05"/>
    <x v="1"/>
    <n v="9.73"/>
    <n v="11.37"/>
    <n v="5528.0021999999999"/>
    <n v="6459.7517999999991"/>
    <n v="931.74959999999919"/>
    <n v="0.14423922603342118"/>
    <n v="31.304513999999998"/>
  </r>
  <r>
    <s v="BATCH01981"/>
    <x v="1"/>
    <x v="3"/>
    <x v="0"/>
    <n v="384.63"/>
    <n v="17.61"/>
    <n v="23.73"/>
    <n v="1"/>
    <n v="1.1000000000000001"/>
    <n v="8"/>
    <s v="A"/>
    <n v="0.78"/>
    <x v="1"/>
    <n v="80.58"/>
    <x v="0"/>
    <n v="4.6900000000000004"/>
    <n v="13.34"/>
    <n v="1803.9147"/>
    <n v="5130.9641999999994"/>
    <n v="3327.0494999999992"/>
    <n v="0.64842578710644672"/>
    <n v="3.0001139999999999"/>
  </r>
  <r>
    <s v="BATCH01982"/>
    <x v="1"/>
    <x v="2"/>
    <x v="0"/>
    <n v="575.47"/>
    <n v="13.99"/>
    <n v="21.99"/>
    <n v="2.9"/>
    <n v="0.3"/>
    <n v="3"/>
    <s v="A"/>
    <n v="1.05"/>
    <x v="1"/>
    <n v="61.18"/>
    <x v="2"/>
    <n v="8.33"/>
    <n v="11.65"/>
    <n v="4793.6651000000002"/>
    <n v="6704.2255000000005"/>
    <n v="1910.5604000000003"/>
    <n v="0.28497854077253221"/>
    <n v="6.0424350000000002"/>
  </r>
  <r>
    <s v="BATCH01983"/>
    <x v="0"/>
    <x v="2"/>
    <x v="0"/>
    <n v="519.94000000000005"/>
    <n v="16.07"/>
    <n v="27.27"/>
    <n v="1.3"/>
    <n v="0.6"/>
    <n v="1"/>
    <s v="C"/>
    <n v="6.91"/>
    <x v="2"/>
    <n v="81.96"/>
    <x v="1"/>
    <n v="7.02"/>
    <n v="9.25"/>
    <n v="3649.9788000000003"/>
    <n v="4809.4450000000006"/>
    <n v="1159.4662000000003"/>
    <n v="0.24108108108108112"/>
    <n v="35.927854000000004"/>
  </r>
  <r>
    <s v="BATCH01984"/>
    <x v="3"/>
    <x v="1"/>
    <x v="1"/>
    <n v="547.29999999999995"/>
    <n v="9.09"/>
    <n v="30.03"/>
    <n v="5.6"/>
    <n v="1.9"/>
    <n v="20"/>
    <s v="B"/>
    <n v="7.78"/>
    <x v="2"/>
    <n v="98.62"/>
    <x v="0"/>
    <n v="3.22"/>
    <n v="6.23"/>
    <n v="1762.306"/>
    <n v="3409.6790000000001"/>
    <n v="1647.373"/>
    <n v="0.48314606741573035"/>
    <n v="42.579939999999993"/>
  </r>
  <r>
    <s v="BATCH01985"/>
    <x v="3"/>
    <x v="1"/>
    <x v="1"/>
    <n v="435.44"/>
    <n v="11.97"/>
    <n v="20.87"/>
    <n v="0.7"/>
    <n v="0.2"/>
    <n v="25"/>
    <s v="B"/>
    <n v="7.25"/>
    <x v="1"/>
    <n v="97.33"/>
    <x v="1"/>
    <n v="6.8"/>
    <n v="14.11"/>
    <n v="2960.9919999999997"/>
    <n v="6144.0583999999999"/>
    <n v="3183.0664000000002"/>
    <n v="0.51807228915662651"/>
    <n v="31.569400000000002"/>
  </r>
  <r>
    <s v="BATCH01986"/>
    <x v="3"/>
    <x v="1"/>
    <x v="0"/>
    <n v="333.89"/>
    <n v="11.37"/>
    <n v="26.97"/>
    <n v="1.1000000000000001"/>
    <n v="0.3"/>
    <n v="16"/>
    <s v="B"/>
    <n v="7.5"/>
    <x v="0"/>
    <n v="61.56"/>
    <x v="2"/>
    <n v="8.64"/>
    <n v="7.76"/>
    <n v="2884.8096"/>
    <n v="2590.9863999999998"/>
    <n v="-293.82320000000027"/>
    <n v="-0.11340206185567021"/>
    <n v="25.041749999999997"/>
  </r>
  <r>
    <s v="BATCH01987"/>
    <x v="1"/>
    <x v="3"/>
    <x v="0"/>
    <n v="550.33000000000004"/>
    <n v="13.69"/>
    <n v="23.58"/>
    <n v="3.1"/>
    <n v="0.6"/>
    <n v="9"/>
    <s v="B"/>
    <n v="1.49"/>
    <x v="0"/>
    <n v="58.54"/>
    <x v="0"/>
    <n v="4.93"/>
    <n v="7.24"/>
    <n v="2713.1269000000002"/>
    <n v="3984.3892000000005"/>
    <n v="1271.2623000000003"/>
    <n v="0.31906077348066303"/>
    <n v="8.199917000000001"/>
  </r>
  <r>
    <s v="BATCH01988"/>
    <x v="0"/>
    <x v="0"/>
    <x v="1"/>
    <n v="293.66000000000003"/>
    <n v="16.61"/>
    <n v="32.94"/>
    <n v="1.6"/>
    <n v="1.2"/>
    <n v="17"/>
    <s v="B"/>
    <n v="7.09"/>
    <x v="2"/>
    <n v="78.040000000000006"/>
    <x v="0"/>
    <n v="9.2799999999999994"/>
    <n v="13.16"/>
    <n v="2725.1648"/>
    <n v="3864.5656000000004"/>
    <n v="1139.4008000000003"/>
    <n v="0.29483282674772043"/>
    <n v="20.820494000000004"/>
  </r>
  <r>
    <s v="BATCH01989"/>
    <x v="2"/>
    <x v="1"/>
    <x v="1"/>
    <n v="468.26"/>
    <n v="8.7799999999999994"/>
    <n v="29.29"/>
    <n v="1.6"/>
    <n v="0.5"/>
    <n v="27"/>
    <s v="B"/>
    <n v="2.23"/>
    <x v="2"/>
    <n v="79.34"/>
    <x v="1"/>
    <n v="4.6500000000000004"/>
    <n v="14.81"/>
    <n v="2177.4090000000001"/>
    <n v="6934.9305999999997"/>
    <n v="4757.5216"/>
    <n v="0.68602295746117492"/>
    <n v="10.442198000000001"/>
  </r>
  <r>
    <s v="BATCH01990"/>
    <x v="1"/>
    <x v="1"/>
    <x v="0"/>
    <n v="594.12"/>
    <n v="8.73"/>
    <n v="29.91"/>
    <n v="0.1"/>
    <n v="2.6"/>
    <n v="16"/>
    <s v="B"/>
    <n v="1.43"/>
    <x v="1"/>
    <n v="83.11"/>
    <x v="2"/>
    <n v="3.54"/>
    <n v="11.6"/>
    <n v="2103.1848"/>
    <n v="6891.7919999999995"/>
    <n v="4788.6071999999995"/>
    <n v="0.69482758620689655"/>
    <n v="8.4959159999999994"/>
  </r>
  <r>
    <s v="BATCH01991"/>
    <x v="0"/>
    <x v="3"/>
    <x v="1"/>
    <n v="519.19000000000005"/>
    <n v="16.5"/>
    <n v="28.55"/>
    <n v="1"/>
    <n v="0.1"/>
    <n v="23"/>
    <s v="B"/>
    <n v="7.69"/>
    <x v="1"/>
    <n v="87.07"/>
    <x v="2"/>
    <n v="4.12"/>
    <n v="11.25"/>
    <n v="2139.0628000000002"/>
    <n v="5840.8875000000007"/>
    <n v="3701.8247000000006"/>
    <n v="0.63377777777777777"/>
    <n v="39.925711000000007"/>
  </r>
  <r>
    <s v="BATCH01992"/>
    <x v="0"/>
    <x v="1"/>
    <x v="0"/>
    <n v="694.83"/>
    <n v="10.130000000000001"/>
    <n v="39.119999999999997"/>
    <n v="0.6"/>
    <n v="0.5"/>
    <n v="6"/>
    <s v="B"/>
    <n v="8.9499999999999993"/>
    <x v="1"/>
    <n v="80.05"/>
    <x v="0"/>
    <n v="8.86"/>
    <n v="8.19"/>
    <n v="6156.1938"/>
    <n v="5690.6576999999997"/>
    <n v="-465.53610000000026"/>
    <n v="-8.180708180708185E-2"/>
    <n v="62.187285000000003"/>
  </r>
  <r>
    <s v="BATCH01993"/>
    <x v="2"/>
    <x v="3"/>
    <x v="1"/>
    <n v="602.51"/>
    <n v="14.69"/>
    <n v="24.29"/>
    <n v="14.6"/>
    <n v="1.2"/>
    <n v="23"/>
    <s v="A"/>
    <n v="7.31"/>
    <x v="1"/>
    <n v="55.59"/>
    <x v="1"/>
    <n v="5.92"/>
    <n v="5.2"/>
    <n v="3566.8591999999999"/>
    <n v="3133.0520000000001"/>
    <n v="-433.80719999999974"/>
    <n v="-0.13846153846153839"/>
    <n v="44.043480999999993"/>
  </r>
  <r>
    <s v="BATCH01994"/>
    <x v="2"/>
    <x v="2"/>
    <x v="0"/>
    <n v="434.61"/>
    <n v="13.43"/>
    <n v="30.33"/>
    <n v="0.7"/>
    <n v="0.3"/>
    <n v="7"/>
    <s v="B"/>
    <n v="8.15"/>
    <x v="1"/>
    <n v="89.51"/>
    <x v="0"/>
    <n v="8.58"/>
    <n v="6.92"/>
    <n v="3728.9538000000002"/>
    <n v="3007.5012000000002"/>
    <n v="-721.45260000000007"/>
    <n v="-0.23988439306358383"/>
    <n v="35.420715000000001"/>
  </r>
  <r>
    <s v="BATCH01995"/>
    <x v="2"/>
    <x v="1"/>
    <x v="0"/>
    <n v="502.73"/>
    <n v="16.329999999999998"/>
    <n v="34.72"/>
    <n v="4.3"/>
    <n v="1.1000000000000001"/>
    <n v="24"/>
    <s v="A"/>
    <n v="9.92"/>
    <x v="0"/>
    <n v="53.98"/>
    <x v="0"/>
    <n v="6.72"/>
    <n v="10.84"/>
    <n v="3378.3456000000001"/>
    <n v="5449.5932000000003"/>
    <n v="2071.2476000000001"/>
    <n v="0.38007380073800739"/>
    <n v="49.870816000000005"/>
  </r>
  <r>
    <s v="BATCH01996"/>
    <x v="3"/>
    <x v="1"/>
    <x v="1"/>
    <n v="495.26"/>
    <n v="9.25"/>
    <n v="31.14"/>
    <n v="2.2999999999999998"/>
    <n v="0.2"/>
    <n v="16"/>
    <s v="C"/>
    <n v="1.78"/>
    <x v="0"/>
    <n v="51"/>
    <x v="1"/>
    <n v="6.36"/>
    <n v="6.51"/>
    <n v="3149.8535999999999"/>
    <n v="3224.1425999999997"/>
    <n v="74.28899999999976"/>
    <n v="2.3041474654377808E-2"/>
    <n v="8.8156280000000002"/>
  </r>
  <r>
    <s v="BATCH01997"/>
    <x v="2"/>
    <x v="2"/>
    <x v="0"/>
    <n v="341.78"/>
    <n v="9.3000000000000007"/>
    <n v="38.58"/>
    <n v="0.8"/>
    <n v="0.1"/>
    <n v="8"/>
    <s v="A"/>
    <n v="9.67"/>
    <x v="1"/>
    <n v="88.48"/>
    <x v="2"/>
    <n v="8.65"/>
    <n v="13.84"/>
    <n v="2956.3969999999999"/>
    <n v="4730.2351999999992"/>
    <n v="1773.8381999999992"/>
    <n v="0.37499999999999989"/>
    <n v="33.050125999999999"/>
  </r>
  <r>
    <s v="BATCH01998"/>
    <x v="0"/>
    <x v="2"/>
    <x v="0"/>
    <n v="405.96"/>
    <n v="13.57"/>
    <n v="27.56"/>
    <n v="1.6"/>
    <n v="0.1"/>
    <n v="10"/>
    <s v="C"/>
    <n v="6.21"/>
    <x v="0"/>
    <n v="77.42"/>
    <x v="0"/>
    <n v="5.96"/>
    <n v="6.88"/>
    <n v="2419.5216"/>
    <n v="2793.0047999999997"/>
    <n v="373.48319999999967"/>
    <n v="0.13372093023255804"/>
    <n v="25.210115999999999"/>
  </r>
  <r>
    <s v="BATCH01999"/>
    <x v="2"/>
    <x v="2"/>
    <x v="0"/>
    <n v="443.92"/>
    <n v="17.46"/>
    <n v="29.27"/>
    <n v="3.7"/>
    <n v="2.7"/>
    <n v="14"/>
    <s v="A"/>
    <n v="8.23"/>
    <x v="1"/>
    <n v="84.93"/>
    <x v="0"/>
    <n v="8.61"/>
    <n v="10.220000000000001"/>
    <n v="3822.1511999999998"/>
    <n v="4536.8624000000009"/>
    <n v="714.7112000000011"/>
    <n v="0.15753424657534268"/>
    <n v="36.53461600000000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11FB1D3-6C61-49C8-8B69-3BA24DE60E2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rowHeaderCaption="Crop Type">
  <location ref="A4:B9" firstHeaderRow="1" firstDataRow="1" firstDataCol="1"/>
  <pivotFields count="22">
    <pivotField showAll="0"/>
    <pivotField axis="axisRow" showAll="0">
      <items count="5">
        <item x="1"/>
        <item x="0"/>
        <item x="3"/>
        <item x="2"/>
        <item t="default"/>
      </items>
    </pivotField>
    <pivotField showAll="0">
      <items count="5">
        <item x="0"/>
        <item x="3"/>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dataField="1" numFmtId="164" showAll="0"/>
    <pivotField numFmtId="10" showAll="0"/>
    <pivotField numFmtId="2" showAll="0"/>
  </pivotFields>
  <rowFields count="1">
    <field x="1"/>
  </rowFields>
  <rowItems count="5">
    <i>
      <x/>
    </i>
    <i>
      <x v="1"/>
    </i>
    <i>
      <x v="2"/>
    </i>
    <i>
      <x v="3"/>
    </i>
    <i t="grand">
      <x/>
    </i>
  </rowItems>
  <colItems count="1">
    <i/>
  </colItems>
  <dataFields count="1">
    <dataField name="Total Profit (₹)" fld="19" baseField="1" baseItem="0" numFmtId="164"/>
  </dataFields>
  <formats count="12">
    <format dxfId="96">
      <pivotArea type="all" dataOnly="0" outline="0" fieldPosition="0"/>
    </format>
    <format dxfId="97">
      <pivotArea outline="0" collapsedLevelsAreSubtotals="1" fieldPosition="0"/>
    </format>
    <format dxfId="98">
      <pivotArea field="1" type="button" dataOnly="0" labelOnly="1" outline="0" axis="axisRow" fieldPosition="0"/>
    </format>
    <format dxfId="99">
      <pivotArea dataOnly="0" labelOnly="1" fieldPosition="0">
        <references count="1">
          <reference field="1" count="0"/>
        </references>
      </pivotArea>
    </format>
    <format dxfId="100">
      <pivotArea dataOnly="0" labelOnly="1" grandRow="1" outline="0" fieldPosition="0"/>
    </format>
    <format dxfId="101">
      <pivotArea dataOnly="0" labelOnly="1" outline="0" axis="axisValues" fieldPosition="0"/>
    </format>
    <format dxfId="102">
      <pivotArea type="all" dataOnly="0" outline="0" fieldPosition="0"/>
    </format>
    <format dxfId="103">
      <pivotArea outline="0" collapsedLevelsAreSubtotals="1" fieldPosition="0"/>
    </format>
    <format dxfId="104">
      <pivotArea field="1" type="button" dataOnly="0" labelOnly="1" outline="0" axis="axisRow" fieldPosition="0"/>
    </format>
    <format dxfId="105">
      <pivotArea dataOnly="0" labelOnly="1" fieldPosition="0">
        <references count="1">
          <reference field="1" count="0"/>
        </references>
      </pivotArea>
    </format>
    <format dxfId="106">
      <pivotArea dataOnly="0" labelOnly="1" grandRow="1" outline="0" fieldPosition="0"/>
    </format>
    <format dxfId="107">
      <pivotArea dataOnly="0" labelOnly="1" outline="0" axis="axisValues" fieldPosition="0"/>
    </format>
  </formats>
  <chartFormats count="2">
    <chartFormat chart="0" format="2"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679B0E7-F92F-4BA7-94F5-9C0BEF56F205}"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Region">
  <location ref="A4:B9" firstHeaderRow="1" firstDataRow="1" firstDataCol="1"/>
  <pivotFields count="22">
    <pivotField showAll="0"/>
    <pivotField showAll="0">
      <items count="5">
        <item h="1" x="1"/>
        <item x="0"/>
        <item h="1" x="3"/>
        <item h="1" x="2"/>
        <item t="default"/>
      </items>
    </pivotField>
    <pivotField axis="axisRow" showAll="0">
      <items count="5">
        <item x="0"/>
        <item x="3"/>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dataField="1" numFmtId="164" showAll="0"/>
    <pivotField numFmtId="10" showAll="0"/>
    <pivotField numFmtId="2" showAll="0"/>
  </pivotFields>
  <rowFields count="1">
    <field x="2"/>
  </rowFields>
  <rowItems count="5">
    <i>
      <x/>
    </i>
    <i>
      <x v="1"/>
    </i>
    <i>
      <x v="2"/>
    </i>
    <i>
      <x v="3"/>
    </i>
    <i t="grand">
      <x/>
    </i>
  </rowItems>
  <colItems count="1">
    <i/>
  </colItems>
  <dataFields count="1">
    <dataField name="Total Profit (₹)" fld="19" baseField="2" baseItem="0" numFmtId="164"/>
  </dataFields>
  <formats count="12">
    <format dxfId="179">
      <pivotArea type="all" dataOnly="0" outline="0" fieldPosition="0"/>
    </format>
    <format dxfId="178">
      <pivotArea outline="0" collapsedLevelsAreSubtotals="1" fieldPosition="0"/>
    </format>
    <format dxfId="177">
      <pivotArea field="2" type="button" dataOnly="0" labelOnly="1" outline="0" axis="axisRow" fieldPosition="0"/>
    </format>
    <format dxfId="176">
      <pivotArea dataOnly="0" labelOnly="1" fieldPosition="0">
        <references count="1">
          <reference field="2" count="0"/>
        </references>
      </pivotArea>
    </format>
    <format dxfId="175">
      <pivotArea dataOnly="0" labelOnly="1" grandRow="1" outline="0" fieldPosition="0"/>
    </format>
    <format dxfId="174">
      <pivotArea dataOnly="0" labelOnly="1" outline="0" axis="axisValues" fieldPosition="0"/>
    </format>
    <format dxfId="173">
      <pivotArea type="all" dataOnly="0" outline="0" fieldPosition="0"/>
    </format>
    <format dxfId="172">
      <pivotArea outline="0" collapsedLevelsAreSubtotals="1" fieldPosition="0"/>
    </format>
    <format dxfId="171">
      <pivotArea field="2" type="button" dataOnly="0" labelOnly="1" outline="0" axis="axisRow" fieldPosition="0"/>
    </format>
    <format dxfId="170">
      <pivotArea dataOnly="0" labelOnly="1" fieldPosition="0">
        <references count="1">
          <reference field="2" count="0"/>
        </references>
      </pivotArea>
    </format>
    <format dxfId="169">
      <pivotArea dataOnly="0" labelOnly="1" grandRow="1" outline="0" fieldPosition="0"/>
    </format>
    <format dxfId="168">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3D7013-CCED-4CCF-A282-9376833D5D6F}"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rowHeaderCaption="Seasons">
  <location ref="A4:B7" firstHeaderRow="1" firstDataRow="1" firstDataCol="1"/>
  <pivotFields count="22">
    <pivotField showAll="0"/>
    <pivotField showAll="0"/>
    <pivotField showAll="0"/>
    <pivotField axis="axisRow" showAll="0">
      <items count="3">
        <item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dataField="1" numFmtId="164" showAll="0"/>
    <pivotField numFmtId="10" showAll="0"/>
    <pivotField numFmtId="2" showAll="0"/>
  </pivotFields>
  <rowFields count="1">
    <field x="3"/>
  </rowFields>
  <rowItems count="3">
    <i>
      <x/>
    </i>
    <i>
      <x v="1"/>
    </i>
    <i t="grand">
      <x/>
    </i>
  </rowItems>
  <colItems count="1">
    <i/>
  </colItems>
  <dataFields count="1">
    <dataField name="Total Profit (₹)" fld="19" baseField="3" baseItem="0" numFmtId="164"/>
  </dataFields>
  <formats count="12">
    <format dxfId="167">
      <pivotArea type="all" dataOnly="0" outline="0" fieldPosition="0"/>
    </format>
    <format dxfId="166">
      <pivotArea outline="0" collapsedLevelsAreSubtotals="1" fieldPosition="0"/>
    </format>
    <format dxfId="165">
      <pivotArea field="3" type="button" dataOnly="0" labelOnly="1" outline="0" axis="axisRow" fieldPosition="0"/>
    </format>
    <format dxfId="164">
      <pivotArea dataOnly="0" labelOnly="1" fieldPosition="0">
        <references count="1">
          <reference field="3" count="0"/>
        </references>
      </pivotArea>
    </format>
    <format dxfId="163">
      <pivotArea dataOnly="0" labelOnly="1" grandRow="1" outline="0" fieldPosition="0"/>
    </format>
    <format dxfId="162">
      <pivotArea dataOnly="0" labelOnly="1" outline="0" axis="axisValues" fieldPosition="0"/>
    </format>
    <format dxfId="161">
      <pivotArea type="all" dataOnly="0" outline="0" fieldPosition="0"/>
    </format>
    <format dxfId="160">
      <pivotArea outline="0" collapsedLevelsAreSubtotals="1" fieldPosition="0"/>
    </format>
    <format dxfId="159">
      <pivotArea field="3" type="button" dataOnly="0" labelOnly="1" outline="0" axis="axisRow" fieldPosition="0"/>
    </format>
    <format dxfId="158">
      <pivotArea dataOnly="0" labelOnly="1" fieldPosition="0">
        <references count="1">
          <reference field="3" count="0"/>
        </references>
      </pivotArea>
    </format>
    <format dxfId="157">
      <pivotArea dataOnly="0" labelOnly="1" grandRow="1" outline="0" fieldPosition="0"/>
    </format>
    <format dxfId="156">
      <pivotArea dataOnly="0" labelOnly="1" outline="0" axis="axisValues" fieldPosition="0"/>
    </format>
  </formats>
  <chartFormats count="6">
    <chartFormat chart="0"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3" count="1" selected="0">
            <x v="0"/>
          </reference>
        </references>
      </pivotArea>
    </chartFormat>
    <chartFormat chart="4" format="6">
      <pivotArea type="data" outline="0" fieldPosition="0">
        <references count="2">
          <reference field="4294967294" count="1" selected="0">
            <x v="0"/>
          </reference>
          <reference field="3" count="1" selected="0">
            <x v="1"/>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832CEAC-44DD-4222-A35B-80B33C6FCD7B}"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Supply Chain Stage">
  <location ref="A4:B8" firstHeaderRow="1" firstDataRow="1" firstDataCol="1"/>
  <pivotFields count="22">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1"/>
        <item x="2"/>
        <item t="default"/>
      </items>
    </pivotField>
    <pivotField showAll="0"/>
    <pivotField showAll="0"/>
    <pivotField showAll="0"/>
    <pivotField showAll="0"/>
    <pivotField numFmtId="164" showAll="0"/>
    <pivotField numFmtId="164" showAll="0"/>
    <pivotField numFmtId="164" showAll="0"/>
    <pivotField numFmtId="10" showAll="0"/>
    <pivotField dataField="1" numFmtId="2" showAll="0"/>
  </pivotFields>
  <rowFields count="1">
    <field x="12"/>
  </rowFields>
  <rowItems count="4">
    <i>
      <x/>
    </i>
    <i>
      <x v="1"/>
    </i>
    <i>
      <x v="2"/>
    </i>
    <i t="grand">
      <x/>
    </i>
  </rowItems>
  <colItems count="1">
    <i/>
  </colItems>
  <dataFields count="1">
    <dataField name="Total Spoilage (kg)" fld="21" baseField="12" baseItem="0" numFmtId="4"/>
  </dataFields>
  <formats count="12">
    <format dxfId="155">
      <pivotArea type="all" dataOnly="0" outline="0" fieldPosition="0"/>
    </format>
    <format dxfId="154">
      <pivotArea outline="0" collapsedLevelsAreSubtotals="1" fieldPosition="0"/>
    </format>
    <format dxfId="153">
      <pivotArea field="12" type="button" dataOnly="0" labelOnly="1" outline="0" axis="axisRow" fieldPosition="0"/>
    </format>
    <format dxfId="152">
      <pivotArea dataOnly="0" labelOnly="1" fieldPosition="0">
        <references count="1">
          <reference field="12" count="0"/>
        </references>
      </pivotArea>
    </format>
    <format dxfId="151">
      <pivotArea dataOnly="0" labelOnly="1" grandRow="1" outline="0" fieldPosition="0"/>
    </format>
    <format dxfId="150">
      <pivotArea dataOnly="0" labelOnly="1" outline="0" axis="axisValues" fieldPosition="0"/>
    </format>
    <format dxfId="149">
      <pivotArea type="all" dataOnly="0" outline="0" fieldPosition="0"/>
    </format>
    <format dxfId="148">
      <pivotArea outline="0" collapsedLevelsAreSubtotals="1" fieldPosition="0"/>
    </format>
    <format dxfId="147">
      <pivotArea field="12" type="button" dataOnly="0" labelOnly="1" outline="0" axis="axisRow" fieldPosition="0"/>
    </format>
    <format dxfId="146">
      <pivotArea dataOnly="0" labelOnly="1" fieldPosition="0">
        <references count="1">
          <reference field="12" count="0"/>
        </references>
      </pivotArea>
    </format>
    <format dxfId="145">
      <pivotArea dataOnly="0" labelOnly="1" grandRow="1" outline="0" fieldPosition="0"/>
    </format>
    <format dxfId="144">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1BD3E36-DCCB-4DF9-BBBA-3B3C60FD9AF3}"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rowHeaderCaption="Climate Risk Level">
  <location ref="A4:B8" firstHeaderRow="1" firstDataRow="1" firstDataCol="1"/>
  <pivotFields count="22">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1"/>
        <item x="2"/>
        <item x="0"/>
        <item t="default"/>
      </items>
    </pivotField>
    <pivotField showAll="0"/>
    <pivotField showAll="0"/>
    <pivotField numFmtId="164" showAll="0"/>
    <pivotField numFmtId="164" showAll="0"/>
    <pivotField dataField="1" numFmtId="164" showAll="0"/>
    <pivotField numFmtId="10" showAll="0"/>
    <pivotField numFmtId="2" showAll="0"/>
  </pivotFields>
  <rowFields count="1">
    <field x="14"/>
  </rowFields>
  <rowItems count="4">
    <i>
      <x/>
    </i>
    <i>
      <x v="1"/>
    </i>
    <i>
      <x v="2"/>
    </i>
    <i t="grand">
      <x/>
    </i>
  </rowItems>
  <colItems count="1">
    <i/>
  </colItems>
  <dataFields count="1">
    <dataField name="Total Profit (₹)" fld="19" baseField="14" baseItem="0" numFmtId="164"/>
  </dataFields>
  <formats count="12">
    <format dxfId="143">
      <pivotArea type="all" dataOnly="0" outline="0" fieldPosition="0"/>
    </format>
    <format dxfId="142">
      <pivotArea outline="0" collapsedLevelsAreSubtotals="1" fieldPosition="0"/>
    </format>
    <format dxfId="141">
      <pivotArea field="14" type="button" dataOnly="0" labelOnly="1" outline="0" axis="axisRow" fieldPosition="0"/>
    </format>
    <format dxfId="140">
      <pivotArea dataOnly="0" labelOnly="1" fieldPosition="0">
        <references count="1">
          <reference field="14" count="0"/>
        </references>
      </pivotArea>
    </format>
    <format dxfId="139">
      <pivotArea dataOnly="0" labelOnly="1" grandRow="1" outline="0" fieldPosition="0"/>
    </format>
    <format dxfId="138">
      <pivotArea dataOnly="0" labelOnly="1" outline="0" axis="axisValues" fieldPosition="0"/>
    </format>
    <format dxfId="137">
      <pivotArea type="all" dataOnly="0" outline="0" fieldPosition="0"/>
    </format>
    <format dxfId="136">
      <pivotArea outline="0" collapsedLevelsAreSubtotals="1" fieldPosition="0"/>
    </format>
    <format dxfId="135">
      <pivotArea field="14" type="button" dataOnly="0" labelOnly="1" outline="0" axis="axisRow" fieldPosition="0"/>
    </format>
    <format dxfId="134">
      <pivotArea dataOnly="0" labelOnly="1" fieldPosition="0">
        <references count="1">
          <reference field="14" count="0"/>
        </references>
      </pivotArea>
    </format>
    <format dxfId="133">
      <pivotArea dataOnly="0" labelOnly="1" grandRow="1" outline="0" fieldPosition="0"/>
    </format>
    <format dxfId="132">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4" count="1" selected="0">
            <x v="0"/>
          </reference>
        </references>
      </pivotArea>
    </chartFormat>
    <chartFormat chart="0" format="2">
      <pivotArea type="data" outline="0" fieldPosition="0">
        <references count="2">
          <reference field="4294967294" count="1" selected="0">
            <x v="0"/>
          </reference>
          <reference field="14" count="1" selected="0">
            <x v="1"/>
          </reference>
        </references>
      </pivotArea>
    </chartFormat>
    <chartFormat chart="0" format="3">
      <pivotArea type="data" outline="0" fieldPosition="0">
        <references count="2">
          <reference field="4294967294" count="1" selected="0">
            <x v="0"/>
          </reference>
          <reference field="1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D5EC67D-06FB-450D-B75C-D84CD346F864}" sourceName="region">
  <pivotTables>
    <pivotTable tabId="4" name="PivotTable1"/>
  </pivotTables>
  <data>
    <tabular pivotCacheId="61357698">
      <items count="4">
        <i x="0" s="1"/>
        <i x="3"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rop_type" xr10:uid="{7444AC3C-FC7D-4A89-ADA9-D0AD88AC40E9}" sourceName="crop_type">
  <pivotTables>
    <pivotTable tabId="5" name="PivotTable2"/>
  </pivotTables>
  <data>
    <tabular pivotCacheId="61357698">
      <items count="4">
        <i x="1"/>
        <i x="0" s="1"/>
        <i x="3"/>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461B4F3-622B-4D0E-BCDF-5AC139745DCB}" cache="Slicer_region" caption="region"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rop_type" xr10:uid="{33D4B714-1D47-4836-8502-A30CC9916CD5}" cache="Slicer_crop_type" caption="crop_type"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A74BF-9433-433B-874A-04D2394BA09F}">
  <sheetPr codeName="Sheet1"/>
  <dimension ref="A1:V2001"/>
  <sheetViews>
    <sheetView tabSelected="1" zoomScale="86" zoomScaleNormal="100" workbookViewId="0">
      <selection activeCell="X7" sqref="X7"/>
    </sheetView>
  </sheetViews>
  <sheetFormatPr defaultRowHeight="15" x14ac:dyDescent="0.25"/>
  <cols>
    <col min="1" max="1" width="13" bestFit="1" customWidth="1"/>
    <col min="2" max="2" width="9.5703125" bestFit="1" customWidth="1"/>
    <col min="5" max="5" width="18.42578125" bestFit="1" customWidth="1"/>
    <col min="7" max="7" width="23.140625" bestFit="1" customWidth="1"/>
    <col min="8" max="8" width="21" bestFit="1" customWidth="1"/>
    <col min="9" max="9" width="26.7109375" bestFit="1" customWidth="1"/>
    <col min="10" max="10" width="23.7109375" bestFit="1" customWidth="1"/>
    <col min="11" max="11" width="15.140625" bestFit="1" customWidth="1"/>
    <col min="12" max="12" width="15.7109375" bestFit="1" customWidth="1"/>
    <col min="13" max="13" width="18.5703125" bestFit="1" customWidth="1"/>
    <col min="14" max="14" width="21.140625" bestFit="1" customWidth="1"/>
    <col min="15" max="15" width="16.7109375" bestFit="1" customWidth="1"/>
    <col min="16" max="16" width="16.85546875" bestFit="1" customWidth="1"/>
    <col min="17" max="17" width="24.28515625" bestFit="1" customWidth="1"/>
    <col min="18" max="18" width="15.140625" style="1" bestFit="1" customWidth="1"/>
    <col min="19" max="19" width="12.7109375" bestFit="1" customWidth="1"/>
    <col min="20" max="20" width="20.140625" bestFit="1" customWidth="1"/>
    <col min="21" max="21" width="15.42578125" bestFit="1" customWidth="1"/>
    <col min="22" max="22" width="19.7109375" bestFit="1" customWidth="1"/>
  </cols>
  <sheetData>
    <row r="1" spans="1:22" x14ac:dyDescent="0.2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3" t="s">
        <v>2036</v>
      </c>
      <c r="S1" s="2" t="s">
        <v>2037</v>
      </c>
      <c r="T1" s="2" t="s">
        <v>2038</v>
      </c>
      <c r="U1" s="2" t="s">
        <v>2039</v>
      </c>
      <c r="V1" s="2" t="s">
        <v>2040</v>
      </c>
    </row>
    <row r="2" spans="1:22" x14ac:dyDescent="0.25">
      <c r="A2" s="2" t="s">
        <v>17</v>
      </c>
      <c r="B2" s="2" t="s">
        <v>18</v>
      </c>
      <c r="C2" s="2" t="s">
        <v>19</v>
      </c>
      <c r="D2" s="2" t="s">
        <v>20</v>
      </c>
      <c r="E2" s="2">
        <v>605.99</v>
      </c>
      <c r="F2" s="2">
        <v>13.04</v>
      </c>
      <c r="G2" s="2">
        <v>28.3</v>
      </c>
      <c r="H2" s="2">
        <v>0.2</v>
      </c>
      <c r="I2" s="2">
        <v>2.1</v>
      </c>
      <c r="J2" s="2">
        <v>2</v>
      </c>
      <c r="K2" s="2" t="s">
        <v>21</v>
      </c>
      <c r="L2" s="2">
        <v>3.17</v>
      </c>
      <c r="M2" s="2" t="s">
        <v>22</v>
      </c>
      <c r="N2" s="2">
        <v>85.74</v>
      </c>
      <c r="O2" s="2" t="s">
        <v>23</v>
      </c>
      <c r="P2" s="2">
        <v>4.4000000000000004</v>
      </c>
      <c r="Q2" s="2">
        <v>6.01</v>
      </c>
      <c r="R2" s="3">
        <f>E2*P2</f>
        <v>2666.3560000000002</v>
      </c>
      <c r="S2" s="3">
        <f>E2*Q2</f>
        <v>3641.9998999999998</v>
      </c>
      <c r="T2" s="3">
        <f>S2-R2</f>
        <v>975.64389999999958</v>
      </c>
      <c r="U2" s="4">
        <f>T2/S2</f>
        <v>0.26788685524126443</v>
      </c>
      <c r="V2" s="5">
        <f>E2*L2/100</f>
        <v>19.209883000000001</v>
      </c>
    </row>
    <row r="3" spans="1:22" x14ac:dyDescent="0.25">
      <c r="A3" s="2" t="s">
        <v>25</v>
      </c>
      <c r="B3" s="2" t="s">
        <v>26</v>
      </c>
      <c r="C3" s="2" t="s">
        <v>27</v>
      </c>
      <c r="D3" s="2" t="s">
        <v>28</v>
      </c>
      <c r="E3" s="2">
        <v>561.70000000000005</v>
      </c>
      <c r="F3" s="2">
        <v>11.23</v>
      </c>
      <c r="G3" s="2">
        <v>26.54</v>
      </c>
      <c r="H3" s="2">
        <v>1.9</v>
      </c>
      <c r="I3" s="2">
        <v>0.2</v>
      </c>
      <c r="J3" s="2">
        <v>27</v>
      </c>
      <c r="K3" s="2" t="s">
        <v>29</v>
      </c>
      <c r="L3" s="2">
        <v>2.44</v>
      </c>
      <c r="M3" s="2" t="s">
        <v>22</v>
      </c>
      <c r="N3" s="2">
        <v>64.03</v>
      </c>
      <c r="O3" s="2" t="s">
        <v>23</v>
      </c>
      <c r="P3" s="2">
        <v>9.1300000000000008</v>
      </c>
      <c r="Q3" s="2">
        <v>11.36</v>
      </c>
      <c r="R3" s="3">
        <f t="shared" ref="R3:R66" si="0">E3*P3</f>
        <v>5128.3210000000008</v>
      </c>
      <c r="S3" s="3">
        <f t="shared" ref="S3:S66" si="1">E3*Q3</f>
        <v>6380.9120000000003</v>
      </c>
      <c r="T3" s="3">
        <f t="shared" ref="T3:T66" si="2">S3-R3</f>
        <v>1252.5909999999994</v>
      </c>
      <c r="U3" s="4">
        <f t="shared" ref="U3:U66" si="3">T3/S3</f>
        <v>0.19630281690140836</v>
      </c>
      <c r="V3" s="5">
        <f t="shared" ref="V3:V66" si="4">E3*L3/100</f>
        <v>13.70548</v>
      </c>
    </row>
    <row r="4" spans="1:22" x14ac:dyDescent="0.25">
      <c r="A4" s="2" t="s">
        <v>31</v>
      </c>
      <c r="B4" s="2" t="s">
        <v>32</v>
      </c>
      <c r="C4" s="2" t="s">
        <v>33</v>
      </c>
      <c r="D4" s="2" t="s">
        <v>28</v>
      </c>
      <c r="E4" s="2">
        <v>568.36</v>
      </c>
      <c r="F4" s="2">
        <v>10.58</v>
      </c>
      <c r="G4" s="2">
        <v>32.130000000000003</v>
      </c>
      <c r="H4" s="2">
        <v>0.7</v>
      </c>
      <c r="I4" s="2">
        <v>0.4</v>
      </c>
      <c r="J4" s="2">
        <v>28</v>
      </c>
      <c r="K4" s="2" t="s">
        <v>34</v>
      </c>
      <c r="L4" s="2">
        <v>9.49</v>
      </c>
      <c r="M4" s="2" t="s">
        <v>22</v>
      </c>
      <c r="N4" s="2">
        <v>66.16</v>
      </c>
      <c r="O4" s="2" t="s">
        <v>24</v>
      </c>
      <c r="P4" s="2">
        <v>7.93</v>
      </c>
      <c r="Q4" s="2">
        <v>12.03</v>
      </c>
      <c r="R4" s="3">
        <f t="shared" si="0"/>
        <v>4507.0947999999999</v>
      </c>
      <c r="S4" s="3">
        <f t="shared" si="1"/>
        <v>6837.3707999999997</v>
      </c>
      <c r="T4" s="3">
        <f t="shared" si="2"/>
        <v>2330.2759999999998</v>
      </c>
      <c r="U4" s="4">
        <f t="shared" si="3"/>
        <v>0.34081463009143809</v>
      </c>
      <c r="V4" s="5">
        <f t="shared" si="4"/>
        <v>53.937364000000009</v>
      </c>
    </row>
    <row r="5" spans="1:22" x14ac:dyDescent="0.25">
      <c r="A5" s="2" t="s">
        <v>35</v>
      </c>
      <c r="B5" s="2" t="s">
        <v>18</v>
      </c>
      <c r="C5" s="2" t="s">
        <v>27</v>
      </c>
      <c r="D5" s="2" t="s">
        <v>28</v>
      </c>
      <c r="E5" s="2">
        <v>363.4</v>
      </c>
      <c r="F5" s="2">
        <v>12.64</v>
      </c>
      <c r="G5" s="2">
        <v>38.61</v>
      </c>
      <c r="H5" s="2">
        <v>0.3</v>
      </c>
      <c r="I5" s="2">
        <v>0.4</v>
      </c>
      <c r="J5" s="2">
        <v>22</v>
      </c>
      <c r="K5" s="2" t="s">
        <v>21</v>
      </c>
      <c r="L5" s="2">
        <v>1.3</v>
      </c>
      <c r="M5" s="2" t="s">
        <v>22</v>
      </c>
      <c r="N5" s="2">
        <v>64.38</v>
      </c>
      <c r="O5" s="2" t="s">
        <v>30</v>
      </c>
      <c r="P5" s="2">
        <v>3.18</v>
      </c>
      <c r="Q5" s="2">
        <v>13.99</v>
      </c>
      <c r="R5" s="3">
        <f t="shared" si="0"/>
        <v>1155.6120000000001</v>
      </c>
      <c r="S5" s="3">
        <f t="shared" si="1"/>
        <v>5083.9659999999994</v>
      </c>
      <c r="T5" s="3">
        <f t="shared" si="2"/>
        <v>3928.3539999999994</v>
      </c>
      <c r="U5" s="4">
        <f t="shared" si="3"/>
        <v>0.77269478198713359</v>
      </c>
      <c r="V5" s="5">
        <f t="shared" si="4"/>
        <v>4.7241999999999997</v>
      </c>
    </row>
    <row r="6" spans="1:22" x14ac:dyDescent="0.25">
      <c r="A6" s="2" t="s">
        <v>36</v>
      </c>
      <c r="B6" s="2" t="s">
        <v>18</v>
      </c>
      <c r="C6" s="2" t="s">
        <v>27</v>
      </c>
      <c r="D6" s="2" t="s">
        <v>20</v>
      </c>
      <c r="E6" s="2">
        <v>621.19000000000005</v>
      </c>
      <c r="F6" s="2">
        <v>9.33</v>
      </c>
      <c r="G6" s="2">
        <v>36.74</v>
      </c>
      <c r="H6" s="2">
        <v>1.6</v>
      </c>
      <c r="I6" s="2">
        <v>0</v>
      </c>
      <c r="J6" s="2">
        <v>7</v>
      </c>
      <c r="K6" s="2" t="s">
        <v>21</v>
      </c>
      <c r="L6" s="2">
        <v>2.5099999999999998</v>
      </c>
      <c r="M6" s="2" t="s">
        <v>37</v>
      </c>
      <c r="N6" s="2">
        <v>56.44</v>
      </c>
      <c r="O6" s="2" t="s">
        <v>24</v>
      </c>
      <c r="P6" s="2">
        <v>3.07</v>
      </c>
      <c r="Q6" s="2">
        <v>7.24</v>
      </c>
      <c r="R6" s="3">
        <f t="shared" si="0"/>
        <v>1907.0533</v>
      </c>
      <c r="S6" s="3">
        <f t="shared" si="1"/>
        <v>4497.4156000000003</v>
      </c>
      <c r="T6" s="3">
        <f t="shared" si="2"/>
        <v>2590.3623000000002</v>
      </c>
      <c r="U6" s="4">
        <f t="shared" si="3"/>
        <v>0.57596685082872934</v>
      </c>
      <c r="V6" s="5">
        <f t="shared" si="4"/>
        <v>15.591868999999999</v>
      </c>
    </row>
    <row r="7" spans="1:22" x14ac:dyDescent="0.25">
      <c r="A7" s="2" t="s">
        <v>38</v>
      </c>
      <c r="B7" s="2" t="s">
        <v>26</v>
      </c>
      <c r="C7" s="2" t="s">
        <v>19</v>
      </c>
      <c r="D7" s="2" t="s">
        <v>20</v>
      </c>
      <c r="E7" s="2">
        <v>526.13</v>
      </c>
      <c r="F7" s="2">
        <v>17.28</v>
      </c>
      <c r="G7" s="2">
        <v>39.909999999999997</v>
      </c>
      <c r="H7" s="2">
        <v>1.5</v>
      </c>
      <c r="I7" s="2">
        <v>0.9</v>
      </c>
      <c r="J7" s="2">
        <v>12</v>
      </c>
      <c r="K7" s="2" t="s">
        <v>29</v>
      </c>
      <c r="L7" s="2">
        <v>1.27</v>
      </c>
      <c r="M7" s="2" t="s">
        <v>22</v>
      </c>
      <c r="N7" s="2">
        <v>87.64</v>
      </c>
      <c r="O7" s="2" t="s">
        <v>24</v>
      </c>
      <c r="P7" s="2">
        <v>5.04</v>
      </c>
      <c r="Q7" s="2">
        <v>11.04</v>
      </c>
      <c r="R7" s="3">
        <f t="shared" si="0"/>
        <v>2651.6952000000001</v>
      </c>
      <c r="S7" s="3">
        <f t="shared" si="1"/>
        <v>5808.4751999999999</v>
      </c>
      <c r="T7" s="3">
        <f t="shared" si="2"/>
        <v>3156.7799999999997</v>
      </c>
      <c r="U7" s="4">
        <f t="shared" si="3"/>
        <v>0.54347826086956519</v>
      </c>
      <c r="V7" s="5">
        <f t="shared" si="4"/>
        <v>6.681851</v>
      </c>
    </row>
    <row r="8" spans="1:22" x14ac:dyDescent="0.25">
      <c r="A8" s="2" t="s">
        <v>39</v>
      </c>
      <c r="B8" s="2" t="s">
        <v>32</v>
      </c>
      <c r="C8" s="2" t="s">
        <v>27</v>
      </c>
      <c r="D8" s="2" t="s">
        <v>20</v>
      </c>
      <c r="E8" s="2">
        <v>463.07</v>
      </c>
      <c r="F8" s="2">
        <v>16.68</v>
      </c>
      <c r="G8" s="2">
        <v>20.45</v>
      </c>
      <c r="H8" s="2">
        <v>0.2</v>
      </c>
      <c r="I8" s="2">
        <v>1.9</v>
      </c>
      <c r="J8" s="2">
        <v>6</v>
      </c>
      <c r="K8" s="2" t="s">
        <v>34</v>
      </c>
      <c r="L8" s="2">
        <v>9.81</v>
      </c>
      <c r="M8" s="2" t="s">
        <v>40</v>
      </c>
      <c r="N8" s="2">
        <v>52.31</v>
      </c>
      <c r="O8" s="2" t="s">
        <v>30</v>
      </c>
      <c r="P8" s="2">
        <v>4</v>
      </c>
      <c r="Q8" s="2">
        <v>9.33</v>
      </c>
      <c r="R8" s="3">
        <f t="shared" si="0"/>
        <v>1852.28</v>
      </c>
      <c r="S8" s="3">
        <f t="shared" si="1"/>
        <v>4320.4431000000004</v>
      </c>
      <c r="T8" s="3">
        <f t="shared" si="2"/>
        <v>2468.1631000000007</v>
      </c>
      <c r="U8" s="4">
        <f t="shared" si="3"/>
        <v>0.57127545551982861</v>
      </c>
      <c r="V8" s="5">
        <f t="shared" si="4"/>
        <v>45.427166999999997</v>
      </c>
    </row>
    <row r="9" spans="1:22" x14ac:dyDescent="0.25">
      <c r="A9" s="2" t="s">
        <v>41</v>
      </c>
      <c r="B9" s="2" t="s">
        <v>32</v>
      </c>
      <c r="C9" s="2" t="s">
        <v>19</v>
      </c>
      <c r="D9" s="2" t="s">
        <v>20</v>
      </c>
      <c r="E9" s="2">
        <v>514.34</v>
      </c>
      <c r="F9" s="2">
        <v>15.08</v>
      </c>
      <c r="G9" s="2">
        <v>22.26</v>
      </c>
      <c r="H9" s="2">
        <v>2.4</v>
      </c>
      <c r="I9" s="2">
        <v>0.5</v>
      </c>
      <c r="J9" s="2">
        <v>18</v>
      </c>
      <c r="K9" s="2" t="s">
        <v>29</v>
      </c>
      <c r="L9" s="2">
        <v>9.2200000000000006</v>
      </c>
      <c r="M9" s="2" t="s">
        <v>37</v>
      </c>
      <c r="N9" s="2">
        <v>57.53</v>
      </c>
      <c r="O9" s="2" t="s">
        <v>30</v>
      </c>
      <c r="P9" s="2">
        <v>7.41</v>
      </c>
      <c r="Q9" s="2">
        <v>8.83</v>
      </c>
      <c r="R9" s="3">
        <f t="shared" si="0"/>
        <v>3811.2594000000004</v>
      </c>
      <c r="S9" s="3">
        <f t="shared" si="1"/>
        <v>4541.6222000000007</v>
      </c>
      <c r="T9" s="3">
        <f t="shared" si="2"/>
        <v>730.36280000000033</v>
      </c>
      <c r="U9" s="4">
        <f t="shared" si="3"/>
        <v>0.16081540203850514</v>
      </c>
      <c r="V9" s="5">
        <f t="shared" si="4"/>
        <v>47.422148000000007</v>
      </c>
    </row>
    <row r="10" spans="1:22" x14ac:dyDescent="0.25">
      <c r="A10" s="2" t="s">
        <v>42</v>
      </c>
      <c r="B10" s="2" t="s">
        <v>18</v>
      </c>
      <c r="C10" s="2" t="s">
        <v>43</v>
      </c>
      <c r="D10" s="2" t="s">
        <v>20</v>
      </c>
      <c r="E10" s="2">
        <v>322.38</v>
      </c>
      <c r="F10" s="2">
        <v>9.06</v>
      </c>
      <c r="G10" s="2">
        <v>32.19</v>
      </c>
      <c r="H10" s="2">
        <v>2</v>
      </c>
      <c r="I10" s="2">
        <v>1.3</v>
      </c>
      <c r="J10" s="2">
        <v>4</v>
      </c>
      <c r="K10" s="2" t="s">
        <v>34</v>
      </c>
      <c r="L10" s="2">
        <v>7.31</v>
      </c>
      <c r="M10" s="2" t="s">
        <v>37</v>
      </c>
      <c r="N10" s="2">
        <v>55.27</v>
      </c>
      <c r="O10" s="2" t="s">
        <v>24</v>
      </c>
      <c r="P10" s="2">
        <v>7.65</v>
      </c>
      <c r="Q10" s="2">
        <v>6.07</v>
      </c>
      <c r="R10" s="3">
        <f t="shared" si="0"/>
        <v>2466.2069999999999</v>
      </c>
      <c r="S10" s="3">
        <f t="shared" si="1"/>
        <v>1956.8466000000001</v>
      </c>
      <c r="T10" s="3">
        <f t="shared" si="2"/>
        <v>-509.3603999999998</v>
      </c>
      <c r="U10" s="4">
        <f t="shared" si="3"/>
        <v>-0.2602965403624381</v>
      </c>
      <c r="V10" s="5">
        <f t="shared" si="4"/>
        <v>23.565978000000001</v>
      </c>
    </row>
    <row r="11" spans="1:22" x14ac:dyDescent="0.25">
      <c r="A11" s="2" t="s">
        <v>44</v>
      </c>
      <c r="B11" s="2" t="s">
        <v>45</v>
      </c>
      <c r="C11" s="2" t="s">
        <v>43</v>
      </c>
      <c r="D11" s="2" t="s">
        <v>20</v>
      </c>
      <c r="E11" s="2">
        <v>540.87</v>
      </c>
      <c r="F11" s="2">
        <v>15.76</v>
      </c>
      <c r="G11" s="2">
        <v>36.409999999999997</v>
      </c>
      <c r="H11" s="2">
        <v>0.4</v>
      </c>
      <c r="I11" s="2">
        <v>1</v>
      </c>
      <c r="J11" s="2">
        <v>19</v>
      </c>
      <c r="K11" s="2" t="s">
        <v>34</v>
      </c>
      <c r="L11" s="2">
        <v>4.55</v>
      </c>
      <c r="M11" s="2" t="s">
        <v>40</v>
      </c>
      <c r="N11" s="2">
        <v>91.27</v>
      </c>
      <c r="O11" s="2" t="s">
        <v>24</v>
      </c>
      <c r="P11" s="2">
        <v>9.59</v>
      </c>
      <c r="Q11" s="2">
        <v>6.34</v>
      </c>
      <c r="R11" s="3">
        <f t="shared" si="0"/>
        <v>5186.9432999999999</v>
      </c>
      <c r="S11" s="3">
        <f t="shared" si="1"/>
        <v>3429.1158</v>
      </c>
      <c r="T11" s="3">
        <f t="shared" si="2"/>
        <v>-1757.8274999999999</v>
      </c>
      <c r="U11" s="4">
        <f t="shared" si="3"/>
        <v>-0.51261829652996838</v>
      </c>
      <c r="V11" s="5">
        <f t="shared" si="4"/>
        <v>24.609584999999996</v>
      </c>
    </row>
    <row r="12" spans="1:22" x14ac:dyDescent="0.25">
      <c r="A12" s="2" t="s">
        <v>46</v>
      </c>
      <c r="B12" s="2" t="s">
        <v>18</v>
      </c>
      <c r="C12" s="2" t="s">
        <v>19</v>
      </c>
      <c r="D12" s="2" t="s">
        <v>20</v>
      </c>
      <c r="E12" s="2">
        <v>397.06</v>
      </c>
      <c r="F12" s="2">
        <v>16.079999999999998</v>
      </c>
      <c r="G12" s="2">
        <v>25.7</v>
      </c>
      <c r="H12" s="2">
        <v>1.3</v>
      </c>
      <c r="I12" s="2">
        <v>0.5</v>
      </c>
      <c r="J12" s="2">
        <v>27</v>
      </c>
      <c r="K12" s="2" t="s">
        <v>21</v>
      </c>
      <c r="L12" s="2">
        <v>2.31</v>
      </c>
      <c r="M12" s="2" t="s">
        <v>22</v>
      </c>
      <c r="N12" s="2">
        <v>52.2</v>
      </c>
      <c r="O12" s="2" t="s">
        <v>24</v>
      </c>
      <c r="P12" s="2">
        <v>9.66</v>
      </c>
      <c r="Q12" s="2">
        <v>13.37</v>
      </c>
      <c r="R12" s="3">
        <f t="shared" si="0"/>
        <v>3835.5996</v>
      </c>
      <c r="S12" s="3">
        <f t="shared" si="1"/>
        <v>5308.6921999999995</v>
      </c>
      <c r="T12" s="3">
        <f t="shared" si="2"/>
        <v>1473.0925999999995</v>
      </c>
      <c r="U12" s="4">
        <f t="shared" si="3"/>
        <v>0.2774869109947643</v>
      </c>
      <c r="V12" s="5">
        <f t="shared" si="4"/>
        <v>9.1720860000000002</v>
      </c>
    </row>
    <row r="13" spans="1:22" x14ac:dyDescent="0.25">
      <c r="A13" s="2" t="s">
        <v>47</v>
      </c>
      <c r="B13" s="2" t="s">
        <v>18</v>
      </c>
      <c r="C13" s="2" t="s">
        <v>43</v>
      </c>
      <c r="D13" s="2" t="s">
        <v>28</v>
      </c>
      <c r="E13" s="2">
        <v>364.73</v>
      </c>
      <c r="F13" s="2">
        <v>15.68</v>
      </c>
      <c r="G13" s="2">
        <v>24.78</v>
      </c>
      <c r="H13" s="2">
        <v>2.5</v>
      </c>
      <c r="I13" s="2">
        <v>0.2</v>
      </c>
      <c r="J13" s="2">
        <v>13</v>
      </c>
      <c r="K13" s="2" t="s">
        <v>34</v>
      </c>
      <c r="L13" s="2">
        <v>2.6</v>
      </c>
      <c r="M13" s="2" t="s">
        <v>37</v>
      </c>
      <c r="N13" s="2">
        <v>83.23</v>
      </c>
      <c r="O13" s="2" t="s">
        <v>30</v>
      </c>
      <c r="P13" s="2">
        <v>7.61</v>
      </c>
      <c r="Q13" s="2">
        <v>12.5</v>
      </c>
      <c r="R13" s="3">
        <f t="shared" si="0"/>
        <v>2775.5953000000004</v>
      </c>
      <c r="S13" s="3">
        <f t="shared" si="1"/>
        <v>4559.125</v>
      </c>
      <c r="T13" s="3">
        <f t="shared" si="2"/>
        <v>1783.5296999999996</v>
      </c>
      <c r="U13" s="4">
        <f t="shared" si="3"/>
        <v>0.39119999999999994</v>
      </c>
      <c r="V13" s="5">
        <f t="shared" si="4"/>
        <v>9.4829800000000013</v>
      </c>
    </row>
    <row r="14" spans="1:22" x14ac:dyDescent="0.25">
      <c r="A14" s="2" t="s">
        <v>48</v>
      </c>
      <c r="B14" s="2" t="s">
        <v>18</v>
      </c>
      <c r="C14" s="2" t="s">
        <v>33</v>
      </c>
      <c r="D14" s="2" t="s">
        <v>20</v>
      </c>
      <c r="E14" s="2">
        <v>347.76</v>
      </c>
      <c r="F14" s="2">
        <v>9.14</v>
      </c>
      <c r="G14" s="2">
        <v>35.74</v>
      </c>
      <c r="H14" s="2">
        <v>1.5</v>
      </c>
      <c r="I14" s="2">
        <v>1.2</v>
      </c>
      <c r="J14" s="2">
        <v>20</v>
      </c>
      <c r="K14" s="2" t="s">
        <v>21</v>
      </c>
      <c r="L14" s="2">
        <v>4.71</v>
      </c>
      <c r="M14" s="2" t="s">
        <v>37</v>
      </c>
      <c r="N14" s="2">
        <v>52.22</v>
      </c>
      <c r="O14" s="2" t="s">
        <v>30</v>
      </c>
      <c r="P14" s="2">
        <v>3.04</v>
      </c>
      <c r="Q14" s="2">
        <v>8.82</v>
      </c>
      <c r="R14" s="3">
        <f t="shared" si="0"/>
        <v>1057.1904</v>
      </c>
      <c r="S14" s="3">
        <f t="shared" si="1"/>
        <v>3067.2431999999999</v>
      </c>
      <c r="T14" s="3">
        <f t="shared" si="2"/>
        <v>2010.0527999999999</v>
      </c>
      <c r="U14" s="4">
        <f t="shared" si="3"/>
        <v>0.65532879818594103</v>
      </c>
      <c r="V14" s="5">
        <f t="shared" si="4"/>
        <v>16.379496</v>
      </c>
    </row>
    <row r="15" spans="1:22" x14ac:dyDescent="0.25">
      <c r="A15" s="2" t="s">
        <v>49</v>
      </c>
      <c r="B15" s="2" t="s">
        <v>18</v>
      </c>
      <c r="C15" s="2" t="s">
        <v>27</v>
      </c>
      <c r="D15" s="2" t="s">
        <v>28</v>
      </c>
      <c r="E15" s="2">
        <v>611.27</v>
      </c>
      <c r="F15" s="2">
        <v>14.44</v>
      </c>
      <c r="G15" s="2">
        <v>21.13</v>
      </c>
      <c r="H15" s="2">
        <v>1</v>
      </c>
      <c r="I15" s="2">
        <v>1.9</v>
      </c>
      <c r="J15" s="2">
        <v>21</v>
      </c>
      <c r="K15" s="2" t="s">
        <v>34</v>
      </c>
      <c r="L15" s="2">
        <v>7.8</v>
      </c>
      <c r="M15" s="2" t="s">
        <v>22</v>
      </c>
      <c r="N15" s="2">
        <v>89.32</v>
      </c>
      <c r="O15" s="2" t="s">
        <v>24</v>
      </c>
      <c r="P15" s="2">
        <v>5.51</v>
      </c>
      <c r="Q15" s="2">
        <v>13.28</v>
      </c>
      <c r="R15" s="3">
        <f t="shared" si="0"/>
        <v>3368.0976999999998</v>
      </c>
      <c r="S15" s="3">
        <f t="shared" si="1"/>
        <v>8117.6655999999994</v>
      </c>
      <c r="T15" s="3">
        <f t="shared" si="2"/>
        <v>4749.5679</v>
      </c>
      <c r="U15" s="4">
        <f t="shared" si="3"/>
        <v>0.58509036144578319</v>
      </c>
      <c r="V15" s="5">
        <f t="shared" si="4"/>
        <v>47.67906</v>
      </c>
    </row>
    <row r="16" spans="1:22" x14ac:dyDescent="0.25">
      <c r="A16" s="2" t="s">
        <v>50</v>
      </c>
      <c r="B16" s="2" t="s">
        <v>26</v>
      </c>
      <c r="C16" s="2" t="s">
        <v>33</v>
      </c>
      <c r="D16" s="2" t="s">
        <v>28</v>
      </c>
      <c r="E16" s="2">
        <v>437.07</v>
      </c>
      <c r="F16" s="2">
        <v>16.34</v>
      </c>
      <c r="G16" s="2">
        <v>27.39</v>
      </c>
      <c r="H16" s="2">
        <v>0.8</v>
      </c>
      <c r="I16" s="2">
        <v>1.2</v>
      </c>
      <c r="J16" s="2">
        <v>23</v>
      </c>
      <c r="K16" s="2" t="s">
        <v>21</v>
      </c>
      <c r="L16" s="2">
        <v>3.01</v>
      </c>
      <c r="M16" s="2" t="s">
        <v>22</v>
      </c>
      <c r="N16" s="2">
        <v>95.64</v>
      </c>
      <c r="O16" s="2" t="s">
        <v>30</v>
      </c>
      <c r="P16" s="2">
        <v>6.59</v>
      </c>
      <c r="Q16" s="2">
        <v>5.81</v>
      </c>
      <c r="R16" s="3">
        <f t="shared" si="0"/>
        <v>2880.2912999999999</v>
      </c>
      <c r="S16" s="3">
        <f t="shared" si="1"/>
        <v>2539.3766999999998</v>
      </c>
      <c r="T16" s="3">
        <f t="shared" si="2"/>
        <v>-340.91460000000006</v>
      </c>
      <c r="U16" s="4">
        <f t="shared" si="3"/>
        <v>-0.13425129087779694</v>
      </c>
      <c r="V16" s="5">
        <f t="shared" si="4"/>
        <v>13.155806999999999</v>
      </c>
    </row>
    <row r="17" spans="1:22" x14ac:dyDescent="0.25">
      <c r="A17" s="2" t="s">
        <v>51</v>
      </c>
      <c r="B17" s="2" t="s">
        <v>32</v>
      </c>
      <c r="C17" s="2" t="s">
        <v>27</v>
      </c>
      <c r="D17" s="2" t="s">
        <v>20</v>
      </c>
      <c r="E17" s="2">
        <v>653.37</v>
      </c>
      <c r="F17" s="2">
        <v>13.77</v>
      </c>
      <c r="G17" s="2">
        <v>30.12</v>
      </c>
      <c r="H17" s="2">
        <v>1.9</v>
      </c>
      <c r="I17" s="2">
        <v>0</v>
      </c>
      <c r="J17" s="2">
        <v>25</v>
      </c>
      <c r="K17" s="2" t="s">
        <v>34</v>
      </c>
      <c r="L17" s="2">
        <v>3.45</v>
      </c>
      <c r="M17" s="2" t="s">
        <v>40</v>
      </c>
      <c r="N17" s="2">
        <v>74.34</v>
      </c>
      <c r="O17" s="2" t="s">
        <v>30</v>
      </c>
      <c r="P17" s="2">
        <v>6.49</v>
      </c>
      <c r="Q17" s="2">
        <v>11.25</v>
      </c>
      <c r="R17" s="3">
        <f t="shared" si="0"/>
        <v>4240.3712999999998</v>
      </c>
      <c r="S17" s="3">
        <f t="shared" si="1"/>
        <v>7350.4125000000004</v>
      </c>
      <c r="T17" s="3">
        <f t="shared" si="2"/>
        <v>3110.0412000000006</v>
      </c>
      <c r="U17" s="4">
        <f t="shared" si="3"/>
        <v>0.42311111111111116</v>
      </c>
      <c r="V17" s="5">
        <f t="shared" si="4"/>
        <v>22.541265000000003</v>
      </c>
    </row>
    <row r="18" spans="1:22" x14ac:dyDescent="0.25">
      <c r="A18" s="2" t="s">
        <v>52</v>
      </c>
      <c r="B18" s="2" t="s">
        <v>26</v>
      </c>
      <c r="C18" s="2" t="s">
        <v>43</v>
      </c>
      <c r="D18" s="2" t="s">
        <v>20</v>
      </c>
      <c r="E18" s="2">
        <v>446.42</v>
      </c>
      <c r="F18" s="2">
        <v>14.46</v>
      </c>
      <c r="G18" s="2">
        <v>31.21</v>
      </c>
      <c r="H18" s="2">
        <v>5.6</v>
      </c>
      <c r="I18" s="2">
        <v>0.2</v>
      </c>
      <c r="J18" s="2">
        <v>27</v>
      </c>
      <c r="K18" s="2" t="s">
        <v>29</v>
      </c>
      <c r="L18" s="2">
        <v>6.2</v>
      </c>
      <c r="M18" s="2" t="s">
        <v>37</v>
      </c>
      <c r="N18" s="2">
        <v>90.23</v>
      </c>
      <c r="O18" s="2" t="s">
        <v>30</v>
      </c>
      <c r="P18" s="2">
        <v>7.22</v>
      </c>
      <c r="Q18" s="2">
        <v>13.68</v>
      </c>
      <c r="R18" s="3">
        <f t="shared" si="0"/>
        <v>3223.1523999999999</v>
      </c>
      <c r="S18" s="3">
        <f t="shared" si="1"/>
        <v>6107.0255999999999</v>
      </c>
      <c r="T18" s="3">
        <f t="shared" si="2"/>
        <v>2883.8732</v>
      </c>
      <c r="U18" s="4">
        <f t="shared" si="3"/>
        <v>0.47222222222222221</v>
      </c>
      <c r="V18" s="5">
        <f t="shared" si="4"/>
        <v>27.678039999999999</v>
      </c>
    </row>
    <row r="19" spans="1:22" x14ac:dyDescent="0.25">
      <c r="A19" s="2" t="s">
        <v>53</v>
      </c>
      <c r="B19" s="2" t="s">
        <v>26</v>
      </c>
      <c r="C19" s="2" t="s">
        <v>33</v>
      </c>
      <c r="D19" s="2" t="s">
        <v>28</v>
      </c>
      <c r="E19" s="2">
        <v>329.26</v>
      </c>
      <c r="F19" s="2">
        <v>12.58</v>
      </c>
      <c r="G19" s="2">
        <v>34.57</v>
      </c>
      <c r="H19" s="2">
        <v>2.2000000000000002</v>
      </c>
      <c r="I19" s="2">
        <v>0.1</v>
      </c>
      <c r="J19" s="2">
        <v>2</v>
      </c>
      <c r="K19" s="2" t="s">
        <v>34</v>
      </c>
      <c r="L19" s="2">
        <v>2.76</v>
      </c>
      <c r="M19" s="2" t="s">
        <v>22</v>
      </c>
      <c r="N19" s="2">
        <v>85.32</v>
      </c>
      <c r="O19" s="2" t="s">
        <v>23</v>
      </c>
      <c r="P19" s="2">
        <v>9.7200000000000006</v>
      </c>
      <c r="Q19" s="2">
        <v>13.39</v>
      </c>
      <c r="R19" s="3">
        <f t="shared" si="0"/>
        <v>3200.4072000000001</v>
      </c>
      <c r="S19" s="3">
        <f t="shared" si="1"/>
        <v>4408.7914000000001</v>
      </c>
      <c r="T19" s="3">
        <f t="shared" si="2"/>
        <v>1208.3842</v>
      </c>
      <c r="U19" s="4">
        <f t="shared" si="3"/>
        <v>0.27408513816280805</v>
      </c>
      <c r="V19" s="5">
        <f t="shared" si="4"/>
        <v>9.0875759999999985</v>
      </c>
    </row>
    <row r="20" spans="1:22" x14ac:dyDescent="0.25">
      <c r="A20" s="2" t="s">
        <v>54</v>
      </c>
      <c r="B20" s="2" t="s">
        <v>26</v>
      </c>
      <c r="C20" s="2" t="s">
        <v>43</v>
      </c>
      <c r="D20" s="2" t="s">
        <v>28</v>
      </c>
      <c r="E20" s="2">
        <v>388.35</v>
      </c>
      <c r="F20" s="2">
        <v>13.29</v>
      </c>
      <c r="G20" s="2">
        <v>27.1</v>
      </c>
      <c r="H20" s="2">
        <v>0.2</v>
      </c>
      <c r="I20" s="2">
        <v>0.8</v>
      </c>
      <c r="J20" s="2">
        <v>8</v>
      </c>
      <c r="K20" s="2" t="s">
        <v>29</v>
      </c>
      <c r="L20" s="2">
        <v>6.05</v>
      </c>
      <c r="M20" s="2" t="s">
        <v>22</v>
      </c>
      <c r="N20" s="2">
        <v>89.78</v>
      </c>
      <c r="O20" s="2" t="s">
        <v>23</v>
      </c>
      <c r="P20" s="2">
        <v>9.1999999999999993</v>
      </c>
      <c r="Q20" s="2">
        <v>8.73</v>
      </c>
      <c r="R20" s="3">
        <f t="shared" si="0"/>
        <v>3572.8199999999997</v>
      </c>
      <c r="S20" s="3">
        <f t="shared" si="1"/>
        <v>3390.2955000000002</v>
      </c>
      <c r="T20" s="3">
        <f t="shared" si="2"/>
        <v>-182.52449999999953</v>
      </c>
      <c r="U20" s="4">
        <f t="shared" si="3"/>
        <v>-5.3837342497136169E-2</v>
      </c>
      <c r="V20" s="5">
        <f t="shared" si="4"/>
        <v>23.495175</v>
      </c>
    </row>
    <row r="21" spans="1:22" x14ac:dyDescent="0.25">
      <c r="A21" s="2" t="s">
        <v>55</v>
      </c>
      <c r="B21" s="2" t="s">
        <v>18</v>
      </c>
      <c r="C21" s="2" t="s">
        <v>27</v>
      </c>
      <c r="D21" s="2" t="s">
        <v>20</v>
      </c>
      <c r="E21" s="2">
        <v>623.58000000000004</v>
      </c>
      <c r="F21" s="2">
        <v>8.34</v>
      </c>
      <c r="G21" s="2">
        <v>32.25</v>
      </c>
      <c r="H21" s="2">
        <v>1.2</v>
      </c>
      <c r="I21" s="2">
        <v>1.4</v>
      </c>
      <c r="J21" s="2">
        <v>19</v>
      </c>
      <c r="K21" s="2" t="s">
        <v>34</v>
      </c>
      <c r="L21" s="2">
        <v>4.18</v>
      </c>
      <c r="M21" s="2" t="s">
        <v>40</v>
      </c>
      <c r="N21" s="2">
        <v>88.34</v>
      </c>
      <c r="O21" s="2" t="s">
        <v>24</v>
      </c>
      <c r="P21" s="2">
        <v>3.76</v>
      </c>
      <c r="Q21" s="2">
        <v>12.45</v>
      </c>
      <c r="R21" s="3">
        <f t="shared" si="0"/>
        <v>2344.6608000000001</v>
      </c>
      <c r="S21" s="3">
        <f t="shared" si="1"/>
        <v>7763.5709999999999</v>
      </c>
      <c r="T21" s="3">
        <f t="shared" si="2"/>
        <v>5418.9102000000003</v>
      </c>
      <c r="U21" s="4">
        <f t="shared" si="3"/>
        <v>0.69799196787148599</v>
      </c>
      <c r="V21" s="5">
        <f t="shared" si="4"/>
        <v>26.065644000000002</v>
      </c>
    </row>
    <row r="22" spans="1:22" x14ac:dyDescent="0.25">
      <c r="A22" s="2" t="s">
        <v>56</v>
      </c>
      <c r="B22" s="2" t="s">
        <v>45</v>
      </c>
      <c r="C22" s="2" t="s">
        <v>19</v>
      </c>
      <c r="D22" s="2" t="s">
        <v>20</v>
      </c>
      <c r="E22" s="2">
        <v>484.41</v>
      </c>
      <c r="F22" s="2">
        <v>14.39</v>
      </c>
      <c r="G22" s="2">
        <v>31.71</v>
      </c>
      <c r="H22" s="2">
        <v>4.4000000000000004</v>
      </c>
      <c r="I22" s="2">
        <v>0.1</v>
      </c>
      <c r="J22" s="2">
        <v>9</v>
      </c>
      <c r="K22" s="2" t="s">
        <v>34</v>
      </c>
      <c r="L22" s="2">
        <v>0.83</v>
      </c>
      <c r="M22" s="2" t="s">
        <v>37</v>
      </c>
      <c r="N22" s="2">
        <v>60.27</v>
      </c>
      <c r="O22" s="2" t="s">
        <v>23</v>
      </c>
      <c r="P22" s="2">
        <v>4.8600000000000003</v>
      </c>
      <c r="Q22" s="2">
        <v>9.27</v>
      </c>
      <c r="R22" s="3">
        <f t="shared" si="0"/>
        <v>2354.2326000000003</v>
      </c>
      <c r="S22" s="3">
        <f t="shared" si="1"/>
        <v>4490.4807000000001</v>
      </c>
      <c r="T22" s="3">
        <f t="shared" si="2"/>
        <v>2136.2480999999998</v>
      </c>
      <c r="U22" s="4">
        <f t="shared" si="3"/>
        <v>0.47572815533980578</v>
      </c>
      <c r="V22" s="5">
        <f t="shared" si="4"/>
        <v>4.0206029999999995</v>
      </c>
    </row>
    <row r="23" spans="1:22" x14ac:dyDescent="0.25">
      <c r="A23" s="2" t="s">
        <v>57</v>
      </c>
      <c r="B23" s="2" t="s">
        <v>32</v>
      </c>
      <c r="C23" s="2" t="s">
        <v>19</v>
      </c>
      <c r="D23" s="2" t="s">
        <v>28</v>
      </c>
      <c r="E23" s="2">
        <v>445.17</v>
      </c>
      <c r="F23" s="2">
        <v>8.81</v>
      </c>
      <c r="G23" s="2">
        <v>30.95</v>
      </c>
      <c r="H23" s="2">
        <v>0.2</v>
      </c>
      <c r="I23" s="2">
        <v>1.8</v>
      </c>
      <c r="J23" s="2">
        <v>26</v>
      </c>
      <c r="K23" s="2" t="s">
        <v>21</v>
      </c>
      <c r="L23" s="2">
        <v>4.33</v>
      </c>
      <c r="M23" s="2" t="s">
        <v>22</v>
      </c>
      <c r="N23" s="2">
        <v>74.98</v>
      </c>
      <c r="O23" s="2" t="s">
        <v>24</v>
      </c>
      <c r="P23" s="2">
        <v>8.83</v>
      </c>
      <c r="Q23" s="2">
        <v>13.4</v>
      </c>
      <c r="R23" s="3">
        <f t="shared" si="0"/>
        <v>3930.8511000000003</v>
      </c>
      <c r="S23" s="3">
        <f t="shared" si="1"/>
        <v>5965.2780000000002</v>
      </c>
      <c r="T23" s="3">
        <f t="shared" si="2"/>
        <v>2034.4268999999999</v>
      </c>
      <c r="U23" s="4">
        <f t="shared" si="3"/>
        <v>0.34104477611940298</v>
      </c>
      <c r="V23" s="5">
        <f t="shared" si="4"/>
        <v>19.275860999999999</v>
      </c>
    </row>
    <row r="24" spans="1:22" x14ac:dyDescent="0.25">
      <c r="A24" s="2" t="s">
        <v>58</v>
      </c>
      <c r="B24" s="2" t="s">
        <v>45</v>
      </c>
      <c r="C24" s="2" t="s">
        <v>33</v>
      </c>
      <c r="D24" s="2" t="s">
        <v>20</v>
      </c>
      <c r="E24" s="2">
        <v>516</v>
      </c>
      <c r="F24" s="2">
        <v>12.35</v>
      </c>
      <c r="G24" s="2">
        <v>32.81</v>
      </c>
      <c r="H24" s="2">
        <v>9</v>
      </c>
      <c r="I24" s="2">
        <v>0.8</v>
      </c>
      <c r="J24" s="2">
        <v>28</v>
      </c>
      <c r="K24" s="2" t="s">
        <v>34</v>
      </c>
      <c r="L24" s="2">
        <v>9.24</v>
      </c>
      <c r="M24" s="2" t="s">
        <v>40</v>
      </c>
      <c r="N24" s="2">
        <v>98.02</v>
      </c>
      <c r="O24" s="2" t="s">
        <v>24</v>
      </c>
      <c r="P24" s="2">
        <v>8.77</v>
      </c>
      <c r="Q24" s="2">
        <v>10.31</v>
      </c>
      <c r="R24" s="3">
        <f t="shared" si="0"/>
        <v>4525.32</v>
      </c>
      <c r="S24" s="3">
        <f t="shared" si="1"/>
        <v>5319.96</v>
      </c>
      <c r="T24" s="3">
        <f t="shared" si="2"/>
        <v>794.64000000000033</v>
      </c>
      <c r="U24" s="4">
        <f t="shared" si="3"/>
        <v>0.14936954413191084</v>
      </c>
      <c r="V24" s="5">
        <f t="shared" si="4"/>
        <v>47.678400000000003</v>
      </c>
    </row>
    <row r="25" spans="1:22" x14ac:dyDescent="0.25">
      <c r="A25" s="2" t="s">
        <v>59</v>
      </c>
      <c r="B25" s="2" t="s">
        <v>26</v>
      </c>
      <c r="C25" s="2" t="s">
        <v>43</v>
      </c>
      <c r="D25" s="2" t="s">
        <v>20</v>
      </c>
      <c r="E25" s="2">
        <v>550.17999999999995</v>
      </c>
      <c r="F25" s="2">
        <v>10.93</v>
      </c>
      <c r="G25" s="2">
        <v>25.19</v>
      </c>
      <c r="H25" s="2">
        <v>6</v>
      </c>
      <c r="I25" s="2">
        <v>1.2</v>
      </c>
      <c r="J25" s="2">
        <v>4</v>
      </c>
      <c r="K25" s="2" t="s">
        <v>34</v>
      </c>
      <c r="L25" s="2">
        <v>3.28</v>
      </c>
      <c r="M25" s="2" t="s">
        <v>37</v>
      </c>
      <c r="N25" s="2">
        <v>67.180000000000007</v>
      </c>
      <c r="O25" s="2" t="s">
        <v>30</v>
      </c>
      <c r="P25" s="2">
        <v>4.93</v>
      </c>
      <c r="Q25" s="2">
        <v>12.65</v>
      </c>
      <c r="R25" s="3">
        <f t="shared" si="0"/>
        <v>2712.3873999999996</v>
      </c>
      <c r="S25" s="3">
        <f t="shared" si="1"/>
        <v>6959.7769999999991</v>
      </c>
      <c r="T25" s="3">
        <f t="shared" si="2"/>
        <v>4247.3895999999995</v>
      </c>
      <c r="U25" s="4">
        <f t="shared" si="3"/>
        <v>0.61027667984189726</v>
      </c>
      <c r="V25" s="5">
        <f t="shared" si="4"/>
        <v>18.045903999999997</v>
      </c>
    </row>
    <row r="26" spans="1:22" x14ac:dyDescent="0.25">
      <c r="A26" s="2" t="s">
        <v>60</v>
      </c>
      <c r="B26" s="2" t="s">
        <v>26</v>
      </c>
      <c r="C26" s="2" t="s">
        <v>43</v>
      </c>
      <c r="D26" s="2" t="s">
        <v>20</v>
      </c>
      <c r="E26" s="2">
        <v>611.74</v>
      </c>
      <c r="F26" s="2">
        <v>13.45</v>
      </c>
      <c r="G26" s="2">
        <v>21.69</v>
      </c>
      <c r="H26" s="2">
        <v>0.2</v>
      </c>
      <c r="I26" s="2">
        <v>3.6</v>
      </c>
      <c r="J26" s="2">
        <v>16</v>
      </c>
      <c r="K26" s="2" t="s">
        <v>34</v>
      </c>
      <c r="L26" s="2">
        <v>3.57</v>
      </c>
      <c r="M26" s="2" t="s">
        <v>37</v>
      </c>
      <c r="N26" s="2">
        <v>98.52</v>
      </c>
      <c r="O26" s="2" t="s">
        <v>24</v>
      </c>
      <c r="P26" s="2">
        <v>8.11</v>
      </c>
      <c r="Q26" s="2">
        <v>5.79</v>
      </c>
      <c r="R26" s="3">
        <f t="shared" si="0"/>
        <v>4961.2114000000001</v>
      </c>
      <c r="S26" s="3">
        <f t="shared" si="1"/>
        <v>3541.9746</v>
      </c>
      <c r="T26" s="3">
        <f t="shared" si="2"/>
        <v>-1419.2368000000001</v>
      </c>
      <c r="U26" s="4">
        <f t="shared" si="3"/>
        <v>-0.40069084628670126</v>
      </c>
      <c r="V26" s="5">
        <f t="shared" si="4"/>
        <v>21.839117999999999</v>
      </c>
    </row>
    <row r="27" spans="1:22" x14ac:dyDescent="0.25">
      <c r="A27" s="2" t="s">
        <v>61</v>
      </c>
      <c r="B27" s="2" t="s">
        <v>45</v>
      </c>
      <c r="C27" s="2" t="s">
        <v>33</v>
      </c>
      <c r="D27" s="2" t="s">
        <v>28</v>
      </c>
      <c r="E27" s="2">
        <v>644.85</v>
      </c>
      <c r="F27" s="2">
        <v>9.33</v>
      </c>
      <c r="G27" s="2">
        <v>22.39</v>
      </c>
      <c r="H27" s="2">
        <v>5.4</v>
      </c>
      <c r="I27" s="2">
        <v>0.1</v>
      </c>
      <c r="J27" s="2">
        <v>19</v>
      </c>
      <c r="K27" s="2" t="s">
        <v>29</v>
      </c>
      <c r="L27" s="2">
        <v>1.1299999999999999</v>
      </c>
      <c r="M27" s="2" t="s">
        <v>37</v>
      </c>
      <c r="N27" s="2">
        <v>79.16</v>
      </c>
      <c r="O27" s="2" t="s">
        <v>24</v>
      </c>
      <c r="P27" s="2">
        <v>7.7</v>
      </c>
      <c r="Q27" s="2">
        <v>10.9</v>
      </c>
      <c r="R27" s="3">
        <f t="shared" si="0"/>
        <v>4965.3450000000003</v>
      </c>
      <c r="S27" s="3">
        <f t="shared" si="1"/>
        <v>7028.8650000000007</v>
      </c>
      <c r="T27" s="3">
        <f t="shared" si="2"/>
        <v>2063.5200000000004</v>
      </c>
      <c r="U27" s="4">
        <f t="shared" si="3"/>
        <v>0.29357798165137616</v>
      </c>
      <c r="V27" s="5">
        <f t="shared" si="4"/>
        <v>7.2868049999999993</v>
      </c>
    </row>
    <row r="28" spans="1:22" x14ac:dyDescent="0.25">
      <c r="A28" s="2" t="s">
        <v>62</v>
      </c>
      <c r="B28" s="2" t="s">
        <v>45</v>
      </c>
      <c r="C28" s="2" t="s">
        <v>19</v>
      </c>
      <c r="D28" s="2" t="s">
        <v>28</v>
      </c>
      <c r="E28" s="2">
        <v>464.02</v>
      </c>
      <c r="F28" s="2">
        <v>14.92</v>
      </c>
      <c r="G28" s="2">
        <v>24.49</v>
      </c>
      <c r="H28" s="2">
        <v>0.9</v>
      </c>
      <c r="I28" s="2">
        <v>2.2999999999999998</v>
      </c>
      <c r="J28" s="2">
        <v>10</v>
      </c>
      <c r="K28" s="2" t="s">
        <v>21</v>
      </c>
      <c r="L28" s="2">
        <v>6.34</v>
      </c>
      <c r="M28" s="2" t="s">
        <v>37</v>
      </c>
      <c r="N28" s="2">
        <v>73.08</v>
      </c>
      <c r="O28" s="2" t="s">
        <v>24</v>
      </c>
      <c r="P28" s="2">
        <v>6.31</v>
      </c>
      <c r="Q28" s="2">
        <v>10.5</v>
      </c>
      <c r="R28" s="3">
        <f t="shared" si="0"/>
        <v>2927.9661999999998</v>
      </c>
      <c r="S28" s="3">
        <f t="shared" si="1"/>
        <v>4872.21</v>
      </c>
      <c r="T28" s="3">
        <f t="shared" si="2"/>
        <v>1944.2438000000002</v>
      </c>
      <c r="U28" s="4">
        <f t="shared" si="3"/>
        <v>0.3990476190476191</v>
      </c>
      <c r="V28" s="5">
        <f t="shared" si="4"/>
        <v>29.418867999999996</v>
      </c>
    </row>
    <row r="29" spans="1:22" x14ac:dyDescent="0.25">
      <c r="A29" s="2" t="s">
        <v>63</v>
      </c>
      <c r="B29" s="2" t="s">
        <v>45</v>
      </c>
      <c r="C29" s="2" t="s">
        <v>27</v>
      </c>
      <c r="D29" s="2" t="s">
        <v>28</v>
      </c>
      <c r="E29" s="2">
        <v>367.4</v>
      </c>
      <c r="F29" s="2">
        <v>15.95</v>
      </c>
      <c r="G29" s="2">
        <v>30</v>
      </c>
      <c r="H29" s="2">
        <v>3.7</v>
      </c>
      <c r="I29" s="2">
        <v>0.1</v>
      </c>
      <c r="J29" s="2">
        <v>6</v>
      </c>
      <c r="K29" s="2" t="s">
        <v>21</v>
      </c>
      <c r="L29" s="2">
        <v>8.57</v>
      </c>
      <c r="M29" s="2" t="s">
        <v>40</v>
      </c>
      <c r="N29" s="2">
        <v>82.89</v>
      </c>
      <c r="O29" s="2" t="s">
        <v>24</v>
      </c>
      <c r="P29" s="2">
        <v>4.41</v>
      </c>
      <c r="Q29" s="2">
        <v>11.1</v>
      </c>
      <c r="R29" s="3">
        <f t="shared" si="0"/>
        <v>1620.2339999999999</v>
      </c>
      <c r="S29" s="3">
        <f t="shared" si="1"/>
        <v>4078.1399999999994</v>
      </c>
      <c r="T29" s="3">
        <f t="shared" si="2"/>
        <v>2457.9059999999995</v>
      </c>
      <c r="U29" s="4">
        <f t="shared" si="3"/>
        <v>0.60270270270270265</v>
      </c>
      <c r="V29" s="5">
        <f t="shared" si="4"/>
        <v>31.486180000000001</v>
      </c>
    </row>
    <row r="30" spans="1:22" x14ac:dyDescent="0.25">
      <c r="A30" s="2" t="s">
        <v>64</v>
      </c>
      <c r="B30" s="2" t="s">
        <v>26</v>
      </c>
      <c r="C30" s="2" t="s">
        <v>33</v>
      </c>
      <c r="D30" s="2" t="s">
        <v>20</v>
      </c>
      <c r="E30" s="2">
        <v>458.65</v>
      </c>
      <c r="F30" s="2">
        <v>9.6300000000000008</v>
      </c>
      <c r="G30" s="2">
        <v>36.81</v>
      </c>
      <c r="H30" s="2">
        <v>1.1000000000000001</v>
      </c>
      <c r="I30" s="2">
        <v>0.5</v>
      </c>
      <c r="J30" s="2">
        <v>16</v>
      </c>
      <c r="K30" s="2" t="s">
        <v>34</v>
      </c>
      <c r="L30" s="2">
        <v>3.85</v>
      </c>
      <c r="M30" s="2" t="s">
        <v>22</v>
      </c>
      <c r="N30" s="2">
        <v>90.79</v>
      </c>
      <c r="O30" s="2" t="s">
        <v>30</v>
      </c>
      <c r="P30" s="2">
        <v>9.2200000000000006</v>
      </c>
      <c r="Q30" s="2">
        <v>11.96</v>
      </c>
      <c r="R30" s="3">
        <f t="shared" si="0"/>
        <v>4228.7529999999997</v>
      </c>
      <c r="S30" s="3">
        <f t="shared" si="1"/>
        <v>5485.4539999999997</v>
      </c>
      <c r="T30" s="3">
        <f t="shared" si="2"/>
        <v>1256.701</v>
      </c>
      <c r="U30" s="4">
        <f t="shared" si="3"/>
        <v>0.2290969899665552</v>
      </c>
      <c r="V30" s="5">
        <f t="shared" si="4"/>
        <v>17.658024999999999</v>
      </c>
    </row>
    <row r="31" spans="1:22" x14ac:dyDescent="0.25">
      <c r="A31" s="2" t="s">
        <v>65</v>
      </c>
      <c r="B31" s="2" t="s">
        <v>26</v>
      </c>
      <c r="C31" s="2" t="s">
        <v>27</v>
      </c>
      <c r="D31" s="2" t="s">
        <v>20</v>
      </c>
      <c r="E31" s="2">
        <v>526.03</v>
      </c>
      <c r="F31" s="2">
        <v>9.0399999999999991</v>
      </c>
      <c r="G31" s="2">
        <v>34.03</v>
      </c>
      <c r="H31" s="2">
        <v>1.2</v>
      </c>
      <c r="I31" s="2">
        <v>1.9</v>
      </c>
      <c r="J31" s="2">
        <v>10</v>
      </c>
      <c r="K31" s="2" t="s">
        <v>34</v>
      </c>
      <c r="L31" s="2">
        <v>2.78</v>
      </c>
      <c r="M31" s="2" t="s">
        <v>37</v>
      </c>
      <c r="N31" s="2">
        <v>69.709999999999994</v>
      </c>
      <c r="O31" s="2" t="s">
        <v>30</v>
      </c>
      <c r="P31" s="2">
        <v>7.74</v>
      </c>
      <c r="Q31" s="2">
        <v>14.18</v>
      </c>
      <c r="R31" s="3">
        <f t="shared" si="0"/>
        <v>4071.4721999999997</v>
      </c>
      <c r="S31" s="3">
        <f t="shared" si="1"/>
        <v>7459.1053999999995</v>
      </c>
      <c r="T31" s="3">
        <f t="shared" si="2"/>
        <v>3387.6331999999998</v>
      </c>
      <c r="U31" s="4">
        <f t="shared" si="3"/>
        <v>0.45416078984485192</v>
      </c>
      <c r="V31" s="5">
        <f t="shared" si="4"/>
        <v>14.623633999999997</v>
      </c>
    </row>
    <row r="32" spans="1:22" x14ac:dyDescent="0.25">
      <c r="A32" s="2" t="s">
        <v>66</v>
      </c>
      <c r="B32" s="2" t="s">
        <v>32</v>
      </c>
      <c r="C32" s="2" t="s">
        <v>19</v>
      </c>
      <c r="D32" s="2" t="s">
        <v>28</v>
      </c>
      <c r="E32" s="2">
        <v>403.62</v>
      </c>
      <c r="F32" s="2">
        <v>9.4600000000000009</v>
      </c>
      <c r="G32" s="2">
        <v>35.78</v>
      </c>
      <c r="H32" s="2">
        <v>2</v>
      </c>
      <c r="I32" s="2">
        <v>2.4</v>
      </c>
      <c r="J32" s="2">
        <v>13</v>
      </c>
      <c r="K32" s="2" t="s">
        <v>29</v>
      </c>
      <c r="L32" s="2">
        <v>9.59</v>
      </c>
      <c r="M32" s="2" t="s">
        <v>37</v>
      </c>
      <c r="N32" s="2">
        <v>51.65</v>
      </c>
      <c r="O32" s="2" t="s">
        <v>24</v>
      </c>
      <c r="P32" s="2">
        <v>4.18</v>
      </c>
      <c r="Q32" s="2">
        <v>12.86</v>
      </c>
      <c r="R32" s="3">
        <f t="shared" si="0"/>
        <v>1687.1315999999999</v>
      </c>
      <c r="S32" s="3">
        <f t="shared" si="1"/>
        <v>5190.5531999999994</v>
      </c>
      <c r="T32" s="3">
        <f t="shared" si="2"/>
        <v>3503.4215999999997</v>
      </c>
      <c r="U32" s="4">
        <f t="shared" si="3"/>
        <v>0.67496111975116646</v>
      </c>
      <c r="V32" s="5">
        <f t="shared" si="4"/>
        <v>38.707158</v>
      </c>
    </row>
    <row r="33" spans="1:22" x14ac:dyDescent="0.25">
      <c r="A33" s="2" t="s">
        <v>67</v>
      </c>
      <c r="B33" s="2" t="s">
        <v>32</v>
      </c>
      <c r="C33" s="2" t="s">
        <v>43</v>
      </c>
      <c r="D33" s="2" t="s">
        <v>28</v>
      </c>
      <c r="E33" s="2">
        <v>404.28</v>
      </c>
      <c r="F33" s="2">
        <v>16.77</v>
      </c>
      <c r="G33" s="2">
        <v>27.02</v>
      </c>
      <c r="H33" s="2">
        <v>3</v>
      </c>
      <c r="I33" s="2">
        <v>0.7</v>
      </c>
      <c r="J33" s="2">
        <v>9</v>
      </c>
      <c r="K33" s="2" t="s">
        <v>34</v>
      </c>
      <c r="L33" s="2">
        <v>7.58</v>
      </c>
      <c r="M33" s="2" t="s">
        <v>22</v>
      </c>
      <c r="N33" s="2">
        <v>85.44</v>
      </c>
      <c r="O33" s="2" t="s">
        <v>23</v>
      </c>
      <c r="P33" s="2">
        <v>7.93</v>
      </c>
      <c r="Q33" s="2">
        <v>7.2</v>
      </c>
      <c r="R33" s="3">
        <f t="shared" si="0"/>
        <v>3205.9403999999995</v>
      </c>
      <c r="S33" s="3">
        <f t="shared" si="1"/>
        <v>2910.8159999999998</v>
      </c>
      <c r="T33" s="3">
        <f t="shared" si="2"/>
        <v>-295.1243999999997</v>
      </c>
      <c r="U33" s="4">
        <f t="shared" si="3"/>
        <v>-0.10138888888888879</v>
      </c>
      <c r="V33" s="5">
        <f t="shared" si="4"/>
        <v>30.644424000000001</v>
      </c>
    </row>
    <row r="34" spans="1:22" x14ac:dyDescent="0.25">
      <c r="A34" s="2" t="s">
        <v>68</v>
      </c>
      <c r="B34" s="2" t="s">
        <v>26</v>
      </c>
      <c r="C34" s="2" t="s">
        <v>19</v>
      </c>
      <c r="D34" s="2" t="s">
        <v>28</v>
      </c>
      <c r="E34" s="2">
        <v>534.38</v>
      </c>
      <c r="F34" s="2">
        <v>13.28</v>
      </c>
      <c r="G34" s="2">
        <v>28.09</v>
      </c>
      <c r="H34" s="2">
        <v>0.1</v>
      </c>
      <c r="I34" s="2">
        <v>0.9</v>
      </c>
      <c r="J34" s="2">
        <v>7</v>
      </c>
      <c r="K34" s="2" t="s">
        <v>21</v>
      </c>
      <c r="L34" s="2">
        <v>5.89</v>
      </c>
      <c r="M34" s="2" t="s">
        <v>37</v>
      </c>
      <c r="N34" s="2">
        <v>97.81</v>
      </c>
      <c r="O34" s="2" t="s">
        <v>23</v>
      </c>
      <c r="P34" s="2">
        <v>8.19</v>
      </c>
      <c r="Q34" s="2">
        <v>13.26</v>
      </c>
      <c r="R34" s="3">
        <f t="shared" si="0"/>
        <v>4376.5721999999996</v>
      </c>
      <c r="S34" s="3">
        <f t="shared" si="1"/>
        <v>7085.8787999999995</v>
      </c>
      <c r="T34" s="3">
        <f t="shared" si="2"/>
        <v>2709.3065999999999</v>
      </c>
      <c r="U34" s="4">
        <f t="shared" si="3"/>
        <v>0.38235294117647062</v>
      </c>
      <c r="V34" s="5">
        <f t="shared" si="4"/>
        <v>31.474982000000001</v>
      </c>
    </row>
    <row r="35" spans="1:22" x14ac:dyDescent="0.25">
      <c r="A35" s="2" t="s">
        <v>69</v>
      </c>
      <c r="B35" s="2" t="s">
        <v>45</v>
      </c>
      <c r="C35" s="2" t="s">
        <v>33</v>
      </c>
      <c r="D35" s="2" t="s">
        <v>20</v>
      </c>
      <c r="E35" s="2">
        <v>495.13</v>
      </c>
      <c r="F35" s="2">
        <v>12.67</v>
      </c>
      <c r="G35" s="2">
        <v>27.87</v>
      </c>
      <c r="H35" s="2">
        <v>1.8</v>
      </c>
      <c r="I35" s="2">
        <v>1.2</v>
      </c>
      <c r="J35" s="2">
        <v>4</v>
      </c>
      <c r="K35" s="2" t="s">
        <v>21</v>
      </c>
      <c r="L35" s="2">
        <v>3.4</v>
      </c>
      <c r="M35" s="2" t="s">
        <v>37</v>
      </c>
      <c r="N35" s="2">
        <v>81.25</v>
      </c>
      <c r="O35" s="2" t="s">
        <v>24</v>
      </c>
      <c r="P35" s="2">
        <v>9.2100000000000009</v>
      </c>
      <c r="Q35" s="2">
        <v>6.22</v>
      </c>
      <c r="R35" s="3">
        <f t="shared" si="0"/>
        <v>4560.1473000000005</v>
      </c>
      <c r="S35" s="3">
        <f t="shared" si="1"/>
        <v>3079.7085999999999</v>
      </c>
      <c r="T35" s="3">
        <f t="shared" si="2"/>
        <v>-1480.4387000000006</v>
      </c>
      <c r="U35" s="4">
        <f t="shared" si="3"/>
        <v>-0.48070739549839248</v>
      </c>
      <c r="V35" s="5">
        <f t="shared" si="4"/>
        <v>16.834420000000001</v>
      </c>
    </row>
    <row r="36" spans="1:22" x14ac:dyDescent="0.25">
      <c r="A36" s="2" t="s">
        <v>70</v>
      </c>
      <c r="B36" s="2" t="s">
        <v>45</v>
      </c>
      <c r="C36" s="2" t="s">
        <v>43</v>
      </c>
      <c r="D36" s="2" t="s">
        <v>28</v>
      </c>
      <c r="E36" s="2">
        <v>503.28</v>
      </c>
      <c r="F36" s="2">
        <v>9.07</v>
      </c>
      <c r="G36" s="2">
        <v>23.84</v>
      </c>
      <c r="H36" s="2">
        <v>0.4</v>
      </c>
      <c r="I36" s="2">
        <v>1.8</v>
      </c>
      <c r="J36" s="2">
        <v>19</v>
      </c>
      <c r="K36" s="2" t="s">
        <v>29</v>
      </c>
      <c r="L36" s="2">
        <v>2.6</v>
      </c>
      <c r="M36" s="2" t="s">
        <v>22</v>
      </c>
      <c r="N36" s="2">
        <v>59.42</v>
      </c>
      <c r="O36" s="2" t="s">
        <v>30</v>
      </c>
      <c r="P36" s="2">
        <v>4.5599999999999996</v>
      </c>
      <c r="Q36" s="2">
        <v>11.22</v>
      </c>
      <c r="R36" s="3">
        <f t="shared" si="0"/>
        <v>2294.9567999999995</v>
      </c>
      <c r="S36" s="3">
        <f t="shared" si="1"/>
        <v>5646.8015999999998</v>
      </c>
      <c r="T36" s="3">
        <f t="shared" si="2"/>
        <v>3351.8448000000003</v>
      </c>
      <c r="U36" s="4">
        <f t="shared" si="3"/>
        <v>0.5935828877005348</v>
      </c>
      <c r="V36" s="5">
        <f t="shared" si="4"/>
        <v>13.085280000000001</v>
      </c>
    </row>
    <row r="37" spans="1:22" x14ac:dyDescent="0.25">
      <c r="A37" s="2" t="s">
        <v>71</v>
      </c>
      <c r="B37" s="2" t="s">
        <v>32</v>
      </c>
      <c r="C37" s="2" t="s">
        <v>33</v>
      </c>
      <c r="D37" s="2" t="s">
        <v>28</v>
      </c>
      <c r="E37" s="2">
        <v>424.15</v>
      </c>
      <c r="F37" s="2">
        <v>14.5</v>
      </c>
      <c r="G37" s="2">
        <v>21.22</v>
      </c>
      <c r="H37" s="2">
        <v>0.8</v>
      </c>
      <c r="I37" s="2">
        <v>0.1</v>
      </c>
      <c r="J37" s="2">
        <v>26</v>
      </c>
      <c r="K37" s="2" t="s">
        <v>29</v>
      </c>
      <c r="L37" s="2">
        <v>7.3</v>
      </c>
      <c r="M37" s="2" t="s">
        <v>22</v>
      </c>
      <c r="N37" s="2">
        <v>62.41</v>
      </c>
      <c r="O37" s="2" t="s">
        <v>24</v>
      </c>
      <c r="P37" s="2">
        <v>9.92</v>
      </c>
      <c r="Q37" s="2">
        <v>13.83</v>
      </c>
      <c r="R37" s="3">
        <f t="shared" si="0"/>
        <v>4207.5679999999993</v>
      </c>
      <c r="S37" s="3">
        <f t="shared" si="1"/>
        <v>5865.9944999999998</v>
      </c>
      <c r="T37" s="3">
        <f t="shared" si="2"/>
        <v>1658.4265000000005</v>
      </c>
      <c r="U37" s="4">
        <f t="shared" si="3"/>
        <v>0.28271872740419385</v>
      </c>
      <c r="V37" s="5">
        <f t="shared" si="4"/>
        <v>30.962949999999996</v>
      </c>
    </row>
    <row r="38" spans="1:22" x14ac:dyDescent="0.25">
      <c r="A38" s="2" t="s">
        <v>72</v>
      </c>
      <c r="B38" s="2" t="s">
        <v>26</v>
      </c>
      <c r="C38" s="2" t="s">
        <v>33</v>
      </c>
      <c r="D38" s="2" t="s">
        <v>20</v>
      </c>
      <c r="E38" s="2">
        <v>476.96</v>
      </c>
      <c r="F38" s="2">
        <v>16.68</v>
      </c>
      <c r="G38" s="2">
        <v>31.82</v>
      </c>
      <c r="H38" s="2">
        <v>0.9</v>
      </c>
      <c r="I38" s="2">
        <v>1.7</v>
      </c>
      <c r="J38" s="2">
        <v>4</v>
      </c>
      <c r="K38" s="2" t="s">
        <v>21</v>
      </c>
      <c r="L38" s="2">
        <v>5.46</v>
      </c>
      <c r="M38" s="2" t="s">
        <v>37</v>
      </c>
      <c r="N38" s="2">
        <v>95.49</v>
      </c>
      <c r="O38" s="2" t="s">
        <v>24</v>
      </c>
      <c r="P38" s="2">
        <v>4.07</v>
      </c>
      <c r="Q38" s="2">
        <v>6.01</v>
      </c>
      <c r="R38" s="3">
        <f t="shared" si="0"/>
        <v>1941.2272</v>
      </c>
      <c r="S38" s="3">
        <f t="shared" si="1"/>
        <v>2866.5295999999998</v>
      </c>
      <c r="T38" s="3">
        <f t="shared" si="2"/>
        <v>925.30239999999981</v>
      </c>
      <c r="U38" s="4">
        <f t="shared" si="3"/>
        <v>0.32279534109816965</v>
      </c>
      <c r="V38" s="5">
        <f t="shared" si="4"/>
        <v>26.042016</v>
      </c>
    </row>
    <row r="39" spans="1:22" x14ac:dyDescent="0.25">
      <c r="A39" s="2" t="s">
        <v>73</v>
      </c>
      <c r="B39" s="2" t="s">
        <v>32</v>
      </c>
      <c r="C39" s="2" t="s">
        <v>19</v>
      </c>
      <c r="D39" s="2" t="s">
        <v>20</v>
      </c>
      <c r="E39" s="2">
        <v>407.58</v>
      </c>
      <c r="F39" s="2">
        <v>16.28</v>
      </c>
      <c r="G39" s="2">
        <v>39.78</v>
      </c>
      <c r="H39" s="2">
        <v>1.3</v>
      </c>
      <c r="I39" s="2">
        <v>0.7</v>
      </c>
      <c r="J39" s="2">
        <v>19</v>
      </c>
      <c r="K39" s="2" t="s">
        <v>29</v>
      </c>
      <c r="L39" s="2">
        <v>5.45</v>
      </c>
      <c r="M39" s="2" t="s">
        <v>22</v>
      </c>
      <c r="N39" s="2">
        <v>50.68</v>
      </c>
      <c r="O39" s="2" t="s">
        <v>30</v>
      </c>
      <c r="P39" s="2">
        <v>7.2</v>
      </c>
      <c r="Q39" s="2">
        <v>13.5</v>
      </c>
      <c r="R39" s="3">
        <f t="shared" si="0"/>
        <v>2934.576</v>
      </c>
      <c r="S39" s="3">
        <f t="shared" si="1"/>
        <v>5502.33</v>
      </c>
      <c r="T39" s="3">
        <f t="shared" si="2"/>
        <v>2567.7539999999999</v>
      </c>
      <c r="U39" s="4">
        <f t="shared" si="3"/>
        <v>0.46666666666666667</v>
      </c>
      <c r="V39" s="5">
        <f t="shared" si="4"/>
        <v>22.21311</v>
      </c>
    </row>
    <row r="40" spans="1:22" x14ac:dyDescent="0.25">
      <c r="A40" s="2" t="s">
        <v>74</v>
      </c>
      <c r="B40" s="2" t="s">
        <v>32</v>
      </c>
      <c r="C40" s="2" t="s">
        <v>33</v>
      </c>
      <c r="D40" s="2" t="s">
        <v>20</v>
      </c>
      <c r="E40" s="2">
        <v>589.02</v>
      </c>
      <c r="F40" s="2">
        <v>14.26</v>
      </c>
      <c r="G40" s="2">
        <v>23.34</v>
      </c>
      <c r="H40" s="2">
        <v>0.8</v>
      </c>
      <c r="I40" s="2">
        <v>0.6</v>
      </c>
      <c r="J40" s="2">
        <v>28</v>
      </c>
      <c r="K40" s="2" t="s">
        <v>34</v>
      </c>
      <c r="L40" s="2">
        <v>1.2</v>
      </c>
      <c r="M40" s="2" t="s">
        <v>40</v>
      </c>
      <c r="N40" s="2">
        <v>77.44</v>
      </c>
      <c r="O40" s="2" t="s">
        <v>23</v>
      </c>
      <c r="P40" s="2">
        <v>7.6</v>
      </c>
      <c r="Q40" s="2">
        <v>12.99</v>
      </c>
      <c r="R40" s="3">
        <f t="shared" si="0"/>
        <v>4476.5519999999997</v>
      </c>
      <c r="S40" s="3">
        <f t="shared" si="1"/>
        <v>7651.3697999999995</v>
      </c>
      <c r="T40" s="3">
        <f t="shared" si="2"/>
        <v>3174.8177999999998</v>
      </c>
      <c r="U40" s="4">
        <f t="shared" si="3"/>
        <v>0.41493456505003851</v>
      </c>
      <c r="V40" s="5">
        <f t="shared" si="4"/>
        <v>7.0682399999999994</v>
      </c>
    </row>
    <row r="41" spans="1:22" x14ac:dyDescent="0.25">
      <c r="A41" s="2" t="s">
        <v>75</v>
      </c>
      <c r="B41" s="2" t="s">
        <v>18</v>
      </c>
      <c r="C41" s="2" t="s">
        <v>19</v>
      </c>
      <c r="D41" s="2" t="s">
        <v>28</v>
      </c>
      <c r="E41" s="2">
        <v>603.52</v>
      </c>
      <c r="F41" s="2">
        <v>8.75</v>
      </c>
      <c r="G41" s="2">
        <v>20.93</v>
      </c>
      <c r="H41" s="2">
        <v>0.2</v>
      </c>
      <c r="I41" s="2">
        <v>0.6</v>
      </c>
      <c r="J41" s="2">
        <v>19</v>
      </c>
      <c r="K41" s="2" t="s">
        <v>34</v>
      </c>
      <c r="L41" s="2">
        <v>5.37</v>
      </c>
      <c r="M41" s="2" t="s">
        <v>40</v>
      </c>
      <c r="N41" s="2">
        <v>57.93</v>
      </c>
      <c r="O41" s="2" t="s">
        <v>24</v>
      </c>
      <c r="P41" s="2">
        <v>5.93</v>
      </c>
      <c r="Q41" s="2">
        <v>10.039999999999999</v>
      </c>
      <c r="R41" s="3">
        <f t="shared" si="0"/>
        <v>3578.8735999999999</v>
      </c>
      <c r="S41" s="3">
        <f t="shared" si="1"/>
        <v>6059.340799999999</v>
      </c>
      <c r="T41" s="3">
        <f t="shared" si="2"/>
        <v>2480.4671999999991</v>
      </c>
      <c r="U41" s="4">
        <f t="shared" si="3"/>
        <v>0.40936254980079673</v>
      </c>
      <c r="V41" s="5">
        <f t="shared" si="4"/>
        <v>32.409024000000002</v>
      </c>
    </row>
    <row r="42" spans="1:22" x14ac:dyDescent="0.25">
      <c r="A42" s="2" t="s">
        <v>76</v>
      </c>
      <c r="B42" s="2" t="s">
        <v>18</v>
      </c>
      <c r="C42" s="2" t="s">
        <v>43</v>
      </c>
      <c r="D42" s="2" t="s">
        <v>20</v>
      </c>
      <c r="E42" s="2">
        <v>315.38</v>
      </c>
      <c r="F42" s="2">
        <v>9.1199999999999992</v>
      </c>
      <c r="G42" s="2">
        <v>35.590000000000003</v>
      </c>
      <c r="H42" s="2">
        <v>0.3</v>
      </c>
      <c r="I42" s="2">
        <v>0.7</v>
      </c>
      <c r="J42" s="2">
        <v>12</v>
      </c>
      <c r="K42" s="2" t="s">
        <v>29</v>
      </c>
      <c r="L42" s="2">
        <v>8.32</v>
      </c>
      <c r="M42" s="2" t="s">
        <v>37</v>
      </c>
      <c r="N42" s="2">
        <v>64.14</v>
      </c>
      <c r="O42" s="2" t="s">
        <v>30</v>
      </c>
      <c r="P42" s="2">
        <v>6.33</v>
      </c>
      <c r="Q42" s="2">
        <v>8.09</v>
      </c>
      <c r="R42" s="3">
        <f t="shared" si="0"/>
        <v>1996.3553999999999</v>
      </c>
      <c r="S42" s="3">
        <f t="shared" si="1"/>
        <v>2551.4241999999999</v>
      </c>
      <c r="T42" s="3">
        <f t="shared" si="2"/>
        <v>555.06880000000001</v>
      </c>
      <c r="U42" s="4">
        <f t="shared" si="3"/>
        <v>0.21755253399258345</v>
      </c>
      <c r="V42" s="5">
        <f t="shared" si="4"/>
        <v>26.239616000000002</v>
      </c>
    </row>
    <row r="43" spans="1:22" x14ac:dyDescent="0.25">
      <c r="A43" s="2" t="s">
        <v>77</v>
      </c>
      <c r="B43" s="2" t="s">
        <v>18</v>
      </c>
      <c r="C43" s="2" t="s">
        <v>19</v>
      </c>
      <c r="D43" s="2" t="s">
        <v>20</v>
      </c>
      <c r="E43" s="2">
        <v>407.05</v>
      </c>
      <c r="F43" s="2">
        <v>8.49</v>
      </c>
      <c r="G43" s="2">
        <v>25.05</v>
      </c>
      <c r="H43" s="2">
        <v>0.1</v>
      </c>
      <c r="I43" s="2">
        <v>2.9</v>
      </c>
      <c r="J43" s="2">
        <v>13</v>
      </c>
      <c r="K43" s="2" t="s">
        <v>21</v>
      </c>
      <c r="L43" s="2">
        <v>9.49</v>
      </c>
      <c r="M43" s="2" t="s">
        <v>37</v>
      </c>
      <c r="N43" s="2">
        <v>65.349999999999994</v>
      </c>
      <c r="O43" s="2" t="s">
        <v>30</v>
      </c>
      <c r="P43" s="2">
        <v>9.24</v>
      </c>
      <c r="Q43" s="2">
        <v>9.0500000000000007</v>
      </c>
      <c r="R43" s="3">
        <f t="shared" si="0"/>
        <v>3761.1420000000003</v>
      </c>
      <c r="S43" s="3">
        <f t="shared" si="1"/>
        <v>3683.8025000000002</v>
      </c>
      <c r="T43" s="3">
        <f t="shared" si="2"/>
        <v>-77.339500000000044</v>
      </c>
      <c r="U43" s="4">
        <f t="shared" si="3"/>
        <v>-2.0994475138121558E-2</v>
      </c>
      <c r="V43" s="5">
        <f t="shared" si="4"/>
        <v>38.629044999999998</v>
      </c>
    </row>
    <row r="44" spans="1:22" x14ac:dyDescent="0.25">
      <c r="A44" s="2" t="s">
        <v>78</v>
      </c>
      <c r="B44" s="2" t="s">
        <v>45</v>
      </c>
      <c r="C44" s="2" t="s">
        <v>43</v>
      </c>
      <c r="D44" s="2" t="s">
        <v>28</v>
      </c>
      <c r="E44" s="2">
        <v>350.35</v>
      </c>
      <c r="F44" s="2">
        <v>10.57</v>
      </c>
      <c r="G44" s="2">
        <v>36.590000000000003</v>
      </c>
      <c r="H44" s="2">
        <v>1.3</v>
      </c>
      <c r="I44" s="2">
        <v>0.8</v>
      </c>
      <c r="J44" s="2">
        <v>25</v>
      </c>
      <c r="K44" s="2" t="s">
        <v>29</v>
      </c>
      <c r="L44" s="2">
        <v>1.51</v>
      </c>
      <c r="M44" s="2" t="s">
        <v>22</v>
      </c>
      <c r="N44" s="2">
        <v>60.96</v>
      </c>
      <c r="O44" s="2" t="s">
        <v>24</v>
      </c>
      <c r="P44" s="2">
        <v>7.52</v>
      </c>
      <c r="Q44" s="2">
        <v>14.69</v>
      </c>
      <c r="R44" s="3">
        <f t="shared" si="0"/>
        <v>2634.6320000000001</v>
      </c>
      <c r="S44" s="3">
        <f t="shared" si="1"/>
        <v>5146.6414999999997</v>
      </c>
      <c r="T44" s="3">
        <f t="shared" si="2"/>
        <v>2512.0094999999997</v>
      </c>
      <c r="U44" s="4">
        <f t="shared" si="3"/>
        <v>0.48808713410483318</v>
      </c>
      <c r="V44" s="5">
        <f t="shared" si="4"/>
        <v>5.2902849999999999</v>
      </c>
    </row>
    <row r="45" spans="1:22" x14ac:dyDescent="0.25">
      <c r="A45" s="2" t="s">
        <v>79</v>
      </c>
      <c r="B45" s="2" t="s">
        <v>26</v>
      </c>
      <c r="C45" s="2" t="s">
        <v>19</v>
      </c>
      <c r="D45" s="2" t="s">
        <v>20</v>
      </c>
      <c r="E45" s="2">
        <v>435</v>
      </c>
      <c r="F45" s="2">
        <v>9.36</v>
      </c>
      <c r="G45" s="2">
        <v>34.08</v>
      </c>
      <c r="H45" s="2">
        <v>6.2</v>
      </c>
      <c r="I45" s="2">
        <v>3.1</v>
      </c>
      <c r="J45" s="2">
        <v>4</v>
      </c>
      <c r="K45" s="2" t="s">
        <v>21</v>
      </c>
      <c r="L45" s="2">
        <v>6.5</v>
      </c>
      <c r="M45" s="2" t="s">
        <v>22</v>
      </c>
      <c r="N45" s="2">
        <v>89.62</v>
      </c>
      <c r="O45" s="2" t="s">
        <v>30</v>
      </c>
      <c r="P45" s="2">
        <v>6.48</v>
      </c>
      <c r="Q45" s="2">
        <v>7.02</v>
      </c>
      <c r="R45" s="3">
        <f t="shared" si="0"/>
        <v>2818.8</v>
      </c>
      <c r="S45" s="3">
        <f t="shared" si="1"/>
        <v>3053.7</v>
      </c>
      <c r="T45" s="3">
        <f t="shared" si="2"/>
        <v>234.89999999999964</v>
      </c>
      <c r="U45" s="4">
        <f t="shared" si="3"/>
        <v>7.6923076923076802E-2</v>
      </c>
      <c r="V45" s="5">
        <f t="shared" si="4"/>
        <v>28.274999999999999</v>
      </c>
    </row>
    <row r="46" spans="1:22" x14ac:dyDescent="0.25">
      <c r="A46" s="2" t="s">
        <v>80</v>
      </c>
      <c r="B46" s="2" t="s">
        <v>26</v>
      </c>
      <c r="C46" s="2" t="s">
        <v>27</v>
      </c>
      <c r="D46" s="2" t="s">
        <v>28</v>
      </c>
      <c r="E46" s="2">
        <v>491.66</v>
      </c>
      <c r="F46" s="2">
        <v>10.6</v>
      </c>
      <c r="G46" s="2">
        <v>38.909999999999997</v>
      </c>
      <c r="H46" s="2">
        <v>0.2</v>
      </c>
      <c r="I46" s="2">
        <v>0.2</v>
      </c>
      <c r="J46" s="2">
        <v>25</v>
      </c>
      <c r="K46" s="2" t="s">
        <v>29</v>
      </c>
      <c r="L46" s="2">
        <v>5.9</v>
      </c>
      <c r="M46" s="2" t="s">
        <v>37</v>
      </c>
      <c r="N46" s="2">
        <v>66.61</v>
      </c>
      <c r="O46" s="2" t="s">
        <v>24</v>
      </c>
      <c r="P46" s="2">
        <v>3.9</v>
      </c>
      <c r="Q46" s="2">
        <v>10.8</v>
      </c>
      <c r="R46" s="3">
        <f t="shared" si="0"/>
        <v>1917.4740000000002</v>
      </c>
      <c r="S46" s="3">
        <f t="shared" si="1"/>
        <v>5309.9280000000008</v>
      </c>
      <c r="T46" s="3">
        <f t="shared" si="2"/>
        <v>3392.4540000000006</v>
      </c>
      <c r="U46" s="4">
        <f t="shared" si="3"/>
        <v>0.63888888888888895</v>
      </c>
      <c r="V46" s="5">
        <f t="shared" si="4"/>
        <v>29.007940000000005</v>
      </c>
    </row>
    <row r="47" spans="1:22" x14ac:dyDescent="0.25">
      <c r="A47" s="2" t="s">
        <v>81</v>
      </c>
      <c r="B47" s="2" t="s">
        <v>26</v>
      </c>
      <c r="C47" s="2" t="s">
        <v>27</v>
      </c>
      <c r="D47" s="2" t="s">
        <v>28</v>
      </c>
      <c r="E47" s="2">
        <v>355.04</v>
      </c>
      <c r="F47" s="2">
        <v>11.85</v>
      </c>
      <c r="G47" s="2">
        <v>28.18</v>
      </c>
      <c r="H47" s="2">
        <v>5.8</v>
      </c>
      <c r="I47" s="2">
        <v>1.3</v>
      </c>
      <c r="J47" s="2">
        <v>28</v>
      </c>
      <c r="K47" s="2" t="s">
        <v>29</v>
      </c>
      <c r="L47" s="2">
        <v>8.9600000000000009</v>
      </c>
      <c r="M47" s="2" t="s">
        <v>37</v>
      </c>
      <c r="N47" s="2">
        <v>67.27</v>
      </c>
      <c r="O47" s="2" t="s">
        <v>23</v>
      </c>
      <c r="P47" s="2">
        <v>3.05</v>
      </c>
      <c r="Q47" s="2">
        <v>5.83</v>
      </c>
      <c r="R47" s="3">
        <f t="shared" si="0"/>
        <v>1082.8720000000001</v>
      </c>
      <c r="S47" s="3">
        <f t="shared" si="1"/>
        <v>2069.8832000000002</v>
      </c>
      <c r="T47" s="3">
        <f t="shared" si="2"/>
        <v>987.01120000000014</v>
      </c>
      <c r="U47" s="4">
        <f t="shared" si="3"/>
        <v>0.476843910806175</v>
      </c>
      <c r="V47" s="5">
        <f t="shared" si="4"/>
        <v>31.811584000000007</v>
      </c>
    </row>
    <row r="48" spans="1:22" x14ac:dyDescent="0.25">
      <c r="A48" s="2" t="s">
        <v>82</v>
      </c>
      <c r="B48" s="2" t="s">
        <v>26</v>
      </c>
      <c r="C48" s="2" t="s">
        <v>33</v>
      </c>
      <c r="D48" s="2" t="s">
        <v>20</v>
      </c>
      <c r="E48" s="2">
        <v>407.81</v>
      </c>
      <c r="F48" s="2">
        <v>17.43</v>
      </c>
      <c r="G48" s="2">
        <v>33.24</v>
      </c>
      <c r="H48" s="2">
        <v>2.6</v>
      </c>
      <c r="I48" s="2">
        <v>1.7</v>
      </c>
      <c r="J48" s="2">
        <v>10</v>
      </c>
      <c r="K48" s="2" t="s">
        <v>29</v>
      </c>
      <c r="L48" s="2">
        <v>7.64</v>
      </c>
      <c r="M48" s="2" t="s">
        <v>40</v>
      </c>
      <c r="N48" s="2">
        <v>72.650000000000006</v>
      </c>
      <c r="O48" s="2" t="s">
        <v>24</v>
      </c>
      <c r="P48" s="2">
        <v>3.87</v>
      </c>
      <c r="Q48" s="2">
        <v>7.18</v>
      </c>
      <c r="R48" s="3">
        <f t="shared" si="0"/>
        <v>1578.2247</v>
      </c>
      <c r="S48" s="3">
        <f t="shared" si="1"/>
        <v>2928.0758000000001</v>
      </c>
      <c r="T48" s="3">
        <f t="shared" si="2"/>
        <v>1349.8511000000001</v>
      </c>
      <c r="U48" s="4">
        <f t="shared" si="3"/>
        <v>0.46100278551532037</v>
      </c>
      <c r="V48" s="5">
        <f t="shared" si="4"/>
        <v>31.156683999999998</v>
      </c>
    </row>
    <row r="49" spans="1:22" x14ac:dyDescent="0.25">
      <c r="A49" s="2" t="s">
        <v>83</v>
      </c>
      <c r="B49" s="2" t="s">
        <v>18</v>
      </c>
      <c r="C49" s="2" t="s">
        <v>19</v>
      </c>
      <c r="D49" s="2" t="s">
        <v>20</v>
      </c>
      <c r="E49" s="2">
        <v>399.6</v>
      </c>
      <c r="F49" s="2">
        <v>14.1</v>
      </c>
      <c r="G49" s="2">
        <v>29.3</v>
      </c>
      <c r="H49" s="2">
        <v>2</v>
      </c>
      <c r="I49" s="2">
        <v>1.1000000000000001</v>
      </c>
      <c r="J49" s="2">
        <v>21</v>
      </c>
      <c r="K49" s="2" t="s">
        <v>34</v>
      </c>
      <c r="L49" s="2">
        <v>9.67</v>
      </c>
      <c r="M49" s="2" t="s">
        <v>22</v>
      </c>
      <c r="N49" s="2">
        <v>95.11</v>
      </c>
      <c r="O49" s="2" t="s">
        <v>23</v>
      </c>
      <c r="P49" s="2">
        <v>9.69</v>
      </c>
      <c r="Q49" s="2">
        <v>12.63</v>
      </c>
      <c r="R49" s="3">
        <f t="shared" si="0"/>
        <v>3872.1239999999998</v>
      </c>
      <c r="S49" s="3">
        <f t="shared" si="1"/>
        <v>5046.9480000000003</v>
      </c>
      <c r="T49" s="3">
        <f t="shared" si="2"/>
        <v>1174.8240000000005</v>
      </c>
      <c r="U49" s="4">
        <f t="shared" si="3"/>
        <v>0.23277909738717348</v>
      </c>
      <c r="V49" s="5">
        <f t="shared" si="4"/>
        <v>38.64132</v>
      </c>
    </row>
    <row r="50" spans="1:22" x14ac:dyDescent="0.25">
      <c r="A50" s="2" t="s">
        <v>84</v>
      </c>
      <c r="B50" s="2" t="s">
        <v>45</v>
      </c>
      <c r="C50" s="2" t="s">
        <v>19</v>
      </c>
      <c r="D50" s="2" t="s">
        <v>20</v>
      </c>
      <c r="E50" s="2">
        <v>520.73</v>
      </c>
      <c r="F50" s="2">
        <v>16.350000000000001</v>
      </c>
      <c r="G50" s="2">
        <v>32.61</v>
      </c>
      <c r="H50" s="2">
        <v>2.1</v>
      </c>
      <c r="I50" s="2">
        <v>0.9</v>
      </c>
      <c r="J50" s="2">
        <v>7</v>
      </c>
      <c r="K50" s="2" t="s">
        <v>34</v>
      </c>
      <c r="L50" s="2">
        <v>9.6199999999999992</v>
      </c>
      <c r="M50" s="2" t="s">
        <v>37</v>
      </c>
      <c r="N50" s="2">
        <v>84.41</v>
      </c>
      <c r="O50" s="2" t="s">
        <v>30</v>
      </c>
      <c r="P50" s="2">
        <v>8.35</v>
      </c>
      <c r="Q50" s="2">
        <v>8.0299999999999994</v>
      </c>
      <c r="R50" s="3">
        <f t="shared" si="0"/>
        <v>4348.0955000000004</v>
      </c>
      <c r="S50" s="3">
        <f t="shared" si="1"/>
        <v>4181.4619000000002</v>
      </c>
      <c r="T50" s="3">
        <f t="shared" si="2"/>
        <v>-166.63360000000011</v>
      </c>
      <c r="U50" s="4">
        <f t="shared" si="3"/>
        <v>-3.9850560398505631E-2</v>
      </c>
      <c r="V50" s="5">
        <f t="shared" si="4"/>
        <v>50.094225999999999</v>
      </c>
    </row>
    <row r="51" spans="1:22" x14ac:dyDescent="0.25">
      <c r="A51" s="2" t="s">
        <v>85</v>
      </c>
      <c r="B51" s="2" t="s">
        <v>45</v>
      </c>
      <c r="C51" s="2" t="s">
        <v>43</v>
      </c>
      <c r="D51" s="2" t="s">
        <v>20</v>
      </c>
      <c r="E51" s="2">
        <v>506.93</v>
      </c>
      <c r="F51" s="2">
        <v>15.1</v>
      </c>
      <c r="G51" s="2">
        <v>28.99</v>
      </c>
      <c r="H51" s="2">
        <v>3.5</v>
      </c>
      <c r="I51" s="2">
        <v>0.8</v>
      </c>
      <c r="J51" s="2">
        <v>5</v>
      </c>
      <c r="K51" s="2" t="s">
        <v>21</v>
      </c>
      <c r="L51" s="2">
        <v>2.64</v>
      </c>
      <c r="M51" s="2" t="s">
        <v>37</v>
      </c>
      <c r="N51" s="2">
        <v>53.09</v>
      </c>
      <c r="O51" s="2" t="s">
        <v>24</v>
      </c>
      <c r="P51" s="2">
        <v>9.77</v>
      </c>
      <c r="Q51" s="2">
        <v>14.86</v>
      </c>
      <c r="R51" s="3">
        <f t="shared" si="0"/>
        <v>4952.7060999999994</v>
      </c>
      <c r="S51" s="3">
        <f t="shared" si="1"/>
        <v>7532.9798000000001</v>
      </c>
      <c r="T51" s="3">
        <f t="shared" si="2"/>
        <v>2580.2737000000006</v>
      </c>
      <c r="U51" s="4">
        <f t="shared" si="3"/>
        <v>0.34253028263795432</v>
      </c>
      <c r="V51" s="5">
        <f t="shared" si="4"/>
        <v>13.382952</v>
      </c>
    </row>
    <row r="52" spans="1:22" x14ac:dyDescent="0.25">
      <c r="A52" s="2" t="s">
        <v>86</v>
      </c>
      <c r="B52" s="2" t="s">
        <v>18</v>
      </c>
      <c r="C52" s="2" t="s">
        <v>33</v>
      </c>
      <c r="D52" s="2" t="s">
        <v>20</v>
      </c>
      <c r="E52" s="2">
        <v>427.83</v>
      </c>
      <c r="F52" s="2">
        <v>9.1300000000000008</v>
      </c>
      <c r="G52" s="2">
        <v>23.77</v>
      </c>
      <c r="H52" s="2">
        <v>0.2</v>
      </c>
      <c r="I52" s="2">
        <v>2</v>
      </c>
      <c r="J52" s="2">
        <v>17</v>
      </c>
      <c r="K52" s="2" t="s">
        <v>29</v>
      </c>
      <c r="L52" s="2">
        <v>7.39</v>
      </c>
      <c r="M52" s="2" t="s">
        <v>22</v>
      </c>
      <c r="N52" s="2">
        <v>51.96</v>
      </c>
      <c r="O52" s="2" t="s">
        <v>30</v>
      </c>
      <c r="P52" s="2">
        <v>3.25</v>
      </c>
      <c r="Q52" s="2">
        <v>10.01</v>
      </c>
      <c r="R52" s="3">
        <f t="shared" si="0"/>
        <v>1390.4475</v>
      </c>
      <c r="S52" s="3">
        <f t="shared" si="1"/>
        <v>4282.5783000000001</v>
      </c>
      <c r="T52" s="3">
        <f t="shared" si="2"/>
        <v>2892.1307999999999</v>
      </c>
      <c r="U52" s="4">
        <f t="shared" si="3"/>
        <v>0.67532467532467533</v>
      </c>
      <c r="V52" s="5">
        <f t="shared" si="4"/>
        <v>31.616636999999997</v>
      </c>
    </row>
    <row r="53" spans="1:22" x14ac:dyDescent="0.25">
      <c r="A53" s="2" t="s">
        <v>87</v>
      </c>
      <c r="B53" s="2" t="s">
        <v>45</v>
      </c>
      <c r="C53" s="2" t="s">
        <v>19</v>
      </c>
      <c r="D53" s="2" t="s">
        <v>20</v>
      </c>
      <c r="E53" s="2">
        <v>517.67999999999995</v>
      </c>
      <c r="F53" s="2">
        <v>15.36</v>
      </c>
      <c r="G53" s="2">
        <v>30.16</v>
      </c>
      <c r="H53" s="2">
        <v>1.4</v>
      </c>
      <c r="I53" s="2">
        <v>1.7</v>
      </c>
      <c r="J53" s="2">
        <v>18</v>
      </c>
      <c r="K53" s="2" t="s">
        <v>34</v>
      </c>
      <c r="L53" s="2">
        <v>5.54</v>
      </c>
      <c r="M53" s="2" t="s">
        <v>22</v>
      </c>
      <c r="N53" s="2">
        <v>78.319999999999993</v>
      </c>
      <c r="O53" s="2" t="s">
        <v>24</v>
      </c>
      <c r="P53" s="2">
        <v>7.76</v>
      </c>
      <c r="Q53" s="2">
        <v>10.17</v>
      </c>
      <c r="R53" s="3">
        <f t="shared" si="0"/>
        <v>4017.1967999999997</v>
      </c>
      <c r="S53" s="3">
        <f t="shared" si="1"/>
        <v>5264.8055999999997</v>
      </c>
      <c r="T53" s="3">
        <f t="shared" si="2"/>
        <v>1247.6088</v>
      </c>
      <c r="U53" s="4">
        <f t="shared" si="3"/>
        <v>0.23697148475909538</v>
      </c>
      <c r="V53" s="5">
        <f t="shared" si="4"/>
        <v>28.679471999999997</v>
      </c>
    </row>
    <row r="54" spans="1:22" x14ac:dyDescent="0.25">
      <c r="A54" s="2" t="s">
        <v>88</v>
      </c>
      <c r="B54" s="2" t="s">
        <v>18</v>
      </c>
      <c r="C54" s="2" t="s">
        <v>33</v>
      </c>
      <c r="D54" s="2" t="s">
        <v>28</v>
      </c>
      <c r="E54" s="2">
        <v>445.33</v>
      </c>
      <c r="F54" s="2">
        <v>10.75</v>
      </c>
      <c r="G54" s="2">
        <v>30.57</v>
      </c>
      <c r="H54" s="2">
        <v>2.4</v>
      </c>
      <c r="I54" s="2">
        <v>0.1</v>
      </c>
      <c r="J54" s="2">
        <v>11</v>
      </c>
      <c r="K54" s="2" t="s">
        <v>29</v>
      </c>
      <c r="L54" s="2">
        <v>2.54</v>
      </c>
      <c r="M54" s="2" t="s">
        <v>37</v>
      </c>
      <c r="N54" s="2">
        <v>94.35</v>
      </c>
      <c r="O54" s="2" t="s">
        <v>30</v>
      </c>
      <c r="P54" s="2">
        <v>3.31</v>
      </c>
      <c r="Q54" s="2">
        <v>5.36</v>
      </c>
      <c r="R54" s="3">
        <f t="shared" si="0"/>
        <v>1474.0423000000001</v>
      </c>
      <c r="S54" s="3">
        <f t="shared" si="1"/>
        <v>2386.9688000000001</v>
      </c>
      <c r="T54" s="3">
        <f t="shared" si="2"/>
        <v>912.92650000000003</v>
      </c>
      <c r="U54" s="4">
        <f t="shared" si="3"/>
        <v>0.3824626865671642</v>
      </c>
      <c r="V54" s="5">
        <f t="shared" si="4"/>
        <v>11.311381999999998</v>
      </c>
    </row>
    <row r="55" spans="1:22" x14ac:dyDescent="0.25">
      <c r="A55" s="2" t="s">
        <v>89</v>
      </c>
      <c r="B55" s="2" t="s">
        <v>26</v>
      </c>
      <c r="C55" s="2" t="s">
        <v>27</v>
      </c>
      <c r="D55" s="2" t="s">
        <v>28</v>
      </c>
      <c r="E55" s="2">
        <v>472.83</v>
      </c>
      <c r="F55" s="2">
        <v>14.39</v>
      </c>
      <c r="G55" s="2">
        <v>36.21</v>
      </c>
      <c r="H55" s="2">
        <v>1.8</v>
      </c>
      <c r="I55" s="2">
        <v>1.9</v>
      </c>
      <c r="J55" s="2">
        <v>15</v>
      </c>
      <c r="K55" s="2" t="s">
        <v>21</v>
      </c>
      <c r="L55" s="2">
        <v>2.35</v>
      </c>
      <c r="M55" s="2" t="s">
        <v>37</v>
      </c>
      <c r="N55" s="2">
        <v>66.16</v>
      </c>
      <c r="O55" s="2" t="s">
        <v>23</v>
      </c>
      <c r="P55" s="2">
        <v>8.4700000000000006</v>
      </c>
      <c r="Q55" s="2">
        <v>14.57</v>
      </c>
      <c r="R55" s="3">
        <f t="shared" si="0"/>
        <v>4004.8701000000001</v>
      </c>
      <c r="S55" s="3">
        <f t="shared" si="1"/>
        <v>6889.1331</v>
      </c>
      <c r="T55" s="3">
        <f t="shared" si="2"/>
        <v>2884.2629999999999</v>
      </c>
      <c r="U55" s="4">
        <f t="shared" si="3"/>
        <v>0.41866849691146191</v>
      </c>
      <c r="V55" s="5">
        <f t="shared" si="4"/>
        <v>11.111504999999999</v>
      </c>
    </row>
    <row r="56" spans="1:22" x14ac:dyDescent="0.25">
      <c r="A56" s="2" t="s">
        <v>90</v>
      </c>
      <c r="B56" s="2" t="s">
        <v>18</v>
      </c>
      <c r="C56" s="2" t="s">
        <v>19</v>
      </c>
      <c r="D56" s="2" t="s">
        <v>20</v>
      </c>
      <c r="E56" s="2">
        <v>667.35</v>
      </c>
      <c r="F56" s="2">
        <v>11.41</v>
      </c>
      <c r="G56" s="2">
        <v>34.71</v>
      </c>
      <c r="H56" s="2">
        <v>3.6</v>
      </c>
      <c r="I56" s="2">
        <v>0.5</v>
      </c>
      <c r="J56" s="2">
        <v>21</v>
      </c>
      <c r="K56" s="2" t="s">
        <v>34</v>
      </c>
      <c r="L56" s="2">
        <v>1.27</v>
      </c>
      <c r="M56" s="2" t="s">
        <v>37</v>
      </c>
      <c r="N56" s="2">
        <v>62.39</v>
      </c>
      <c r="O56" s="2" t="s">
        <v>24</v>
      </c>
      <c r="P56" s="2">
        <v>5.67</v>
      </c>
      <c r="Q56" s="2">
        <v>6.74</v>
      </c>
      <c r="R56" s="3">
        <f t="shared" si="0"/>
        <v>3783.8744999999999</v>
      </c>
      <c r="S56" s="3">
        <f t="shared" si="1"/>
        <v>4497.9390000000003</v>
      </c>
      <c r="T56" s="3">
        <f t="shared" si="2"/>
        <v>714.06450000000041</v>
      </c>
      <c r="U56" s="4">
        <f t="shared" si="3"/>
        <v>0.15875370919881313</v>
      </c>
      <c r="V56" s="5">
        <f t="shared" si="4"/>
        <v>8.4753450000000008</v>
      </c>
    </row>
    <row r="57" spans="1:22" x14ac:dyDescent="0.25">
      <c r="A57" s="2" t="s">
        <v>91</v>
      </c>
      <c r="B57" s="2" t="s">
        <v>26</v>
      </c>
      <c r="C57" s="2" t="s">
        <v>19</v>
      </c>
      <c r="D57" s="2" t="s">
        <v>28</v>
      </c>
      <c r="E57" s="2">
        <v>634.04999999999995</v>
      </c>
      <c r="F57" s="2">
        <v>17.98</v>
      </c>
      <c r="G57" s="2">
        <v>33.28</v>
      </c>
      <c r="H57" s="2">
        <v>0.2</v>
      </c>
      <c r="I57" s="2">
        <v>0.3</v>
      </c>
      <c r="J57" s="2">
        <v>22</v>
      </c>
      <c r="K57" s="2" t="s">
        <v>21</v>
      </c>
      <c r="L57" s="2">
        <v>8.06</v>
      </c>
      <c r="M57" s="2" t="s">
        <v>22</v>
      </c>
      <c r="N57" s="2">
        <v>87.41</v>
      </c>
      <c r="O57" s="2" t="s">
        <v>30</v>
      </c>
      <c r="P57" s="2">
        <v>3.67</v>
      </c>
      <c r="Q57" s="2">
        <v>10.38</v>
      </c>
      <c r="R57" s="3">
        <f t="shared" si="0"/>
        <v>2326.9634999999998</v>
      </c>
      <c r="S57" s="3">
        <f t="shared" si="1"/>
        <v>6581.4390000000003</v>
      </c>
      <c r="T57" s="3">
        <f t="shared" si="2"/>
        <v>4254.4755000000005</v>
      </c>
      <c r="U57" s="4">
        <f t="shared" si="3"/>
        <v>0.6464354527938343</v>
      </c>
      <c r="V57" s="5">
        <f t="shared" si="4"/>
        <v>51.104430000000001</v>
      </c>
    </row>
    <row r="58" spans="1:22" x14ac:dyDescent="0.25">
      <c r="A58" s="2" t="s">
        <v>92</v>
      </c>
      <c r="B58" s="2" t="s">
        <v>26</v>
      </c>
      <c r="C58" s="2" t="s">
        <v>33</v>
      </c>
      <c r="D58" s="2" t="s">
        <v>20</v>
      </c>
      <c r="E58" s="2">
        <v>370.04</v>
      </c>
      <c r="F58" s="2">
        <v>10.64</v>
      </c>
      <c r="G58" s="2">
        <v>22.27</v>
      </c>
      <c r="H58" s="2">
        <v>2.2999999999999998</v>
      </c>
      <c r="I58" s="2">
        <v>2</v>
      </c>
      <c r="J58" s="2">
        <v>7</v>
      </c>
      <c r="K58" s="2" t="s">
        <v>34</v>
      </c>
      <c r="L58" s="2">
        <v>3.58</v>
      </c>
      <c r="M58" s="2" t="s">
        <v>37</v>
      </c>
      <c r="N58" s="2">
        <v>80.099999999999994</v>
      </c>
      <c r="O58" s="2" t="s">
        <v>24</v>
      </c>
      <c r="P58" s="2">
        <v>6.98</v>
      </c>
      <c r="Q58" s="2">
        <v>8.9600000000000009</v>
      </c>
      <c r="R58" s="3">
        <f t="shared" si="0"/>
        <v>2582.8792000000003</v>
      </c>
      <c r="S58" s="3">
        <f t="shared" si="1"/>
        <v>3315.5584000000003</v>
      </c>
      <c r="T58" s="3">
        <f t="shared" si="2"/>
        <v>732.67920000000004</v>
      </c>
      <c r="U58" s="4">
        <f t="shared" si="3"/>
        <v>0.22098214285714285</v>
      </c>
      <c r="V58" s="5">
        <f t="shared" si="4"/>
        <v>13.247432000000002</v>
      </c>
    </row>
    <row r="59" spans="1:22" x14ac:dyDescent="0.25">
      <c r="A59" s="2" t="s">
        <v>93</v>
      </c>
      <c r="B59" s="2" t="s">
        <v>32</v>
      </c>
      <c r="C59" s="2" t="s">
        <v>19</v>
      </c>
      <c r="D59" s="2" t="s">
        <v>28</v>
      </c>
      <c r="E59" s="2">
        <v>582.97</v>
      </c>
      <c r="F59" s="2">
        <v>10.79</v>
      </c>
      <c r="G59" s="2">
        <v>34.409999999999997</v>
      </c>
      <c r="H59" s="2">
        <v>1.5</v>
      </c>
      <c r="I59" s="2">
        <v>0.6</v>
      </c>
      <c r="J59" s="2">
        <v>18</v>
      </c>
      <c r="K59" s="2" t="s">
        <v>29</v>
      </c>
      <c r="L59" s="2">
        <v>8.64</v>
      </c>
      <c r="M59" s="2" t="s">
        <v>37</v>
      </c>
      <c r="N59" s="2">
        <v>78.25</v>
      </c>
      <c r="O59" s="2" t="s">
        <v>24</v>
      </c>
      <c r="P59" s="2">
        <v>4.96</v>
      </c>
      <c r="Q59" s="2">
        <v>9.16</v>
      </c>
      <c r="R59" s="3">
        <f t="shared" si="0"/>
        <v>2891.5311999999999</v>
      </c>
      <c r="S59" s="3">
        <f t="shared" si="1"/>
        <v>5340.0052000000005</v>
      </c>
      <c r="T59" s="3">
        <f t="shared" si="2"/>
        <v>2448.4740000000006</v>
      </c>
      <c r="U59" s="4">
        <f t="shared" si="3"/>
        <v>0.45851528384279483</v>
      </c>
      <c r="V59" s="5">
        <f t="shared" si="4"/>
        <v>50.368608000000002</v>
      </c>
    </row>
    <row r="60" spans="1:22" x14ac:dyDescent="0.25">
      <c r="A60" s="2" t="s">
        <v>94</v>
      </c>
      <c r="B60" s="2" t="s">
        <v>18</v>
      </c>
      <c r="C60" s="2" t="s">
        <v>33</v>
      </c>
      <c r="D60" s="2" t="s">
        <v>28</v>
      </c>
      <c r="E60" s="2">
        <v>581.14</v>
      </c>
      <c r="F60" s="2">
        <v>17.309999999999999</v>
      </c>
      <c r="G60" s="2">
        <v>30.01</v>
      </c>
      <c r="H60" s="2">
        <v>1</v>
      </c>
      <c r="I60" s="2">
        <v>1.7</v>
      </c>
      <c r="J60" s="2">
        <v>26</v>
      </c>
      <c r="K60" s="2" t="s">
        <v>21</v>
      </c>
      <c r="L60" s="2">
        <v>6.28</v>
      </c>
      <c r="M60" s="2" t="s">
        <v>37</v>
      </c>
      <c r="N60" s="2">
        <v>57.47</v>
      </c>
      <c r="O60" s="2" t="s">
        <v>23</v>
      </c>
      <c r="P60" s="2">
        <v>7.62</v>
      </c>
      <c r="Q60" s="2">
        <v>11.43</v>
      </c>
      <c r="R60" s="3">
        <f t="shared" si="0"/>
        <v>4428.2867999999999</v>
      </c>
      <c r="S60" s="3">
        <f t="shared" si="1"/>
        <v>6642.4301999999998</v>
      </c>
      <c r="T60" s="3">
        <f t="shared" si="2"/>
        <v>2214.1433999999999</v>
      </c>
      <c r="U60" s="4">
        <f t="shared" si="3"/>
        <v>0.33333333333333331</v>
      </c>
      <c r="V60" s="5">
        <f t="shared" si="4"/>
        <v>36.495592000000002</v>
      </c>
    </row>
    <row r="61" spans="1:22" x14ac:dyDescent="0.25">
      <c r="A61" s="2" t="s">
        <v>95</v>
      </c>
      <c r="B61" s="2" t="s">
        <v>32</v>
      </c>
      <c r="C61" s="2" t="s">
        <v>19</v>
      </c>
      <c r="D61" s="2" t="s">
        <v>28</v>
      </c>
      <c r="E61" s="2">
        <v>385.17</v>
      </c>
      <c r="F61" s="2">
        <v>8.25</v>
      </c>
      <c r="G61" s="2">
        <v>37.880000000000003</v>
      </c>
      <c r="H61" s="2">
        <v>0.8</v>
      </c>
      <c r="I61" s="2">
        <v>0.3</v>
      </c>
      <c r="J61" s="2">
        <v>25</v>
      </c>
      <c r="K61" s="2" t="s">
        <v>34</v>
      </c>
      <c r="L61" s="2">
        <v>6.9</v>
      </c>
      <c r="M61" s="2" t="s">
        <v>40</v>
      </c>
      <c r="N61" s="2">
        <v>58.8</v>
      </c>
      <c r="O61" s="2" t="s">
        <v>30</v>
      </c>
      <c r="P61" s="2">
        <v>7.61</v>
      </c>
      <c r="Q61" s="2">
        <v>11.62</v>
      </c>
      <c r="R61" s="3">
        <f t="shared" si="0"/>
        <v>2931.1437000000001</v>
      </c>
      <c r="S61" s="3">
        <f t="shared" si="1"/>
        <v>4475.6754000000001</v>
      </c>
      <c r="T61" s="3">
        <f t="shared" si="2"/>
        <v>1544.5317</v>
      </c>
      <c r="U61" s="4">
        <f t="shared" si="3"/>
        <v>0.34509466437177277</v>
      </c>
      <c r="V61" s="5">
        <f t="shared" si="4"/>
        <v>26.576730000000001</v>
      </c>
    </row>
    <row r="62" spans="1:22" x14ac:dyDescent="0.25">
      <c r="A62" s="2" t="s">
        <v>96</v>
      </c>
      <c r="B62" s="2" t="s">
        <v>18</v>
      </c>
      <c r="C62" s="2" t="s">
        <v>43</v>
      </c>
      <c r="D62" s="2" t="s">
        <v>20</v>
      </c>
      <c r="E62" s="2">
        <v>581.88</v>
      </c>
      <c r="F62" s="2">
        <v>14.97</v>
      </c>
      <c r="G62" s="2">
        <v>38.4</v>
      </c>
      <c r="H62" s="2">
        <v>1.9</v>
      </c>
      <c r="I62" s="2">
        <v>0</v>
      </c>
      <c r="J62" s="2">
        <v>6</v>
      </c>
      <c r="K62" s="2" t="s">
        <v>34</v>
      </c>
      <c r="L62" s="2">
        <v>3.27</v>
      </c>
      <c r="M62" s="2" t="s">
        <v>40</v>
      </c>
      <c r="N62" s="2">
        <v>64.09</v>
      </c>
      <c r="O62" s="2" t="s">
        <v>24</v>
      </c>
      <c r="P62" s="2">
        <v>7.94</v>
      </c>
      <c r="Q62" s="2">
        <v>6.54</v>
      </c>
      <c r="R62" s="3">
        <f t="shared" si="0"/>
        <v>4620.1271999999999</v>
      </c>
      <c r="S62" s="3">
        <f t="shared" si="1"/>
        <v>3805.4951999999998</v>
      </c>
      <c r="T62" s="3">
        <f t="shared" si="2"/>
        <v>-814.63200000000006</v>
      </c>
      <c r="U62" s="4">
        <f t="shared" si="3"/>
        <v>-0.2140672782874618</v>
      </c>
      <c r="V62" s="5">
        <f t="shared" si="4"/>
        <v>19.027476</v>
      </c>
    </row>
    <row r="63" spans="1:22" x14ac:dyDescent="0.25">
      <c r="A63" s="2" t="s">
        <v>97</v>
      </c>
      <c r="B63" s="2" t="s">
        <v>18</v>
      </c>
      <c r="C63" s="2" t="s">
        <v>33</v>
      </c>
      <c r="D63" s="2" t="s">
        <v>28</v>
      </c>
      <c r="E63" s="2">
        <v>653.79</v>
      </c>
      <c r="F63" s="2">
        <v>15.25</v>
      </c>
      <c r="G63" s="2">
        <v>21.1</v>
      </c>
      <c r="H63" s="2">
        <v>4.4000000000000004</v>
      </c>
      <c r="I63" s="2">
        <v>0.7</v>
      </c>
      <c r="J63" s="2">
        <v>18</v>
      </c>
      <c r="K63" s="2" t="s">
        <v>29</v>
      </c>
      <c r="L63" s="2">
        <v>4.84</v>
      </c>
      <c r="M63" s="2" t="s">
        <v>22</v>
      </c>
      <c r="N63" s="2">
        <v>60.34</v>
      </c>
      <c r="O63" s="2" t="s">
        <v>24</v>
      </c>
      <c r="P63" s="2">
        <v>9.9499999999999993</v>
      </c>
      <c r="Q63" s="2">
        <v>10</v>
      </c>
      <c r="R63" s="3">
        <f t="shared" si="0"/>
        <v>6505.2104999999992</v>
      </c>
      <c r="S63" s="3">
        <f t="shared" si="1"/>
        <v>6537.9</v>
      </c>
      <c r="T63" s="3">
        <f t="shared" si="2"/>
        <v>32.689500000000407</v>
      </c>
      <c r="U63" s="4">
        <f t="shared" si="3"/>
        <v>5.0000000000000626E-3</v>
      </c>
      <c r="V63" s="5">
        <f t="shared" si="4"/>
        <v>31.643435999999998</v>
      </c>
    </row>
    <row r="64" spans="1:22" x14ac:dyDescent="0.25">
      <c r="A64" s="2" t="s">
        <v>98</v>
      </c>
      <c r="B64" s="2" t="s">
        <v>32</v>
      </c>
      <c r="C64" s="2" t="s">
        <v>19</v>
      </c>
      <c r="D64" s="2" t="s">
        <v>20</v>
      </c>
      <c r="E64" s="2">
        <v>387.75</v>
      </c>
      <c r="F64" s="2">
        <v>16.36</v>
      </c>
      <c r="G64" s="2">
        <v>36.409999999999997</v>
      </c>
      <c r="H64" s="2">
        <v>1.4</v>
      </c>
      <c r="I64" s="2">
        <v>0.1</v>
      </c>
      <c r="J64" s="2">
        <v>16</v>
      </c>
      <c r="K64" s="2" t="s">
        <v>21</v>
      </c>
      <c r="L64" s="2">
        <v>4.42</v>
      </c>
      <c r="M64" s="2" t="s">
        <v>37</v>
      </c>
      <c r="N64" s="2">
        <v>98.57</v>
      </c>
      <c r="O64" s="2" t="s">
        <v>24</v>
      </c>
      <c r="P64" s="2">
        <v>5.71</v>
      </c>
      <c r="Q64" s="2">
        <v>12.9</v>
      </c>
      <c r="R64" s="3">
        <f t="shared" si="0"/>
        <v>2214.0524999999998</v>
      </c>
      <c r="S64" s="3">
        <f t="shared" si="1"/>
        <v>5001.9750000000004</v>
      </c>
      <c r="T64" s="3">
        <f t="shared" si="2"/>
        <v>2787.9225000000006</v>
      </c>
      <c r="U64" s="4">
        <f t="shared" si="3"/>
        <v>0.55736434108527144</v>
      </c>
      <c r="V64" s="5">
        <f t="shared" si="4"/>
        <v>17.138549999999999</v>
      </c>
    </row>
    <row r="65" spans="1:22" x14ac:dyDescent="0.25">
      <c r="A65" s="2" t="s">
        <v>99</v>
      </c>
      <c r="B65" s="2" t="s">
        <v>32</v>
      </c>
      <c r="C65" s="2" t="s">
        <v>27</v>
      </c>
      <c r="D65" s="2" t="s">
        <v>28</v>
      </c>
      <c r="E65" s="2">
        <v>408.25</v>
      </c>
      <c r="F65" s="2">
        <v>17.739999999999998</v>
      </c>
      <c r="G65" s="2">
        <v>20.75</v>
      </c>
      <c r="H65" s="2">
        <v>3.5</v>
      </c>
      <c r="I65" s="2">
        <v>1.4</v>
      </c>
      <c r="J65" s="2">
        <v>2</v>
      </c>
      <c r="K65" s="2" t="s">
        <v>21</v>
      </c>
      <c r="L65" s="2">
        <v>2.74</v>
      </c>
      <c r="M65" s="2" t="s">
        <v>37</v>
      </c>
      <c r="N65" s="2">
        <v>50.93</v>
      </c>
      <c r="O65" s="2" t="s">
        <v>24</v>
      </c>
      <c r="P65" s="2">
        <v>6.26</v>
      </c>
      <c r="Q65" s="2">
        <v>9.43</v>
      </c>
      <c r="R65" s="3">
        <f t="shared" si="0"/>
        <v>2555.645</v>
      </c>
      <c r="S65" s="3">
        <f t="shared" si="1"/>
        <v>3849.7974999999997</v>
      </c>
      <c r="T65" s="3">
        <f t="shared" si="2"/>
        <v>1294.1524999999997</v>
      </c>
      <c r="U65" s="4">
        <f t="shared" si="3"/>
        <v>0.33616118769883346</v>
      </c>
      <c r="V65" s="5">
        <f t="shared" si="4"/>
        <v>11.18605</v>
      </c>
    </row>
    <row r="66" spans="1:22" x14ac:dyDescent="0.25">
      <c r="A66" s="2" t="s">
        <v>100</v>
      </c>
      <c r="B66" s="2" t="s">
        <v>18</v>
      </c>
      <c r="C66" s="2" t="s">
        <v>19</v>
      </c>
      <c r="D66" s="2" t="s">
        <v>28</v>
      </c>
      <c r="E66" s="2">
        <v>601.77</v>
      </c>
      <c r="F66" s="2">
        <v>17.760000000000002</v>
      </c>
      <c r="G66" s="2">
        <v>27.34</v>
      </c>
      <c r="H66" s="2">
        <v>1</v>
      </c>
      <c r="I66" s="2">
        <v>0.3</v>
      </c>
      <c r="J66" s="2">
        <v>19</v>
      </c>
      <c r="K66" s="2" t="s">
        <v>21</v>
      </c>
      <c r="L66" s="2">
        <v>8.41</v>
      </c>
      <c r="M66" s="2" t="s">
        <v>22</v>
      </c>
      <c r="N66" s="2">
        <v>81.3</v>
      </c>
      <c r="O66" s="2" t="s">
        <v>24</v>
      </c>
      <c r="P66" s="2">
        <v>8.6300000000000008</v>
      </c>
      <c r="Q66" s="2">
        <v>6.66</v>
      </c>
      <c r="R66" s="3">
        <f t="shared" si="0"/>
        <v>5193.2751000000007</v>
      </c>
      <c r="S66" s="3">
        <f t="shared" si="1"/>
        <v>4007.7882</v>
      </c>
      <c r="T66" s="3">
        <f t="shared" si="2"/>
        <v>-1185.4869000000008</v>
      </c>
      <c r="U66" s="4">
        <f t="shared" si="3"/>
        <v>-0.29579579579579601</v>
      </c>
      <c r="V66" s="5">
        <f t="shared" si="4"/>
        <v>50.608857</v>
      </c>
    </row>
    <row r="67" spans="1:22" x14ac:dyDescent="0.25">
      <c r="A67" s="2" t="s">
        <v>101</v>
      </c>
      <c r="B67" s="2" t="s">
        <v>45</v>
      </c>
      <c r="C67" s="2" t="s">
        <v>27</v>
      </c>
      <c r="D67" s="2" t="s">
        <v>28</v>
      </c>
      <c r="E67" s="2">
        <v>527.15</v>
      </c>
      <c r="F67" s="2">
        <v>8.65</v>
      </c>
      <c r="G67" s="2">
        <v>30.85</v>
      </c>
      <c r="H67" s="2">
        <v>0.2</v>
      </c>
      <c r="I67" s="2">
        <v>0.6</v>
      </c>
      <c r="J67" s="2">
        <v>1</v>
      </c>
      <c r="K67" s="2" t="s">
        <v>29</v>
      </c>
      <c r="L67" s="2">
        <v>6.41</v>
      </c>
      <c r="M67" s="2" t="s">
        <v>22</v>
      </c>
      <c r="N67" s="2">
        <v>75.88</v>
      </c>
      <c r="O67" s="2" t="s">
        <v>30</v>
      </c>
      <c r="P67" s="2">
        <v>7.05</v>
      </c>
      <c r="Q67" s="2">
        <v>8.1300000000000008</v>
      </c>
      <c r="R67" s="3">
        <f t="shared" ref="R67:R130" si="5">E67*P67</f>
        <v>3716.4074999999998</v>
      </c>
      <c r="S67" s="3">
        <f t="shared" ref="S67:S130" si="6">E67*Q67</f>
        <v>4285.7295000000004</v>
      </c>
      <c r="T67" s="3">
        <f t="shared" ref="T67:T130" si="7">S67-R67</f>
        <v>569.32200000000057</v>
      </c>
      <c r="U67" s="4">
        <f t="shared" ref="U67:U130" si="8">T67/S67</f>
        <v>0.13284132841328425</v>
      </c>
      <c r="V67" s="5">
        <f t="shared" ref="V67:V130" si="9">E67*L67/100</f>
        <v>33.790315</v>
      </c>
    </row>
    <row r="68" spans="1:22" x14ac:dyDescent="0.25">
      <c r="A68" s="2" t="s">
        <v>102</v>
      </c>
      <c r="B68" s="2" t="s">
        <v>26</v>
      </c>
      <c r="C68" s="2" t="s">
        <v>27</v>
      </c>
      <c r="D68" s="2" t="s">
        <v>28</v>
      </c>
      <c r="E68" s="2">
        <v>555.15</v>
      </c>
      <c r="F68" s="2">
        <v>16.22</v>
      </c>
      <c r="G68" s="2">
        <v>22.96</v>
      </c>
      <c r="H68" s="2">
        <v>0.1</v>
      </c>
      <c r="I68" s="2">
        <v>0.1</v>
      </c>
      <c r="J68" s="2">
        <v>25</v>
      </c>
      <c r="K68" s="2" t="s">
        <v>34</v>
      </c>
      <c r="L68" s="2">
        <v>0.86</v>
      </c>
      <c r="M68" s="2" t="s">
        <v>22</v>
      </c>
      <c r="N68" s="2">
        <v>66.16</v>
      </c>
      <c r="O68" s="2" t="s">
        <v>24</v>
      </c>
      <c r="P68" s="2">
        <v>3.26</v>
      </c>
      <c r="Q68" s="2">
        <v>7.12</v>
      </c>
      <c r="R68" s="3">
        <f t="shared" si="5"/>
        <v>1809.7889999999998</v>
      </c>
      <c r="S68" s="3">
        <f t="shared" si="6"/>
        <v>3952.6680000000001</v>
      </c>
      <c r="T68" s="3">
        <f t="shared" si="7"/>
        <v>2142.8790000000004</v>
      </c>
      <c r="U68" s="4">
        <f t="shared" si="8"/>
        <v>0.5421348314606742</v>
      </c>
      <c r="V68" s="5">
        <f t="shared" si="9"/>
        <v>4.7742899999999997</v>
      </c>
    </row>
    <row r="69" spans="1:22" x14ac:dyDescent="0.25">
      <c r="A69" s="2" t="s">
        <v>103</v>
      </c>
      <c r="B69" s="2" t="s">
        <v>32</v>
      </c>
      <c r="C69" s="2" t="s">
        <v>43</v>
      </c>
      <c r="D69" s="2" t="s">
        <v>28</v>
      </c>
      <c r="E69" s="2">
        <v>534.05999999999995</v>
      </c>
      <c r="F69" s="2">
        <v>14.46</v>
      </c>
      <c r="G69" s="2">
        <v>34.93</v>
      </c>
      <c r="H69" s="2">
        <v>0.1</v>
      </c>
      <c r="I69" s="2">
        <v>0.3</v>
      </c>
      <c r="J69" s="2">
        <v>26</v>
      </c>
      <c r="K69" s="2" t="s">
        <v>34</v>
      </c>
      <c r="L69" s="2">
        <v>8.2899999999999991</v>
      </c>
      <c r="M69" s="2" t="s">
        <v>37</v>
      </c>
      <c r="N69" s="2">
        <v>94.38</v>
      </c>
      <c r="O69" s="2" t="s">
        <v>24</v>
      </c>
      <c r="P69" s="2">
        <v>8.9</v>
      </c>
      <c r="Q69" s="2">
        <v>6.26</v>
      </c>
      <c r="R69" s="3">
        <f t="shared" si="5"/>
        <v>4753.134</v>
      </c>
      <c r="S69" s="3">
        <f t="shared" si="6"/>
        <v>3343.2155999999995</v>
      </c>
      <c r="T69" s="3">
        <f t="shared" si="7"/>
        <v>-1409.9184000000005</v>
      </c>
      <c r="U69" s="4">
        <f t="shared" si="8"/>
        <v>-0.42172523961661362</v>
      </c>
      <c r="V69" s="5">
        <f t="shared" si="9"/>
        <v>44.273573999999989</v>
      </c>
    </row>
    <row r="70" spans="1:22" x14ac:dyDescent="0.25">
      <c r="A70" s="2" t="s">
        <v>104</v>
      </c>
      <c r="B70" s="2" t="s">
        <v>26</v>
      </c>
      <c r="C70" s="2" t="s">
        <v>33</v>
      </c>
      <c r="D70" s="2" t="s">
        <v>20</v>
      </c>
      <c r="E70" s="2">
        <v>539.07000000000005</v>
      </c>
      <c r="F70" s="2">
        <v>14.47</v>
      </c>
      <c r="G70" s="2">
        <v>20.170000000000002</v>
      </c>
      <c r="H70" s="2">
        <v>1</v>
      </c>
      <c r="I70" s="2">
        <v>1.5</v>
      </c>
      <c r="J70" s="2">
        <v>11</v>
      </c>
      <c r="K70" s="2" t="s">
        <v>21</v>
      </c>
      <c r="L70" s="2">
        <v>1.51</v>
      </c>
      <c r="M70" s="2" t="s">
        <v>40</v>
      </c>
      <c r="N70" s="2">
        <v>83.51</v>
      </c>
      <c r="O70" s="2" t="s">
        <v>24</v>
      </c>
      <c r="P70" s="2">
        <v>3.36</v>
      </c>
      <c r="Q70" s="2">
        <v>8.7799999999999994</v>
      </c>
      <c r="R70" s="3">
        <f t="shared" si="5"/>
        <v>1811.2752</v>
      </c>
      <c r="S70" s="3">
        <f t="shared" si="6"/>
        <v>4733.0346</v>
      </c>
      <c r="T70" s="3">
        <f t="shared" si="7"/>
        <v>2921.7593999999999</v>
      </c>
      <c r="U70" s="4">
        <f t="shared" si="8"/>
        <v>0.61731207289293843</v>
      </c>
      <c r="V70" s="5">
        <f t="shared" si="9"/>
        <v>8.1399570000000008</v>
      </c>
    </row>
    <row r="71" spans="1:22" x14ac:dyDescent="0.25">
      <c r="A71" s="2" t="s">
        <v>105</v>
      </c>
      <c r="B71" s="2" t="s">
        <v>45</v>
      </c>
      <c r="C71" s="2" t="s">
        <v>19</v>
      </c>
      <c r="D71" s="2" t="s">
        <v>20</v>
      </c>
      <c r="E71" s="2">
        <v>367.35</v>
      </c>
      <c r="F71" s="2">
        <v>9.2799999999999994</v>
      </c>
      <c r="G71" s="2">
        <v>23.37</v>
      </c>
      <c r="H71" s="2">
        <v>0.8</v>
      </c>
      <c r="I71" s="2">
        <v>0.2</v>
      </c>
      <c r="J71" s="2">
        <v>20</v>
      </c>
      <c r="K71" s="2" t="s">
        <v>34</v>
      </c>
      <c r="L71" s="2">
        <v>4.34</v>
      </c>
      <c r="M71" s="2" t="s">
        <v>22</v>
      </c>
      <c r="N71" s="2">
        <v>99.92</v>
      </c>
      <c r="O71" s="2" t="s">
        <v>30</v>
      </c>
      <c r="P71" s="2">
        <v>4.2</v>
      </c>
      <c r="Q71" s="2">
        <v>10.41</v>
      </c>
      <c r="R71" s="3">
        <f t="shared" si="5"/>
        <v>1542.8700000000001</v>
      </c>
      <c r="S71" s="3">
        <f t="shared" si="6"/>
        <v>3824.1135000000004</v>
      </c>
      <c r="T71" s="3">
        <f t="shared" si="7"/>
        <v>2281.2435000000005</v>
      </c>
      <c r="U71" s="4">
        <f t="shared" si="8"/>
        <v>0.59654178674351588</v>
      </c>
      <c r="V71" s="5">
        <f t="shared" si="9"/>
        <v>15.94299</v>
      </c>
    </row>
    <row r="72" spans="1:22" x14ac:dyDescent="0.25">
      <c r="A72" s="2" t="s">
        <v>106</v>
      </c>
      <c r="B72" s="2" t="s">
        <v>45</v>
      </c>
      <c r="C72" s="2" t="s">
        <v>43</v>
      </c>
      <c r="D72" s="2" t="s">
        <v>28</v>
      </c>
      <c r="E72" s="2">
        <v>604.73</v>
      </c>
      <c r="F72" s="2">
        <v>14.5</v>
      </c>
      <c r="G72" s="2">
        <v>31.62</v>
      </c>
      <c r="H72" s="2">
        <v>2.5</v>
      </c>
      <c r="I72" s="2">
        <v>1</v>
      </c>
      <c r="J72" s="2">
        <v>5</v>
      </c>
      <c r="K72" s="2" t="s">
        <v>21</v>
      </c>
      <c r="L72" s="2">
        <v>5.93</v>
      </c>
      <c r="M72" s="2" t="s">
        <v>37</v>
      </c>
      <c r="N72" s="2">
        <v>58.43</v>
      </c>
      <c r="O72" s="2" t="s">
        <v>24</v>
      </c>
      <c r="P72" s="2">
        <v>3.71</v>
      </c>
      <c r="Q72" s="2">
        <v>5.73</v>
      </c>
      <c r="R72" s="3">
        <f t="shared" si="5"/>
        <v>2243.5482999999999</v>
      </c>
      <c r="S72" s="3">
        <f t="shared" si="6"/>
        <v>3465.1029000000003</v>
      </c>
      <c r="T72" s="3">
        <f t="shared" si="7"/>
        <v>1221.5546000000004</v>
      </c>
      <c r="U72" s="4">
        <f t="shared" si="8"/>
        <v>0.35253054101221648</v>
      </c>
      <c r="V72" s="5">
        <f t="shared" si="9"/>
        <v>35.860489000000001</v>
      </c>
    </row>
    <row r="73" spans="1:22" x14ac:dyDescent="0.25">
      <c r="A73" s="2" t="s">
        <v>107</v>
      </c>
      <c r="B73" s="2" t="s">
        <v>45</v>
      </c>
      <c r="C73" s="2" t="s">
        <v>19</v>
      </c>
      <c r="D73" s="2" t="s">
        <v>28</v>
      </c>
      <c r="E73" s="2">
        <v>616.96</v>
      </c>
      <c r="F73" s="2">
        <v>17.82</v>
      </c>
      <c r="G73" s="2">
        <v>34.29</v>
      </c>
      <c r="H73" s="2">
        <v>2.7</v>
      </c>
      <c r="I73" s="2">
        <v>2.5</v>
      </c>
      <c r="J73" s="2">
        <v>16</v>
      </c>
      <c r="K73" s="2" t="s">
        <v>29</v>
      </c>
      <c r="L73" s="2">
        <v>0.56999999999999995</v>
      </c>
      <c r="M73" s="2" t="s">
        <v>22</v>
      </c>
      <c r="N73" s="2">
        <v>54.39</v>
      </c>
      <c r="O73" s="2" t="s">
        <v>24</v>
      </c>
      <c r="P73" s="2">
        <v>3.55</v>
      </c>
      <c r="Q73" s="2">
        <v>11.04</v>
      </c>
      <c r="R73" s="3">
        <f t="shared" si="5"/>
        <v>2190.2080000000001</v>
      </c>
      <c r="S73" s="3">
        <f t="shared" si="6"/>
        <v>6811.2384000000002</v>
      </c>
      <c r="T73" s="3">
        <f t="shared" si="7"/>
        <v>4621.0303999999996</v>
      </c>
      <c r="U73" s="4">
        <f t="shared" si="8"/>
        <v>0.67844202898550721</v>
      </c>
      <c r="V73" s="5">
        <f t="shared" si="9"/>
        <v>3.5166719999999998</v>
      </c>
    </row>
    <row r="74" spans="1:22" x14ac:dyDescent="0.25">
      <c r="A74" s="2" t="s">
        <v>108</v>
      </c>
      <c r="B74" s="2" t="s">
        <v>32</v>
      </c>
      <c r="C74" s="2" t="s">
        <v>27</v>
      </c>
      <c r="D74" s="2" t="s">
        <v>28</v>
      </c>
      <c r="E74" s="2">
        <v>477.06</v>
      </c>
      <c r="F74" s="2">
        <v>17.12</v>
      </c>
      <c r="G74" s="2">
        <v>38.33</v>
      </c>
      <c r="H74" s="2">
        <v>0.1</v>
      </c>
      <c r="I74" s="2">
        <v>1.1000000000000001</v>
      </c>
      <c r="J74" s="2">
        <v>23</v>
      </c>
      <c r="K74" s="2" t="s">
        <v>29</v>
      </c>
      <c r="L74" s="2">
        <v>6.7</v>
      </c>
      <c r="M74" s="2" t="s">
        <v>37</v>
      </c>
      <c r="N74" s="2">
        <v>56.97</v>
      </c>
      <c r="O74" s="2" t="s">
        <v>23</v>
      </c>
      <c r="P74" s="2">
        <v>3.18</v>
      </c>
      <c r="Q74" s="2">
        <v>14.93</v>
      </c>
      <c r="R74" s="3">
        <f t="shared" si="5"/>
        <v>1517.0508</v>
      </c>
      <c r="S74" s="3">
        <f t="shared" si="6"/>
        <v>7122.5057999999999</v>
      </c>
      <c r="T74" s="3">
        <f t="shared" si="7"/>
        <v>5605.4549999999999</v>
      </c>
      <c r="U74" s="4">
        <f t="shared" si="8"/>
        <v>0.78700602813127929</v>
      </c>
      <c r="V74" s="5">
        <f t="shared" si="9"/>
        <v>31.96302</v>
      </c>
    </row>
    <row r="75" spans="1:22" x14ac:dyDescent="0.25">
      <c r="A75" s="2" t="s">
        <v>109</v>
      </c>
      <c r="B75" s="2" t="s">
        <v>45</v>
      </c>
      <c r="C75" s="2" t="s">
        <v>33</v>
      </c>
      <c r="D75" s="2" t="s">
        <v>28</v>
      </c>
      <c r="E75" s="2">
        <v>495.65</v>
      </c>
      <c r="F75" s="2">
        <v>12.39</v>
      </c>
      <c r="G75" s="2">
        <v>34.11</v>
      </c>
      <c r="H75" s="2">
        <v>0.5</v>
      </c>
      <c r="I75" s="2">
        <v>1.7</v>
      </c>
      <c r="J75" s="2">
        <v>1</v>
      </c>
      <c r="K75" s="2" t="s">
        <v>29</v>
      </c>
      <c r="L75" s="2">
        <v>6.77</v>
      </c>
      <c r="M75" s="2" t="s">
        <v>22</v>
      </c>
      <c r="N75" s="2">
        <v>63.46</v>
      </c>
      <c r="O75" s="2" t="s">
        <v>23</v>
      </c>
      <c r="P75" s="2">
        <v>3.39</v>
      </c>
      <c r="Q75" s="2">
        <v>14.64</v>
      </c>
      <c r="R75" s="3">
        <f t="shared" si="5"/>
        <v>1680.2535</v>
      </c>
      <c r="S75" s="3">
        <f t="shared" si="6"/>
        <v>7256.3159999999998</v>
      </c>
      <c r="T75" s="3">
        <f t="shared" si="7"/>
        <v>5576.0625</v>
      </c>
      <c r="U75" s="4">
        <f t="shared" si="8"/>
        <v>0.76844262295081966</v>
      </c>
      <c r="V75" s="5">
        <f t="shared" si="9"/>
        <v>33.555504999999997</v>
      </c>
    </row>
    <row r="76" spans="1:22" x14ac:dyDescent="0.25">
      <c r="A76" s="2" t="s">
        <v>110</v>
      </c>
      <c r="B76" s="2" t="s">
        <v>32</v>
      </c>
      <c r="C76" s="2" t="s">
        <v>19</v>
      </c>
      <c r="D76" s="2" t="s">
        <v>20</v>
      </c>
      <c r="E76" s="2">
        <v>346.89</v>
      </c>
      <c r="F76" s="2">
        <v>8.4</v>
      </c>
      <c r="G76" s="2">
        <v>33.44</v>
      </c>
      <c r="H76" s="2">
        <v>0.6</v>
      </c>
      <c r="I76" s="2">
        <v>0.1</v>
      </c>
      <c r="J76" s="2">
        <v>19</v>
      </c>
      <c r="K76" s="2" t="s">
        <v>21</v>
      </c>
      <c r="L76" s="2">
        <v>6.7</v>
      </c>
      <c r="M76" s="2" t="s">
        <v>37</v>
      </c>
      <c r="N76" s="2">
        <v>70.84</v>
      </c>
      <c r="O76" s="2" t="s">
        <v>24</v>
      </c>
      <c r="P76" s="2">
        <v>6.1</v>
      </c>
      <c r="Q76" s="2">
        <v>13.29</v>
      </c>
      <c r="R76" s="3">
        <f t="shared" si="5"/>
        <v>2116.029</v>
      </c>
      <c r="S76" s="3">
        <f t="shared" si="6"/>
        <v>4610.1680999999999</v>
      </c>
      <c r="T76" s="3">
        <f t="shared" si="7"/>
        <v>2494.1390999999999</v>
      </c>
      <c r="U76" s="4">
        <f t="shared" si="8"/>
        <v>0.5410082768999247</v>
      </c>
      <c r="V76" s="5">
        <f t="shared" si="9"/>
        <v>23.241630000000001</v>
      </c>
    </row>
    <row r="77" spans="1:22" x14ac:dyDescent="0.25">
      <c r="A77" s="2" t="s">
        <v>111</v>
      </c>
      <c r="B77" s="2" t="s">
        <v>45</v>
      </c>
      <c r="C77" s="2" t="s">
        <v>19</v>
      </c>
      <c r="D77" s="2" t="s">
        <v>28</v>
      </c>
      <c r="E77" s="2">
        <v>551.42999999999995</v>
      </c>
      <c r="F77" s="2">
        <v>11.62</v>
      </c>
      <c r="G77" s="2">
        <v>27.89</v>
      </c>
      <c r="H77" s="2">
        <v>1.6</v>
      </c>
      <c r="I77" s="2">
        <v>0.3</v>
      </c>
      <c r="J77" s="2">
        <v>14</v>
      </c>
      <c r="K77" s="2" t="s">
        <v>34</v>
      </c>
      <c r="L77" s="2">
        <v>2.0499999999999998</v>
      </c>
      <c r="M77" s="2" t="s">
        <v>22</v>
      </c>
      <c r="N77" s="2">
        <v>93.13</v>
      </c>
      <c r="O77" s="2" t="s">
        <v>24</v>
      </c>
      <c r="P77" s="2">
        <v>4.7699999999999996</v>
      </c>
      <c r="Q77" s="2">
        <v>7.66</v>
      </c>
      <c r="R77" s="3">
        <f t="shared" si="5"/>
        <v>2630.3210999999997</v>
      </c>
      <c r="S77" s="3">
        <f t="shared" si="6"/>
        <v>4223.9537999999993</v>
      </c>
      <c r="T77" s="3">
        <f t="shared" si="7"/>
        <v>1593.6326999999997</v>
      </c>
      <c r="U77" s="4">
        <f t="shared" si="8"/>
        <v>0.37728459530026109</v>
      </c>
      <c r="V77" s="5">
        <f t="shared" si="9"/>
        <v>11.304314999999997</v>
      </c>
    </row>
    <row r="78" spans="1:22" x14ac:dyDescent="0.25">
      <c r="A78" s="2" t="s">
        <v>112</v>
      </c>
      <c r="B78" s="2" t="s">
        <v>26</v>
      </c>
      <c r="C78" s="2" t="s">
        <v>27</v>
      </c>
      <c r="D78" s="2" t="s">
        <v>20</v>
      </c>
      <c r="E78" s="2">
        <v>557.21</v>
      </c>
      <c r="F78" s="2">
        <v>16.260000000000002</v>
      </c>
      <c r="G78" s="2">
        <v>20.03</v>
      </c>
      <c r="H78" s="2">
        <v>0.3</v>
      </c>
      <c r="I78" s="2">
        <v>2.2000000000000002</v>
      </c>
      <c r="J78" s="2">
        <v>3</v>
      </c>
      <c r="K78" s="2" t="s">
        <v>29</v>
      </c>
      <c r="L78" s="2">
        <v>2.93</v>
      </c>
      <c r="M78" s="2" t="s">
        <v>40</v>
      </c>
      <c r="N78" s="2">
        <v>64.180000000000007</v>
      </c>
      <c r="O78" s="2" t="s">
        <v>23</v>
      </c>
      <c r="P78" s="2">
        <v>3.89</v>
      </c>
      <c r="Q78" s="2">
        <v>5.22</v>
      </c>
      <c r="R78" s="3">
        <f t="shared" si="5"/>
        <v>2167.5469000000003</v>
      </c>
      <c r="S78" s="3">
        <f t="shared" si="6"/>
        <v>2908.6361999999999</v>
      </c>
      <c r="T78" s="3">
        <f t="shared" si="7"/>
        <v>741.08929999999964</v>
      </c>
      <c r="U78" s="4">
        <f t="shared" si="8"/>
        <v>0.25478927203065121</v>
      </c>
      <c r="V78" s="5">
        <f t="shared" si="9"/>
        <v>16.326253000000001</v>
      </c>
    </row>
    <row r="79" spans="1:22" x14ac:dyDescent="0.25">
      <c r="A79" s="2" t="s">
        <v>113</v>
      </c>
      <c r="B79" s="2" t="s">
        <v>26</v>
      </c>
      <c r="C79" s="2" t="s">
        <v>19</v>
      </c>
      <c r="D79" s="2" t="s">
        <v>28</v>
      </c>
      <c r="E79" s="2">
        <v>493.78</v>
      </c>
      <c r="F79" s="2">
        <v>15.01</v>
      </c>
      <c r="G79" s="2">
        <v>22.4</v>
      </c>
      <c r="H79" s="2">
        <v>0.3</v>
      </c>
      <c r="I79" s="2">
        <v>1.3</v>
      </c>
      <c r="J79" s="2">
        <v>2</v>
      </c>
      <c r="K79" s="2" t="s">
        <v>21</v>
      </c>
      <c r="L79" s="2">
        <v>2.85</v>
      </c>
      <c r="M79" s="2" t="s">
        <v>22</v>
      </c>
      <c r="N79" s="2">
        <v>95.76</v>
      </c>
      <c r="O79" s="2" t="s">
        <v>30</v>
      </c>
      <c r="P79" s="2">
        <v>7.61</v>
      </c>
      <c r="Q79" s="2">
        <v>13.34</v>
      </c>
      <c r="R79" s="3">
        <f t="shared" si="5"/>
        <v>3757.6657999999998</v>
      </c>
      <c r="S79" s="3">
        <f t="shared" si="6"/>
        <v>6587.0251999999991</v>
      </c>
      <c r="T79" s="3">
        <f t="shared" si="7"/>
        <v>2829.3593999999994</v>
      </c>
      <c r="U79" s="4">
        <f t="shared" si="8"/>
        <v>0.42953523238380803</v>
      </c>
      <c r="V79" s="5">
        <f t="shared" si="9"/>
        <v>14.07273</v>
      </c>
    </row>
    <row r="80" spans="1:22" x14ac:dyDescent="0.25">
      <c r="A80" s="2" t="s">
        <v>114</v>
      </c>
      <c r="B80" s="2" t="s">
        <v>18</v>
      </c>
      <c r="C80" s="2" t="s">
        <v>19</v>
      </c>
      <c r="D80" s="2" t="s">
        <v>20</v>
      </c>
      <c r="E80" s="2">
        <v>612.44000000000005</v>
      </c>
      <c r="F80" s="2">
        <v>12.59</v>
      </c>
      <c r="G80" s="2">
        <v>30.69</v>
      </c>
      <c r="H80" s="2">
        <v>5.8</v>
      </c>
      <c r="I80" s="2">
        <v>1</v>
      </c>
      <c r="J80" s="2">
        <v>24</v>
      </c>
      <c r="K80" s="2" t="s">
        <v>21</v>
      </c>
      <c r="L80" s="2">
        <v>9.6199999999999992</v>
      </c>
      <c r="M80" s="2" t="s">
        <v>22</v>
      </c>
      <c r="N80" s="2">
        <v>73.150000000000006</v>
      </c>
      <c r="O80" s="2" t="s">
        <v>30</v>
      </c>
      <c r="P80" s="2">
        <v>4.58</v>
      </c>
      <c r="Q80" s="2">
        <v>5.56</v>
      </c>
      <c r="R80" s="3">
        <f t="shared" si="5"/>
        <v>2804.9752000000003</v>
      </c>
      <c r="S80" s="3">
        <f t="shared" si="6"/>
        <v>3405.1664000000001</v>
      </c>
      <c r="T80" s="3">
        <f t="shared" si="7"/>
        <v>600.19119999999975</v>
      </c>
      <c r="U80" s="4">
        <f t="shared" si="8"/>
        <v>0.17625899280575533</v>
      </c>
      <c r="V80" s="5">
        <f t="shared" si="9"/>
        <v>58.916728000000006</v>
      </c>
    </row>
    <row r="81" spans="1:22" x14ac:dyDescent="0.25">
      <c r="A81" s="2" t="s">
        <v>115</v>
      </c>
      <c r="B81" s="2" t="s">
        <v>26</v>
      </c>
      <c r="C81" s="2" t="s">
        <v>27</v>
      </c>
      <c r="D81" s="2" t="s">
        <v>28</v>
      </c>
      <c r="E81" s="2">
        <v>466.59</v>
      </c>
      <c r="F81" s="2">
        <v>8.5500000000000007</v>
      </c>
      <c r="G81" s="2">
        <v>33.5</v>
      </c>
      <c r="H81" s="2">
        <v>3.3</v>
      </c>
      <c r="I81" s="2">
        <v>1.1000000000000001</v>
      </c>
      <c r="J81" s="2">
        <v>5</v>
      </c>
      <c r="K81" s="2" t="s">
        <v>29</v>
      </c>
      <c r="L81" s="2">
        <v>1.1399999999999999</v>
      </c>
      <c r="M81" s="2" t="s">
        <v>40</v>
      </c>
      <c r="N81" s="2">
        <v>82.35</v>
      </c>
      <c r="O81" s="2" t="s">
        <v>23</v>
      </c>
      <c r="P81" s="2">
        <v>3.13</v>
      </c>
      <c r="Q81" s="2">
        <v>7.06</v>
      </c>
      <c r="R81" s="3">
        <f t="shared" si="5"/>
        <v>1460.4267</v>
      </c>
      <c r="S81" s="3">
        <f t="shared" si="6"/>
        <v>3294.1253999999994</v>
      </c>
      <c r="T81" s="3">
        <f t="shared" si="7"/>
        <v>1833.6986999999995</v>
      </c>
      <c r="U81" s="4">
        <f t="shared" si="8"/>
        <v>0.55665722379603388</v>
      </c>
      <c r="V81" s="5">
        <f t="shared" si="9"/>
        <v>5.3191259999999989</v>
      </c>
    </row>
    <row r="82" spans="1:22" x14ac:dyDescent="0.25">
      <c r="A82" s="2" t="s">
        <v>116</v>
      </c>
      <c r="B82" s="2" t="s">
        <v>18</v>
      </c>
      <c r="C82" s="2" t="s">
        <v>43</v>
      </c>
      <c r="D82" s="2" t="s">
        <v>28</v>
      </c>
      <c r="E82" s="2">
        <v>556.46</v>
      </c>
      <c r="F82" s="2">
        <v>12.27</v>
      </c>
      <c r="G82" s="2">
        <v>28.35</v>
      </c>
      <c r="H82" s="2">
        <v>0.4</v>
      </c>
      <c r="I82" s="2">
        <v>0.5</v>
      </c>
      <c r="J82" s="2">
        <v>17</v>
      </c>
      <c r="K82" s="2" t="s">
        <v>29</v>
      </c>
      <c r="L82" s="2">
        <v>4.57</v>
      </c>
      <c r="M82" s="2" t="s">
        <v>22</v>
      </c>
      <c r="N82" s="2">
        <v>63.22</v>
      </c>
      <c r="O82" s="2" t="s">
        <v>24</v>
      </c>
      <c r="P82" s="2">
        <v>5.93</v>
      </c>
      <c r="Q82" s="2">
        <v>10.44</v>
      </c>
      <c r="R82" s="3">
        <f t="shared" si="5"/>
        <v>3299.8078</v>
      </c>
      <c r="S82" s="3">
        <f t="shared" si="6"/>
        <v>5809.4423999999999</v>
      </c>
      <c r="T82" s="3">
        <f t="shared" si="7"/>
        <v>2509.6345999999999</v>
      </c>
      <c r="U82" s="4">
        <f t="shared" si="8"/>
        <v>0.43199233716475094</v>
      </c>
      <c r="V82" s="5">
        <f t="shared" si="9"/>
        <v>25.430222000000004</v>
      </c>
    </row>
    <row r="83" spans="1:22" x14ac:dyDescent="0.25">
      <c r="A83" s="2" t="s">
        <v>117</v>
      </c>
      <c r="B83" s="2" t="s">
        <v>26</v>
      </c>
      <c r="C83" s="2" t="s">
        <v>27</v>
      </c>
      <c r="D83" s="2" t="s">
        <v>20</v>
      </c>
      <c r="E83" s="2">
        <v>398.03</v>
      </c>
      <c r="F83" s="2">
        <v>12.69</v>
      </c>
      <c r="G83" s="2">
        <v>34.61</v>
      </c>
      <c r="H83" s="2">
        <v>1</v>
      </c>
      <c r="I83" s="2">
        <v>0</v>
      </c>
      <c r="J83" s="2">
        <v>28</v>
      </c>
      <c r="K83" s="2" t="s">
        <v>29</v>
      </c>
      <c r="L83" s="2">
        <v>8.7799999999999994</v>
      </c>
      <c r="M83" s="2" t="s">
        <v>40</v>
      </c>
      <c r="N83" s="2">
        <v>57.8</v>
      </c>
      <c r="O83" s="2" t="s">
        <v>23</v>
      </c>
      <c r="P83" s="2">
        <v>5.17</v>
      </c>
      <c r="Q83" s="2">
        <v>6.78</v>
      </c>
      <c r="R83" s="3">
        <f t="shared" si="5"/>
        <v>2057.8150999999998</v>
      </c>
      <c r="S83" s="3">
        <f t="shared" si="6"/>
        <v>2698.6433999999999</v>
      </c>
      <c r="T83" s="3">
        <f t="shared" si="7"/>
        <v>640.82830000000013</v>
      </c>
      <c r="U83" s="4">
        <f t="shared" si="8"/>
        <v>0.23746312684365786</v>
      </c>
      <c r="V83" s="5">
        <f t="shared" si="9"/>
        <v>34.947033999999995</v>
      </c>
    </row>
    <row r="84" spans="1:22" x14ac:dyDescent="0.25">
      <c r="A84" s="2" t="s">
        <v>118</v>
      </c>
      <c r="B84" s="2" t="s">
        <v>32</v>
      </c>
      <c r="C84" s="2" t="s">
        <v>43</v>
      </c>
      <c r="D84" s="2" t="s">
        <v>28</v>
      </c>
      <c r="E84" s="2">
        <v>497.64</v>
      </c>
      <c r="F84" s="2">
        <v>17.29</v>
      </c>
      <c r="G84" s="2">
        <v>30.44</v>
      </c>
      <c r="H84" s="2">
        <v>0.9</v>
      </c>
      <c r="I84" s="2">
        <v>1.5</v>
      </c>
      <c r="J84" s="2">
        <v>18</v>
      </c>
      <c r="K84" s="2" t="s">
        <v>34</v>
      </c>
      <c r="L84" s="2">
        <v>7.81</v>
      </c>
      <c r="M84" s="2" t="s">
        <v>37</v>
      </c>
      <c r="N84" s="2">
        <v>93.47</v>
      </c>
      <c r="O84" s="2" t="s">
        <v>30</v>
      </c>
      <c r="P84" s="2">
        <v>5.23</v>
      </c>
      <c r="Q84" s="2">
        <v>13.34</v>
      </c>
      <c r="R84" s="3">
        <f t="shared" si="5"/>
        <v>2602.6572000000001</v>
      </c>
      <c r="S84" s="3">
        <f t="shared" si="6"/>
        <v>6638.5176000000001</v>
      </c>
      <c r="T84" s="3">
        <f t="shared" si="7"/>
        <v>4035.8604</v>
      </c>
      <c r="U84" s="4">
        <f t="shared" si="8"/>
        <v>0.60794602698650679</v>
      </c>
      <c r="V84" s="5">
        <f t="shared" si="9"/>
        <v>38.865683999999995</v>
      </c>
    </row>
    <row r="85" spans="1:22" x14ac:dyDescent="0.25">
      <c r="A85" s="2" t="s">
        <v>119</v>
      </c>
      <c r="B85" s="2" t="s">
        <v>26</v>
      </c>
      <c r="C85" s="2" t="s">
        <v>33</v>
      </c>
      <c r="D85" s="2" t="s">
        <v>28</v>
      </c>
      <c r="E85" s="2">
        <v>482.56</v>
      </c>
      <c r="F85" s="2">
        <v>14.41</v>
      </c>
      <c r="G85" s="2">
        <v>21.48</v>
      </c>
      <c r="H85" s="2">
        <v>3.1</v>
      </c>
      <c r="I85" s="2">
        <v>1.1000000000000001</v>
      </c>
      <c r="J85" s="2">
        <v>1</v>
      </c>
      <c r="K85" s="2" t="s">
        <v>34</v>
      </c>
      <c r="L85" s="2">
        <v>8.31</v>
      </c>
      <c r="M85" s="2" t="s">
        <v>40</v>
      </c>
      <c r="N85" s="2">
        <v>55.48</v>
      </c>
      <c r="O85" s="2" t="s">
        <v>23</v>
      </c>
      <c r="P85" s="2">
        <v>6.12</v>
      </c>
      <c r="Q85" s="2">
        <v>12.77</v>
      </c>
      <c r="R85" s="3">
        <f t="shared" si="5"/>
        <v>2953.2672000000002</v>
      </c>
      <c r="S85" s="3">
        <f t="shared" si="6"/>
        <v>6162.2911999999997</v>
      </c>
      <c r="T85" s="3">
        <f t="shared" si="7"/>
        <v>3209.0239999999994</v>
      </c>
      <c r="U85" s="4">
        <f t="shared" si="8"/>
        <v>0.52075176194205164</v>
      </c>
      <c r="V85" s="5">
        <f t="shared" si="9"/>
        <v>40.100736000000005</v>
      </c>
    </row>
    <row r="86" spans="1:22" x14ac:dyDescent="0.25">
      <c r="A86" s="2" t="s">
        <v>120</v>
      </c>
      <c r="B86" s="2" t="s">
        <v>18</v>
      </c>
      <c r="C86" s="2" t="s">
        <v>43</v>
      </c>
      <c r="D86" s="2" t="s">
        <v>28</v>
      </c>
      <c r="E86" s="2">
        <v>522.53</v>
      </c>
      <c r="F86" s="2">
        <v>11.12</v>
      </c>
      <c r="G86" s="2">
        <v>23.84</v>
      </c>
      <c r="H86" s="2">
        <v>1.4</v>
      </c>
      <c r="I86" s="2">
        <v>0.6</v>
      </c>
      <c r="J86" s="2">
        <v>15</v>
      </c>
      <c r="K86" s="2" t="s">
        <v>21</v>
      </c>
      <c r="L86" s="2">
        <v>9.74</v>
      </c>
      <c r="M86" s="2" t="s">
        <v>40</v>
      </c>
      <c r="N86" s="2">
        <v>88.7</v>
      </c>
      <c r="O86" s="2" t="s">
        <v>30</v>
      </c>
      <c r="P86" s="2">
        <v>7.68</v>
      </c>
      <c r="Q86" s="2">
        <v>12.56</v>
      </c>
      <c r="R86" s="3">
        <f t="shared" si="5"/>
        <v>4013.0303999999996</v>
      </c>
      <c r="S86" s="3">
        <f t="shared" si="6"/>
        <v>6562.9768000000004</v>
      </c>
      <c r="T86" s="3">
        <f t="shared" si="7"/>
        <v>2549.9464000000007</v>
      </c>
      <c r="U86" s="4">
        <f t="shared" si="8"/>
        <v>0.38853503184713384</v>
      </c>
      <c r="V86" s="5">
        <f t="shared" si="9"/>
        <v>50.894421999999992</v>
      </c>
    </row>
    <row r="87" spans="1:22" x14ac:dyDescent="0.25">
      <c r="A87" s="2" t="s">
        <v>121</v>
      </c>
      <c r="B87" s="2" t="s">
        <v>18</v>
      </c>
      <c r="C87" s="2" t="s">
        <v>43</v>
      </c>
      <c r="D87" s="2" t="s">
        <v>20</v>
      </c>
      <c r="E87" s="2">
        <v>463.05</v>
      </c>
      <c r="F87" s="2">
        <v>13.25</v>
      </c>
      <c r="G87" s="2">
        <v>36.799999999999997</v>
      </c>
      <c r="H87" s="2">
        <v>0.3</v>
      </c>
      <c r="I87" s="2">
        <v>2.2999999999999998</v>
      </c>
      <c r="J87" s="2">
        <v>22</v>
      </c>
      <c r="K87" s="2" t="s">
        <v>29</v>
      </c>
      <c r="L87" s="2">
        <v>4.18</v>
      </c>
      <c r="M87" s="2" t="s">
        <v>37</v>
      </c>
      <c r="N87" s="2">
        <v>79.05</v>
      </c>
      <c r="O87" s="2" t="s">
        <v>24</v>
      </c>
      <c r="P87" s="2">
        <v>7.32</v>
      </c>
      <c r="Q87" s="2">
        <v>13.16</v>
      </c>
      <c r="R87" s="3">
        <f t="shared" si="5"/>
        <v>3389.5260000000003</v>
      </c>
      <c r="S87" s="3">
        <f t="shared" si="6"/>
        <v>6093.7380000000003</v>
      </c>
      <c r="T87" s="3">
        <f t="shared" si="7"/>
        <v>2704.212</v>
      </c>
      <c r="U87" s="4">
        <f t="shared" si="8"/>
        <v>0.44376899696048627</v>
      </c>
      <c r="V87" s="5">
        <f t="shared" si="9"/>
        <v>19.35549</v>
      </c>
    </row>
    <row r="88" spans="1:22" x14ac:dyDescent="0.25">
      <c r="A88" s="2" t="s">
        <v>122</v>
      </c>
      <c r="B88" s="2" t="s">
        <v>45</v>
      </c>
      <c r="C88" s="2" t="s">
        <v>33</v>
      </c>
      <c r="D88" s="2" t="s">
        <v>28</v>
      </c>
      <c r="E88" s="2">
        <v>486.85</v>
      </c>
      <c r="F88" s="2">
        <v>8.66</v>
      </c>
      <c r="G88" s="2">
        <v>34.5</v>
      </c>
      <c r="H88" s="2">
        <v>2.7</v>
      </c>
      <c r="I88" s="2">
        <v>0.4</v>
      </c>
      <c r="J88" s="2">
        <v>9</v>
      </c>
      <c r="K88" s="2" t="s">
        <v>29</v>
      </c>
      <c r="L88" s="2">
        <v>3.44</v>
      </c>
      <c r="M88" s="2" t="s">
        <v>40</v>
      </c>
      <c r="N88" s="2">
        <v>93.06</v>
      </c>
      <c r="O88" s="2" t="s">
        <v>24</v>
      </c>
      <c r="P88" s="2">
        <v>9.56</v>
      </c>
      <c r="Q88" s="2">
        <v>7.2</v>
      </c>
      <c r="R88" s="3">
        <f t="shared" si="5"/>
        <v>4654.2860000000001</v>
      </c>
      <c r="S88" s="3">
        <f t="shared" si="6"/>
        <v>3505.32</v>
      </c>
      <c r="T88" s="3">
        <f t="shared" si="7"/>
        <v>-1148.9659999999999</v>
      </c>
      <c r="U88" s="4">
        <f t="shared" si="8"/>
        <v>-0.32777777777777772</v>
      </c>
      <c r="V88" s="5">
        <f t="shared" si="9"/>
        <v>16.747640000000001</v>
      </c>
    </row>
    <row r="89" spans="1:22" x14ac:dyDescent="0.25">
      <c r="A89" s="2" t="s">
        <v>123</v>
      </c>
      <c r="B89" s="2" t="s">
        <v>32</v>
      </c>
      <c r="C89" s="2" t="s">
        <v>43</v>
      </c>
      <c r="D89" s="2" t="s">
        <v>28</v>
      </c>
      <c r="E89" s="2">
        <v>582.6</v>
      </c>
      <c r="F89" s="2">
        <v>17.73</v>
      </c>
      <c r="G89" s="2">
        <v>37.9</v>
      </c>
      <c r="H89" s="2">
        <v>1</v>
      </c>
      <c r="I89" s="2">
        <v>0.3</v>
      </c>
      <c r="J89" s="2">
        <v>27</v>
      </c>
      <c r="K89" s="2" t="s">
        <v>34</v>
      </c>
      <c r="L89" s="2">
        <v>0.79</v>
      </c>
      <c r="M89" s="2" t="s">
        <v>40</v>
      </c>
      <c r="N89" s="2">
        <v>85.89</v>
      </c>
      <c r="O89" s="2" t="s">
        <v>24</v>
      </c>
      <c r="P89" s="2">
        <v>6.62</v>
      </c>
      <c r="Q89" s="2">
        <v>12.29</v>
      </c>
      <c r="R89" s="3">
        <f t="shared" si="5"/>
        <v>3856.8120000000004</v>
      </c>
      <c r="S89" s="3">
        <f t="shared" si="6"/>
        <v>7160.1539999999995</v>
      </c>
      <c r="T89" s="3">
        <f t="shared" si="7"/>
        <v>3303.3419999999992</v>
      </c>
      <c r="U89" s="4">
        <f t="shared" si="8"/>
        <v>0.4613506916192025</v>
      </c>
      <c r="V89" s="5">
        <f t="shared" si="9"/>
        <v>4.6025400000000003</v>
      </c>
    </row>
    <row r="90" spans="1:22" x14ac:dyDescent="0.25">
      <c r="A90" s="2" t="s">
        <v>124</v>
      </c>
      <c r="B90" s="2" t="s">
        <v>26</v>
      </c>
      <c r="C90" s="2" t="s">
        <v>27</v>
      </c>
      <c r="D90" s="2" t="s">
        <v>20</v>
      </c>
      <c r="E90" s="2">
        <v>456.32</v>
      </c>
      <c r="F90" s="2">
        <v>11.6</v>
      </c>
      <c r="G90" s="2">
        <v>22.35</v>
      </c>
      <c r="H90" s="2">
        <v>0.6</v>
      </c>
      <c r="I90" s="2">
        <v>2.1</v>
      </c>
      <c r="J90" s="2">
        <v>23</v>
      </c>
      <c r="K90" s="2" t="s">
        <v>29</v>
      </c>
      <c r="L90" s="2">
        <v>1.93</v>
      </c>
      <c r="M90" s="2" t="s">
        <v>37</v>
      </c>
      <c r="N90" s="2">
        <v>64.08</v>
      </c>
      <c r="O90" s="2" t="s">
        <v>30</v>
      </c>
      <c r="P90" s="2">
        <v>6.31</v>
      </c>
      <c r="Q90" s="2">
        <v>8.5500000000000007</v>
      </c>
      <c r="R90" s="3">
        <f t="shared" si="5"/>
        <v>2879.3791999999999</v>
      </c>
      <c r="S90" s="3">
        <f t="shared" si="6"/>
        <v>3901.5360000000001</v>
      </c>
      <c r="T90" s="3">
        <f t="shared" si="7"/>
        <v>1022.1568000000002</v>
      </c>
      <c r="U90" s="4">
        <f t="shared" si="8"/>
        <v>0.26198830409356733</v>
      </c>
      <c r="V90" s="5">
        <f t="shared" si="9"/>
        <v>8.8069759999999988</v>
      </c>
    </row>
    <row r="91" spans="1:22" x14ac:dyDescent="0.25">
      <c r="A91" s="2" t="s">
        <v>125</v>
      </c>
      <c r="B91" s="2" t="s">
        <v>45</v>
      </c>
      <c r="C91" s="2" t="s">
        <v>43</v>
      </c>
      <c r="D91" s="2" t="s">
        <v>20</v>
      </c>
      <c r="E91" s="2">
        <v>339.34</v>
      </c>
      <c r="F91" s="2">
        <v>12.78</v>
      </c>
      <c r="G91" s="2">
        <v>39.799999999999997</v>
      </c>
      <c r="H91" s="2">
        <v>0.9</v>
      </c>
      <c r="I91" s="2">
        <v>1.6</v>
      </c>
      <c r="J91" s="2">
        <v>5</v>
      </c>
      <c r="K91" s="2" t="s">
        <v>21</v>
      </c>
      <c r="L91" s="2">
        <v>5.84</v>
      </c>
      <c r="M91" s="2" t="s">
        <v>22</v>
      </c>
      <c r="N91" s="2">
        <v>78.72</v>
      </c>
      <c r="O91" s="2" t="s">
        <v>23</v>
      </c>
      <c r="P91" s="2">
        <v>4.49</v>
      </c>
      <c r="Q91" s="2">
        <v>11.67</v>
      </c>
      <c r="R91" s="3">
        <f t="shared" si="5"/>
        <v>1523.6366</v>
      </c>
      <c r="S91" s="3">
        <f t="shared" si="6"/>
        <v>3960.0977999999996</v>
      </c>
      <c r="T91" s="3">
        <f t="shared" si="7"/>
        <v>2436.4611999999997</v>
      </c>
      <c r="U91" s="4">
        <f t="shared" si="8"/>
        <v>0.6152527849185947</v>
      </c>
      <c r="V91" s="5">
        <f t="shared" si="9"/>
        <v>19.817455999999996</v>
      </c>
    </row>
    <row r="92" spans="1:22" x14ac:dyDescent="0.25">
      <c r="A92" s="2" t="s">
        <v>126</v>
      </c>
      <c r="B92" s="2" t="s">
        <v>26</v>
      </c>
      <c r="C92" s="2" t="s">
        <v>33</v>
      </c>
      <c r="D92" s="2" t="s">
        <v>20</v>
      </c>
      <c r="E92" s="2">
        <v>674.96</v>
      </c>
      <c r="F92" s="2">
        <v>11.55</v>
      </c>
      <c r="G92" s="2">
        <v>24.19</v>
      </c>
      <c r="H92" s="2">
        <v>1.4</v>
      </c>
      <c r="I92" s="2">
        <v>0.7</v>
      </c>
      <c r="J92" s="2">
        <v>28</v>
      </c>
      <c r="K92" s="2" t="s">
        <v>29</v>
      </c>
      <c r="L92" s="2">
        <v>2</v>
      </c>
      <c r="M92" s="2" t="s">
        <v>22</v>
      </c>
      <c r="N92" s="2">
        <v>50.65</v>
      </c>
      <c r="O92" s="2" t="s">
        <v>24</v>
      </c>
      <c r="P92" s="2">
        <v>8.2899999999999991</v>
      </c>
      <c r="Q92" s="2">
        <v>6.22</v>
      </c>
      <c r="R92" s="3">
        <f t="shared" si="5"/>
        <v>5595.4183999999996</v>
      </c>
      <c r="S92" s="3">
        <f t="shared" si="6"/>
        <v>4198.2511999999997</v>
      </c>
      <c r="T92" s="3">
        <f t="shared" si="7"/>
        <v>-1397.1671999999999</v>
      </c>
      <c r="U92" s="4">
        <f t="shared" si="8"/>
        <v>-0.33279742765273312</v>
      </c>
      <c r="V92" s="5">
        <f t="shared" si="9"/>
        <v>13.4992</v>
      </c>
    </row>
    <row r="93" spans="1:22" x14ac:dyDescent="0.25">
      <c r="A93" s="2" t="s">
        <v>127</v>
      </c>
      <c r="B93" s="2" t="s">
        <v>26</v>
      </c>
      <c r="C93" s="2" t="s">
        <v>27</v>
      </c>
      <c r="D93" s="2" t="s">
        <v>28</v>
      </c>
      <c r="E93" s="2">
        <v>638.15</v>
      </c>
      <c r="F93" s="2">
        <v>14.83</v>
      </c>
      <c r="G93" s="2">
        <v>20.239999999999998</v>
      </c>
      <c r="H93" s="2">
        <v>0.8</v>
      </c>
      <c r="I93" s="2">
        <v>0.1</v>
      </c>
      <c r="J93" s="2">
        <v>13</v>
      </c>
      <c r="K93" s="2" t="s">
        <v>34</v>
      </c>
      <c r="L93" s="2">
        <v>7.49</v>
      </c>
      <c r="M93" s="2" t="s">
        <v>40</v>
      </c>
      <c r="N93" s="2">
        <v>73.760000000000005</v>
      </c>
      <c r="O93" s="2" t="s">
        <v>30</v>
      </c>
      <c r="P93" s="2">
        <v>3.99</v>
      </c>
      <c r="Q93" s="2">
        <v>12.06</v>
      </c>
      <c r="R93" s="3">
        <f t="shared" si="5"/>
        <v>2546.2184999999999</v>
      </c>
      <c r="S93" s="3">
        <f t="shared" si="6"/>
        <v>7696.0889999999999</v>
      </c>
      <c r="T93" s="3">
        <f t="shared" si="7"/>
        <v>5149.8705</v>
      </c>
      <c r="U93" s="4">
        <f t="shared" si="8"/>
        <v>0.6691542288557214</v>
      </c>
      <c r="V93" s="5">
        <f t="shared" si="9"/>
        <v>47.797434999999993</v>
      </c>
    </row>
    <row r="94" spans="1:22" x14ac:dyDescent="0.25">
      <c r="A94" s="2" t="s">
        <v>128</v>
      </c>
      <c r="B94" s="2" t="s">
        <v>45</v>
      </c>
      <c r="C94" s="2" t="s">
        <v>33</v>
      </c>
      <c r="D94" s="2" t="s">
        <v>28</v>
      </c>
      <c r="E94" s="2">
        <v>370.77</v>
      </c>
      <c r="F94" s="2">
        <v>14.62</v>
      </c>
      <c r="G94" s="2">
        <v>39.950000000000003</v>
      </c>
      <c r="H94" s="2">
        <v>0.6</v>
      </c>
      <c r="I94" s="2">
        <v>0.2</v>
      </c>
      <c r="J94" s="2">
        <v>19</v>
      </c>
      <c r="K94" s="2" t="s">
        <v>21</v>
      </c>
      <c r="L94" s="2">
        <v>0.85</v>
      </c>
      <c r="M94" s="2" t="s">
        <v>22</v>
      </c>
      <c r="N94" s="2">
        <v>54.3</v>
      </c>
      <c r="O94" s="2" t="s">
        <v>24</v>
      </c>
      <c r="P94" s="2">
        <v>6.44</v>
      </c>
      <c r="Q94" s="2">
        <v>14.72</v>
      </c>
      <c r="R94" s="3">
        <f t="shared" si="5"/>
        <v>2387.7588000000001</v>
      </c>
      <c r="S94" s="3">
        <f t="shared" si="6"/>
        <v>5457.7344000000003</v>
      </c>
      <c r="T94" s="3">
        <f t="shared" si="7"/>
        <v>3069.9756000000002</v>
      </c>
      <c r="U94" s="4">
        <f t="shared" si="8"/>
        <v>0.5625</v>
      </c>
      <c r="V94" s="5">
        <f t="shared" si="9"/>
        <v>3.151545</v>
      </c>
    </row>
    <row r="95" spans="1:22" x14ac:dyDescent="0.25">
      <c r="A95" s="2" t="s">
        <v>129</v>
      </c>
      <c r="B95" s="2" t="s">
        <v>45</v>
      </c>
      <c r="C95" s="2" t="s">
        <v>33</v>
      </c>
      <c r="D95" s="2" t="s">
        <v>28</v>
      </c>
      <c r="E95" s="2">
        <v>568.97</v>
      </c>
      <c r="F95" s="2">
        <v>15.15</v>
      </c>
      <c r="G95" s="2">
        <v>25.62</v>
      </c>
      <c r="H95" s="2">
        <v>1</v>
      </c>
      <c r="I95" s="2">
        <v>1.1000000000000001</v>
      </c>
      <c r="J95" s="2">
        <v>28</v>
      </c>
      <c r="K95" s="2" t="s">
        <v>21</v>
      </c>
      <c r="L95" s="2">
        <v>2.97</v>
      </c>
      <c r="M95" s="2" t="s">
        <v>22</v>
      </c>
      <c r="N95" s="2">
        <v>71.45</v>
      </c>
      <c r="O95" s="2" t="s">
        <v>23</v>
      </c>
      <c r="P95" s="2">
        <v>5.95</v>
      </c>
      <c r="Q95" s="2">
        <v>5.44</v>
      </c>
      <c r="R95" s="3">
        <f t="shared" si="5"/>
        <v>3385.3715000000002</v>
      </c>
      <c r="S95" s="3">
        <f t="shared" si="6"/>
        <v>3095.1968000000002</v>
      </c>
      <c r="T95" s="3">
        <f t="shared" si="7"/>
        <v>-290.17470000000003</v>
      </c>
      <c r="U95" s="4">
        <f t="shared" si="8"/>
        <v>-9.375E-2</v>
      </c>
      <c r="V95" s="5">
        <f t="shared" si="9"/>
        <v>16.898409000000001</v>
      </c>
    </row>
    <row r="96" spans="1:22" x14ac:dyDescent="0.25">
      <c r="A96" s="2" t="s">
        <v>130</v>
      </c>
      <c r="B96" s="2" t="s">
        <v>45</v>
      </c>
      <c r="C96" s="2" t="s">
        <v>19</v>
      </c>
      <c r="D96" s="2" t="s">
        <v>20</v>
      </c>
      <c r="E96" s="2">
        <v>449.7</v>
      </c>
      <c r="F96" s="2">
        <v>10.68</v>
      </c>
      <c r="G96" s="2">
        <v>33.36</v>
      </c>
      <c r="H96" s="2">
        <v>0</v>
      </c>
      <c r="I96" s="2">
        <v>0.5</v>
      </c>
      <c r="J96" s="2">
        <v>28</v>
      </c>
      <c r="K96" s="2" t="s">
        <v>29</v>
      </c>
      <c r="L96" s="2">
        <v>7.11</v>
      </c>
      <c r="M96" s="2" t="s">
        <v>40</v>
      </c>
      <c r="N96" s="2">
        <v>55.48</v>
      </c>
      <c r="O96" s="2" t="s">
        <v>24</v>
      </c>
      <c r="P96" s="2">
        <v>7.61</v>
      </c>
      <c r="Q96" s="2">
        <v>5.94</v>
      </c>
      <c r="R96" s="3">
        <f t="shared" si="5"/>
        <v>3422.2170000000001</v>
      </c>
      <c r="S96" s="3">
        <f t="shared" si="6"/>
        <v>2671.2180000000003</v>
      </c>
      <c r="T96" s="3">
        <f t="shared" si="7"/>
        <v>-750.9989999999998</v>
      </c>
      <c r="U96" s="4">
        <f t="shared" si="8"/>
        <v>-0.28114478114478103</v>
      </c>
      <c r="V96" s="5">
        <f t="shared" si="9"/>
        <v>31.973670000000002</v>
      </c>
    </row>
    <row r="97" spans="1:22" x14ac:dyDescent="0.25">
      <c r="A97" s="2" t="s">
        <v>131</v>
      </c>
      <c r="B97" s="2" t="s">
        <v>45</v>
      </c>
      <c r="C97" s="2" t="s">
        <v>19</v>
      </c>
      <c r="D97" s="2" t="s">
        <v>28</v>
      </c>
      <c r="E97" s="2">
        <v>526.35</v>
      </c>
      <c r="F97" s="2">
        <v>11.16</v>
      </c>
      <c r="G97" s="2">
        <v>23.53</v>
      </c>
      <c r="H97" s="2">
        <v>3</v>
      </c>
      <c r="I97" s="2">
        <v>1.8</v>
      </c>
      <c r="J97" s="2">
        <v>24</v>
      </c>
      <c r="K97" s="2" t="s">
        <v>21</v>
      </c>
      <c r="L97" s="2">
        <v>2.93</v>
      </c>
      <c r="M97" s="2" t="s">
        <v>37</v>
      </c>
      <c r="N97" s="2">
        <v>97.77</v>
      </c>
      <c r="O97" s="2" t="s">
        <v>30</v>
      </c>
      <c r="P97" s="2">
        <v>9.42</v>
      </c>
      <c r="Q97" s="2">
        <v>6.24</v>
      </c>
      <c r="R97" s="3">
        <f t="shared" si="5"/>
        <v>4958.2170000000006</v>
      </c>
      <c r="S97" s="3">
        <f t="shared" si="6"/>
        <v>3284.4240000000004</v>
      </c>
      <c r="T97" s="3">
        <f t="shared" si="7"/>
        <v>-1673.7930000000001</v>
      </c>
      <c r="U97" s="4">
        <f t="shared" si="8"/>
        <v>-0.50961538461538458</v>
      </c>
      <c r="V97" s="5">
        <f t="shared" si="9"/>
        <v>15.422055000000002</v>
      </c>
    </row>
    <row r="98" spans="1:22" x14ac:dyDescent="0.25">
      <c r="A98" s="2" t="s">
        <v>132</v>
      </c>
      <c r="B98" s="2" t="s">
        <v>45</v>
      </c>
      <c r="C98" s="2" t="s">
        <v>33</v>
      </c>
      <c r="D98" s="2" t="s">
        <v>28</v>
      </c>
      <c r="E98" s="2">
        <v>529.41999999999996</v>
      </c>
      <c r="F98" s="2">
        <v>9.25</v>
      </c>
      <c r="G98" s="2">
        <v>31.6</v>
      </c>
      <c r="H98" s="2">
        <v>0.4</v>
      </c>
      <c r="I98" s="2">
        <v>3</v>
      </c>
      <c r="J98" s="2">
        <v>10</v>
      </c>
      <c r="K98" s="2" t="s">
        <v>29</v>
      </c>
      <c r="L98" s="2">
        <v>7.42</v>
      </c>
      <c r="M98" s="2" t="s">
        <v>22</v>
      </c>
      <c r="N98" s="2">
        <v>76.150000000000006</v>
      </c>
      <c r="O98" s="2" t="s">
        <v>30</v>
      </c>
      <c r="P98" s="2">
        <v>9.6300000000000008</v>
      </c>
      <c r="Q98" s="2">
        <v>9.31</v>
      </c>
      <c r="R98" s="3">
        <f t="shared" si="5"/>
        <v>5098.3145999999997</v>
      </c>
      <c r="S98" s="3">
        <f t="shared" si="6"/>
        <v>4928.9002</v>
      </c>
      <c r="T98" s="3">
        <f t="shared" si="7"/>
        <v>-169.41439999999966</v>
      </c>
      <c r="U98" s="4">
        <f t="shared" si="8"/>
        <v>-3.4371643394199715E-2</v>
      </c>
      <c r="V98" s="5">
        <f t="shared" si="9"/>
        <v>39.282964</v>
      </c>
    </row>
    <row r="99" spans="1:22" x14ac:dyDescent="0.25">
      <c r="A99" s="2" t="s">
        <v>133</v>
      </c>
      <c r="B99" s="2" t="s">
        <v>26</v>
      </c>
      <c r="C99" s="2" t="s">
        <v>33</v>
      </c>
      <c r="D99" s="2" t="s">
        <v>20</v>
      </c>
      <c r="E99" s="2">
        <v>476.56</v>
      </c>
      <c r="F99" s="2">
        <v>14.56</v>
      </c>
      <c r="G99" s="2">
        <v>38.08</v>
      </c>
      <c r="H99" s="2">
        <v>0.1</v>
      </c>
      <c r="I99" s="2">
        <v>1.6</v>
      </c>
      <c r="J99" s="2">
        <v>20</v>
      </c>
      <c r="K99" s="2" t="s">
        <v>29</v>
      </c>
      <c r="L99" s="2">
        <v>9.9600000000000009</v>
      </c>
      <c r="M99" s="2" t="s">
        <v>40</v>
      </c>
      <c r="N99" s="2">
        <v>95.66</v>
      </c>
      <c r="O99" s="2" t="s">
        <v>24</v>
      </c>
      <c r="P99" s="2">
        <v>4.17</v>
      </c>
      <c r="Q99" s="2">
        <v>7.91</v>
      </c>
      <c r="R99" s="3">
        <f t="shared" si="5"/>
        <v>1987.2552000000001</v>
      </c>
      <c r="S99" s="3">
        <f t="shared" si="6"/>
        <v>3769.5896000000002</v>
      </c>
      <c r="T99" s="3">
        <f t="shared" si="7"/>
        <v>1782.3344000000002</v>
      </c>
      <c r="U99" s="4">
        <f t="shared" si="8"/>
        <v>0.47281921618204809</v>
      </c>
      <c r="V99" s="5">
        <f t="shared" si="9"/>
        <v>47.465376000000006</v>
      </c>
    </row>
    <row r="100" spans="1:22" x14ac:dyDescent="0.25">
      <c r="A100" s="2" t="s">
        <v>134</v>
      </c>
      <c r="B100" s="2" t="s">
        <v>45</v>
      </c>
      <c r="C100" s="2" t="s">
        <v>33</v>
      </c>
      <c r="D100" s="2" t="s">
        <v>20</v>
      </c>
      <c r="E100" s="2">
        <v>421.62</v>
      </c>
      <c r="F100" s="2">
        <v>8.4</v>
      </c>
      <c r="G100" s="2">
        <v>26.4</v>
      </c>
      <c r="H100" s="2">
        <v>2.1</v>
      </c>
      <c r="I100" s="2">
        <v>0.5</v>
      </c>
      <c r="J100" s="2">
        <v>25</v>
      </c>
      <c r="K100" s="2" t="s">
        <v>34</v>
      </c>
      <c r="L100" s="2">
        <v>8.07</v>
      </c>
      <c r="M100" s="2" t="s">
        <v>37</v>
      </c>
      <c r="N100" s="2">
        <v>51.12</v>
      </c>
      <c r="O100" s="2" t="s">
        <v>24</v>
      </c>
      <c r="P100" s="2">
        <v>4.83</v>
      </c>
      <c r="Q100" s="2">
        <v>13.07</v>
      </c>
      <c r="R100" s="3">
        <f t="shared" si="5"/>
        <v>2036.4246000000001</v>
      </c>
      <c r="S100" s="3">
        <f t="shared" si="6"/>
        <v>5510.5734000000002</v>
      </c>
      <c r="T100" s="3">
        <f t="shared" si="7"/>
        <v>3474.1487999999999</v>
      </c>
      <c r="U100" s="4">
        <f t="shared" si="8"/>
        <v>0.63045141545524097</v>
      </c>
      <c r="V100" s="5">
        <f t="shared" si="9"/>
        <v>34.024734000000002</v>
      </c>
    </row>
    <row r="101" spans="1:22" x14ac:dyDescent="0.25">
      <c r="A101" s="2" t="s">
        <v>135</v>
      </c>
      <c r="B101" s="2" t="s">
        <v>32</v>
      </c>
      <c r="C101" s="2" t="s">
        <v>19</v>
      </c>
      <c r="D101" s="2" t="s">
        <v>20</v>
      </c>
      <c r="E101" s="2">
        <v>430.95</v>
      </c>
      <c r="F101" s="2">
        <v>13.98</v>
      </c>
      <c r="G101" s="2">
        <v>33.409999999999997</v>
      </c>
      <c r="H101" s="2">
        <v>3</v>
      </c>
      <c r="I101" s="2">
        <v>1.6</v>
      </c>
      <c r="J101" s="2">
        <v>21</v>
      </c>
      <c r="K101" s="2" t="s">
        <v>21</v>
      </c>
      <c r="L101" s="2">
        <v>3.75</v>
      </c>
      <c r="M101" s="2" t="s">
        <v>22</v>
      </c>
      <c r="N101" s="2">
        <v>81.88</v>
      </c>
      <c r="O101" s="2" t="s">
        <v>30</v>
      </c>
      <c r="P101" s="2">
        <v>8.68</v>
      </c>
      <c r="Q101" s="2">
        <v>9.74</v>
      </c>
      <c r="R101" s="3">
        <f t="shared" si="5"/>
        <v>3740.6459999999997</v>
      </c>
      <c r="S101" s="3">
        <f t="shared" si="6"/>
        <v>4197.4530000000004</v>
      </c>
      <c r="T101" s="3">
        <f t="shared" si="7"/>
        <v>456.8070000000007</v>
      </c>
      <c r="U101" s="4">
        <f t="shared" si="8"/>
        <v>0.10882956878850118</v>
      </c>
      <c r="V101" s="5">
        <f t="shared" si="9"/>
        <v>16.160625</v>
      </c>
    </row>
    <row r="102" spans="1:22" x14ac:dyDescent="0.25">
      <c r="A102" s="2" t="s">
        <v>136</v>
      </c>
      <c r="B102" s="2" t="s">
        <v>18</v>
      </c>
      <c r="C102" s="2" t="s">
        <v>19</v>
      </c>
      <c r="D102" s="2" t="s">
        <v>20</v>
      </c>
      <c r="E102" s="2">
        <v>408.38</v>
      </c>
      <c r="F102" s="2">
        <v>16.7</v>
      </c>
      <c r="G102" s="2">
        <v>23.76</v>
      </c>
      <c r="H102" s="2">
        <v>3.4</v>
      </c>
      <c r="I102" s="2">
        <v>0.4</v>
      </c>
      <c r="J102" s="2">
        <v>14</v>
      </c>
      <c r="K102" s="2" t="s">
        <v>29</v>
      </c>
      <c r="L102" s="2">
        <v>9.06</v>
      </c>
      <c r="M102" s="2" t="s">
        <v>37</v>
      </c>
      <c r="N102" s="2">
        <v>65.349999999999994</v>
      </c>
      <c r="O102" s="2" t="s">
        <v>24</v>
      </c>
      <c r="P102" s="2">
        <v>6.63</v>
      </c>
      <c r="Q102" s="2">
        <v>9.85</v>
      </c>
      <c r="R102" s="3">
        <f t="shared" si="5"/>
        <v>2707.5594000000001</v>
      </c>
      <c r="S102" s="3">
        <f t="shared" si="6"/>
        <v>4022.5429999999997</v>
      </c>
      <c r="T102" s="3">
        <f t="shared" si="7"/>
        <v>1314.9835999999996</v>
      </c>
      <c r="U102" s="4">
        <f t="shared" si="8"/>
        <v>0.32690355329949233</v>
      </c>
      <c r="V102" s="5">
        <f t="shared" si="9"/>
        <v>36.999228000000002</v>
      </c>
    </row>
    <row r="103" spans="1:22" x14ac:dyDescent="0.25">
      <c r="A103" s="2" t="s">
        <v>137</v>
      </c>
      <c r="B103" s="2" t="s">
        <v>45</v>
      </c>
      <c r="C103" s="2" t="s">
        <v>43</v>
      </c>
      <c r="D103" s="2" t="s">
        <v>20</v>
      </c>
      <c r="E103" s="2">
        <v>416.82</v>
      </c>
      <c r="F103" s="2">
        <v>16.91</v>
      </c>
      <c r="G103" s="2">
        <v>32.5</v>
      </c>
      <c r="H103" s="2">
        <v>1.4</v>
      </c>
      <c r="I103" s="2">
        <v>0.2</v>
      </c>
      <c r="J103" s="2">
        <v>22</v>
      </c>
      <c r="K103" s="2" t="s">
        <v>29</v>
      </c>
      <c r="L103" s="2">
        <v>0.99</v>
      </c>
      <c r="M103" s="2" t="s">
        <v>40</v>
      </c>
      <c r="N103" s="2">
        <v>71.59</v>
      </c>
      <c r="O103" s="2" t="s">
        <v>24</v>
      </c>
      <c r="P103" s="2">
        <v>6.17</v>
      </c>
      <c r="Q103" s="2">
        <v>12.17</v>
      </c>
      <c r="R103" s="3">
        <f t="shared" si="5"/>
        <v>2571.7793999999999</v>
      </c>
      <c r="S103" s="3">
        <f t="shared" si="6"/>
        <v>5072.6993999999995</v>
      </c>
      <c r="T103" s="3">
        <f t="shared" si="7"/>
        <v>2500.9199999999996</v>
      </c>
      <c r="U103" s="4">
        <f t="shared" si="8"/>
        <v>0.49301561216105172</v>
      </c>
      <c r="V103" s="5">
        <f t="shared" si="9"/>
        <v>4.1265179999999999</v>
      </c>
    </row>
    <row r="104" spans="1:22" x14ac:dyDescent="0.25">
      <c r="A104" s="2" t="s">
        <v>138</v>
      </c>
      <c r="B104" s="2" t="s">
        <v>45</v>
      </c>
      <c r="C104" s="2" t="s">
        <v>43</v>
      </c>
      <c r="D104" s="2" t="s">
        <v>28</v>
      </c>
      <c r="E104" s="2">
        <v>493.28</v>
      </c>
      <c r="F104" s="2">
        <v>12.49</v>
      </c>
      <c r="G104" s="2">
        <v>26.73</v>
      </c>
      <c r="H104" s="2">
        <v>0.5</v>
      </c>
      <c r="I104" s="2">
        <v>0</v>
      </c>
      <c r="J104" s="2">
        <v>21</v>
      </c>
      <c r="K104" s="2" t="s">
        <v>29</v>
      </c>
      <c r="L104" s="2">
        <v>7.39</v>
      </c>
      <c r="M104" s="2" t="s">
        <v>37</v>
      </c>
      <c r="N104" s="2">
        <v>93.65</v>
      </c>
      <c r="O104" s="2" t="s">
        <v>24</v>
      </c>
      <c r="P104" s="2">
        <v>7.97</v>
      </c>
      <c r="Q104" s="2">
        <v>8.6199999999999992</v>
      </c>
      <c r="R104" s="3">
        <f t="shared" si="5"/>
        <v>3931.4415999999997</v>
      </c>
      <c r="S104" s="3">
        <f t="shared" si="6"/>
        <v>4252.0735999999997</v>
      </c>
      <c r="T104" s="3">
        <f t="shared" si="7"/>
        <v>320.63200000000006</v>
      </c>
      <c r="U104" s="4">
        <f t="shared" si="8"/>
        <v>7.5406032482598626E-2</v>
      </c>
      <c r="V104" s="5">
        <f t="shared" si="9"/>
        <v>36.453391999999994</v>
      </c>
    </row>
    <row r="105" spans="1:22" x14ac:dyDescent="0.25">
      <c r="A105" s="2" t="s">
        <v>139</v>
      </c>
      <c r="B105" s="2" t="s">
        <v>26</v>
      </c>
      <c r="C105" s="2" t="s">
        <v>33</v>
      </c>
      <c r="D105" s="2" t="s">
        <v>20</v>
      </c>
      <c r="E105" s="2">
        <v>428.42</v>
      </c>
      <c r="F105" s="2">
        <v>12.59</v>
      </c>
      <c r="G105" s="2">
        <v>24.22</v>
      </c>
      <c r="H105" s="2">
        <v>2.7</v>
      </c>
      <c r="I105" s="2">
        <v>0.5</v>
      </c>
      <c r="J105" s="2">
        <v>26</v>
      </c>
      <c r="K105" s="2" t="s">
        <v>21</v>
      </c>
      <c r="L105" s="2">
        <v>0.72</v>
      </c>
      <c r="M105" s="2" t="s">
        <v>37</v>
      </c>
      <c r="N105" s="2">
        <v>99</v>
      </c>
      <c r="O105" s="2" t="s">
        <v>23</v>
      </c>
      <c r="P105" s="2">
        <v>7.21</v>
      </c>
      <c r="Q105" s="2">
        <v>8.5299999999999994</v>
      </c>
      <c r="R105" s="3">
        <f t="shared" si="5"/>
        <v>3088.9082000000003</v>
      </c>
      <c r="S105" s="3">
        <f t="shared" si="6"/>
        <v>3654.4225999999999</v>
      </c>
      <c r="T105" s="3">
        <f t="shared" si="7"/>
        <v>565.51439999999957</v>
      </c>
      <c r="U105" s="4">
        <f t="shared" si="8"/>
        <v>0.15474794841735043</v>
      </c>
      <c r="V105" s="5">
        <f t="shared" si="9"/>
        <v>3.0846239999999998</v>
      </c>
    </row>
    <row r="106" spans="1:22" x14ac:dyDescent="0.25">
      <c r="A106" s="2" t="s">
        <v>140</v>
      </c>
      <c r="B106" s="2" t="s">
        <v>45</v>
      </c>
      <c r="C106" s="2" t="s">
        <v>27</v>
      </c>
      <c r="D106" s="2" t="s">
        <v>28</v>
      </c>
      <c r="E106" s="2">
        <v>568.21</v>
      </c>
      <c r="F106" s="2">
        <v>8.77</v>
      </c>
      <c r="G106" s="2">
        <v>26.26</v>
      </c>
      <c r="H106" s="2">
        <v>2.4</v>
      </c>
      <c r="I106" s="2">
        <v>2.2999999999999998</v>
      </c>
      <c r="J106" s="2">
        <v>12</v>
      </c>
      <c r="K106" s="2" t="s">
        <v>21</v>
      </c>
      <c r="L106" s="2">
        <v>2.16</v>
      </c>
      <c r="M106" s="2" t="s">
        <v>40</v>
      </c>
      <c r="N106" s="2">
        <v>62.32</v>
      </c>
      <c r="O106" s="2" t="s">
        <v>23</v>
      </c>
      <c r="P106" s="2">
        <v>9.7899999999999991</v>
      </c>
      <c r="Q106" s="2">
        <v>12.57</v>
      </c>
      <c r="R106" s="3">
        <f t="shared" si="5"/>
        <v>5562.7758999999996</v>
      </c>
      <c r="S106" s="3">
        <f t="shared" si="6"/>
        <v>7142.3997000000008</v>
      </c>
      <c r="T106" s="3">
        <f t="shared" si="7"/>
        <v>1579.6238000000012</v>
      </c>
      <c r="U106" s="4">
        <f t="shared" si="8"/>
        <v>0.22116149562450294</v>
      </c>
      <c r="V106" s="5">
        <f t="shared" si="9"/>
        <v>12.273336000000002</v>
      </c>
    </row>
    <row r="107" spans="1:22" x14ac:dyDescent="0.25">
      <c r="A107" s="2" t="s">
        <v>141</v>
      </c>
      <c r="B107" s="2" t="s">
        <v>45</v>
      </c>
      <c r="C107" s="2" t="s">
        <v>27</v>
      </c>
      <c r="D107" s="2" t="s">
        <v>28</v>
      </c>
      <c r="E107" s="2">
        <v>648.72</v>
      </c>
      <c r="F107" s="2">
        <v>14.71</v>
      </c>
      <c r="G107" s="2">
        <v>23.58</v>
      </c>
      <c r="H107" s="2">
        <v>0.6</v>
      </c>
      <c r="I107" s="2">
        <v>0.3</v>
      </c>
      <c r="J107" s="2">
        <v>11</v>
      </c>
      <c r="K107" s="2" t="s">
        <v>21</v>
      </c>
      <c r="L107" s="2">
        <v>9.8800000000000008</v>
      </c>
      <c r="M107" s="2" t="s">
        <v>22</v>
      </c>
      <c r="N107" s="2">
        <v>97.41</v>
      </c>
      <c r="O107" s="2" t="s">
        <v>23</v>
      </c>
      <c r="P107" s="2">
        <v>7.09</v>
      </c>
      <c r="Q107" s="2">
        <v>12.8</v>
      </c>
      <c r="R107" s="3">
        <f t="shared" si="5"/>
        <v>4599.4247999999998</v>
      </c>
      <c r="S107" s="3">
        <f t="shared" si="6"/>
        <v>8303.616</v>
      </c>
      <c r="T107" s="3">
        <f t="shared" si="7"/>
        <v>3704.1912000000002</v>
      </c>
      <c r="U107" s="4">
        <f t="shared" si="8"/>
        <v>0.44609375000000001</v>
      </c>
      <c r="V107" s="5">
        <f t="shared" si="9"/>
        <v>64.093536</v>
      </c>
    </row>
    <row r="108" spans="1:22" x14ac:dyDescent="0.25">
      <c r="A108" s="2" t="s">
        <v>142</v>
      </c>
      <c r="B108" s="2" t="s">
        <v>45</v>
      </c>
      <c r="C108" s="2" t="s">
        <v>19</v>
      </c>
      <c r="D108" s="2" t="s">
        <v>20</v>
      </c>
      <c r="E108" s="2">
        <v>441.99</v>
      </c>
      <c r="F108" s="2">
        <v>16.21</v>
      </c>
      <c r="G108" s="2">
        <v>38.04</v>
      </c>
      <c r="H108" s="2">
        <v>4.7</v>
      </c>
      <c r="I108" s="2">
        <v>0.2</v>
      </c>
      <c r="J108" s="2">
        <v>23</v>
      </c>
      <c r="K108" s="2" t="s">
        <v>29</v>
      </c>
      <c r="L108" s="2">
        <v>3.93</v>
      </c>
      <c r="M108" s="2" t="s">
        <v>22</v>
      </c>
      <c r="N108" s="2">
        <v>84.44</v>
      </c>
      <c r="O108" s="2" t="s">
        <v>24</v>
      </c>
      <c r="P108" s="2">
        <v>6.26</v>
      </c>
      <c r="Q108" s="2">
        <v>5.14</v>
      </c>
      <c r="R108" s="3">
        <f t="shared" si="5"/>
        <v>2766.8573999999999</v>
      </c>
      <c r="S108" s="3">
        <f t="shared" si="6"/>
        <v>2271.8285999999998</v>
      </c>
      <c r="T108" s="3">
        <f t="shared" si="7"/>
        <v>-495.02880000000005</v>
      </c>
      <c r="U108" s="4">
        <f t="shared" si="8"/>
        <v>-0.21789883268482493</v>
      </c>
      <c r="V108" s="5">
        <f t="shared" si="9"/>
        <v>17.370207000000001</v>
      </c>
    </row>
    <row r="109" spans="1:22" x14ac:dyDescent="0.25">
      <c r="A109" s="2" t="s">
        <v>143</v>
      </c>
      <c r="B109" s="2" t="s">
        <v>26</v>
      </c>
      <c r="C109" s="2" t="s">
        <v>19</v>
      </c>
      <c r="D109" s="2" t="s">
        <v>20</v>
      </c>
      <c r="E109" s="2">
        <v>523.94000000000005</v>
      </c>
      <c r="F109" s="2">
        <v>10.45</v>
      </c>
      <c r="G109" s="2">
        <v>27.94</v>
      </c>
      <c r="H109" s="2">
        <v>0.2</v>
      </c>
      <c r="I109" s="2">
        <v>3.5</v>
      </c>
      <c r="J109" s="2">
        <v>7</v>
      </c>
      <c r="K109" s="2" t="s">
        <v>21</v>
      </c>
      <c r="L109" s="2">
        <v>8.2899999999999991</v>
      </c>
      <c r="M109" s="2" t="s">
        <v>37</v>
      </c>
      <c r="N109" s="2">
        <v>97.57</v>
      </c>
      <c r="O109" s="2" t="s">
        <v>30</v>
      </c>
      <c r="P109" s="2">
        <v>6.8</v>
      </c>
      <c r="Q109" s="2">
        <v>6.44</v>
      </c>
      <c r="R109" s="3">
        <f t="shared" si="5"/>
        <v>3562.7920000000004</v>
      </c>
      <c r="S109" s="3">
        <f t="shared" si="6"/>
        <v>3374.1736000000005</v>
      </c>
      <c r="T109" s="3">
        <f t="shared" si="7"/>
        <v>-188.61839999999984</v>
      </c>
      <c r="U109" s="4">
        <f t="shared" si="8"/>
        <v>-5.5900621118012368E-2</v>
      </c>
      <c r="V109" s="5">
        <f t="shared" si="9"/>
        <v>43.434626000000002</v>
      </c>
    </row>
    <row r="110" spans="1:22" x14ac:dyDescent="0.25">
      <c r="A110" s="2" t="s">
        <v>144</v>
      </c>
      <c r="B110" s="2" t="s">
        <v>45</v>
      </c>
      <c r="C110" s="2" t="s">
        <v>19</v>
      </c>
      <c r="D110" s="2" t="s">
        <v>20</v>
      </c>
      <c r="E110" s="2">
        <v>549.97</v>
      </c>
      <c r="F110" s="2">
        <v>12.21</v>
      </c>
      <c r="G110" s="2">
        <v>24.91</v>
      </c>
      <c r="H110" s="2">
        <v>8.1</v>
      </c>
      <c r="I110" s="2">
        <v>0</v>
      </c>
      <c r="J110" s="2">
        <v>17</v>
      </c>
      <c r="K110" s="2" t="s">
        <v>29</v>
      </c>
      <c r="L110" s="2">
        <v>4.07</v>
      </c>
      <c r="M110" s="2" t="s">
        <v>37</v>
      </c>
      <c r="N110" s="2">
        <v>78.12</v>
      </c>
      <c r="O110" s="2" t="s">
        <v>24</v>
      </c>
      <c r="P110" s="2">
        <v>8.66</v>
      </c>
      <c r="Q110" s="2">
        <v>7.13</v>
      </c>
      <c r="R110" s="3">
        <f t="shared" si="5"/>
        <v>4762.7402000000002</v>
      </c>
      <c r="S110" s="3">
        <f t="shared" si="6"/>
        <v>3921.2861000000003</v>
      </c>
      <c r="T110" s="3">
        <f t="shared" si="7"/>
        <v>-841.45409999999993</v>
      </c>
      <c r="U110" s="4">
        <f t="shared" si="8"/>
        <v>-0.21458625525946701</v>
      </c>
      <c r="V110" s="5">
        <f t="shared" si="9"/>
        <v>22.383779000000004</v>
      </c>
    </row>
    <row r="111" spans="1:22" x14ac:dyDescent="0.25">
      <c r="A111" s="2" t="s">
        <v>145</v>
      </c>
      <c r="B111" s="2" t="s">
        <v>18</v>
      </c>
      <c r="C111" s="2" t="s">
        <v>33</v>
      </c>
      <c r="D111" s="2" t="s">
        <v>28</v>
      </c>
      <c r="E111" s="2">
        <v>547.20000000000005</v>
      </c>
      <c r="F111" s="2">
        <v>16.39</v>
      </c>
      <c r="G111" s="2">
        <v>28.97</v>
      </c>
      <c r="H111" s="2">
        <v>3.9</v>
      </c>
      <c r="I111" s="2">
        <v>1.5</v>
      </c>
      <c r="J111" s="2">
        <v>18</v>
      </c>
      <c r="K111" s="2" t="s">
        <v>21</v>
      </c>
      <c r="L111" s="2">
        <v>8.48</v>
      </c>
      <c r="M111" s="2" t="s">
        <v>37</v>
      </c>
      <c r="N111" s="2">
        <v>98.04</v>
      </c>
      <c r="O111" s="2" t="s">
        <v>24</v>
      </c>
      <c r="P111" s="2">
        <v>7.29</v>
      </c>
      <c r="Q111" s="2">
        <v>8.52</v>
      </c>
      <c r="R111" s="3">
        <f t="shared" si="5"/>
        <v>3989.0880000000002</v>
      </c>
      <c r="S111" s="3">
        <f t="shared" si="6"/>
        <v>4662.1440000000002</v>
      </c>
      <c r="T111" s="3">
        <f t="shared" si="7"/>
        <v>673.05600000000004</v>
      </c>
      <c r="U111" s="4">
        <f t="shared" si="8"/>
        <v>0.14436619718309859</v>
      </c>
      <c r="V111" s="5">
        <f t="shared" si="9"/>
        <v>46.402560000000001</v>
      </c>
    </row>
    <row r="112" spans="1:22" x14ac:dyDescent="0.25">
      <c r="A112" s="2" t="s">
        <v>146</v>
      </c>
      <c r="B112" s="2" t="s">
        <v>26</v>
      </c>
      <c r="C112" s="2" t="s">
        <v>27</v>
      </c>
      <c r="D112" s="2" t="s">
        <v>20</v>
      </c>
      <c r="E112" s="2">
        <v>507.6</v>
      </c>
      <c r="F112" s="2">
        <v>16.77</v>
      </c>
      <c r="G112" s="2">
        <v>26.41</v>
      </c>
      <c r="H112" s="2">
        <v>2.2999999999999998</v>
      </c>
      <c r="I112" s="2">
        <v>0.4</v>
      </c>
      <c r="J112" s="2">
        <v>7</v>
      </c>
      <c r="K112" s="2" t="s">
        <v>21</v>
      </c>
      <c r="L112" s="2">
        <v>9.67</v>
      </c>
      <c r="M112" s="2" t="s">
        <v>37</v>
      </c>
      <c r="N112" s="2">
        <v>94.62</v>
      </c>
      <c r="O112" s="2" t="s">
        <v>23</v>
      </c>
      <c r="P112" s="2">
        <v>7.53</v>
      </c>
      <c r="Q112" s="2">
        <v>7.91</v>
      </c>
      <c r="R112" s="3">
        <f t="shared" si="5"/>
        <v>3822.2280000000005</v>
      </c>
      <c r="S112" s="3">
        <f t="shared" si="6"/>
        <v>4015.1160000000004</v>
      </c>
      <c r="T112" s="3">
        <f t="shared" si="7"/>
        <v>192.88799999999992</v>
      </c>
      <c r="U112" s="4">
        <f t="shared" si="8"/>
        <v>4.8040455120101112E-2</v>
      </c>
      <c r="V112" s="5">
        <f t="shared" si="9"/>
        <v>49.084920000000004</v>
      </c>
    </row>
    <row r="113" spans="1:22" x14ac:dyDescent="0.25">
      <c r="A113" s="2" t="s">
        <v>147</v>
      </c>
      <c r="B113" s="2" t="s">
        <v>18</v>
      </c>
      <c r="C113" s="2" t="s">
        <v>43</v>
      </c>
      <c r="D113" s="2" t="s">
        <v>20</v>
      </c>
      <c r="E113" s="2">
        <v>574.27</v>
      </c>
      <c r="F113" s="2">
        <v>10.43</v>
      </c>
      <c r="G113" s="2">
        <v>34.89</v>
      </c>
      <c r="H113" s="2">
        <v>5.6</v>
      </c>
      <c r="I113" s="2">
        <v>0</v>
      </c>
      <c r="J113" s="2">
        <v>24</v>
      </c>
      <c r="K113" s="2" t="s">
        <v>29</v>
      </c>
      <c r="L113" s="2">
        <v>4.6399999999999997</v>
      </c>
      <c r="M113" s="2" t="s">
        <v>22</v>
      </c>
      <c r="N113" s="2">
        <v>56.43</v>
      </c>
      <c r="O113" s="2" t="s">
        <v>30</v>
      </c>
      <c r="P113" s="2">
        <v>9.8000000000000007</v>
      </c>
      <c r="Q113" s="2">
        <v>11.69</v>
      </c>
      <c r="R113" s="3">
        <f t="shared" si="5"/>
        <v>5627.8460000000005</v>
      </c>
      <c r="S113" s="3">
        <f t="shared" si="6"/>
        <v>6713.2162999999991</v>
      </c>
      <c r="T113" s="3">
        <f t="shared" si="7"/>
        <v>1085.3702999999987</v>
      </c>
      <c r="U113" s="4">
        <f t="shared" si="8"/>
        <v>0.16167664670658666</v>
      </c>
      <c r="V113" s="5">
        <f t="shared" si="9"/>
        <v>26.646127999999997</v>
      </c>
    </row>
    <row r="114" spans="1:22" x14ac:dyDescent="0.25">
      <c r="A114" s="2" t="s">
        <v>148</v>
      </c>
      <c r="B114" s="2" t="s">
        <v>26</v>
      </c>
      <c r="C114" s="2" t="s">
        <v>33</v>
      </c>
      <c r="D114" s="2" t="s">
        <v>20</v>
      </c>
      <c r="E114" s="2">
        <v>548.22</v>
      </c>
      <c r="F114" s="2">
        <v>13.51</v>
      </c>
      <c r="G114" s="2">
        <v>39.42</v>
      </c>
      <c r="H114" s="2">
        <v>2.6</v>
      </c>
      <c r="I114" s="2">
        <v>2.5</v>
      </c>
      <c r="J114" s="2">
        <v>20</v>
      </c>
      <c r="K114" s="2" t="s">
        <v>21</v>
      </c>
      <c r="L114" s="2">
        <v>5.81</v>
      </c>
      <c r="M114" s="2" t="s">
        <v>40</v>
      </c>
      <c r="N114" s="2">
        <v>65.540000000000006</v>
      </c>
      <c r="O114" s="2" t="s">
        <v>23</v>
      </c>
      <c r="P114" s="2">
        <v>7.33</v>
      </c>
      <c r="Q114" s="2">
        <v>13.28</v>
      </c>
      <c r="R114" s="3">
        <f t="shared" si="5"/>
        <v>4018.4526000000001</v>
      </c>
      <c r="S114" s="3">
        <f t="shared" si="6"/>
        <v>7280.3616000000002</v>
      </c>
      <c r="T114" s="3">
        <f t="shared" si="7"/>
        <v>3261.9090000000001</v>
      </c>
      <c r="U114" s="4">
        <f t="shared" si="8"/>
        <v>0.44804216867469882</v>
      </c>
      <c r="V114" s="5">
        <f t="shared" si="9"/>
        <v>31.851581999999997</v>
      </c>
    </row>
    <row r="115" spans="1:22" x14ac:dyDescent="0.25">
      <c r="A115" s="2" t="s">
        <v>149</v>
      </c>
      <c r="B115" s="2" t="s">
        <v>45</v>
      </c>
      <c r="C115" s="2" t="s">
        <v>43</v>
      </c>
      <c r="D115" s="2" t="s">
        <v>20</v>
      </c>
      <c r="E115" s="2">
        <v>376.23</v>
      </c>
      <c r="F115" s="2">
        <v>9.92</v>
      </c>
      <c r="G115" s="2">
        <v>28.76</v>
      </c>
      <c r="H115" s="2">
        <v>0.4</v>
      </c>
      <c r="I115" s="2">
        <v>0.2</v>
      </c>
      <c r="J115" s="2">
        <v>6</v>
      </c>
      <c r="K115" s="2" t="s">
        <v>29</v>
      </c>
      <c r="L115" s="2">
        <v>6.47</v>
      </c>
      <c r="M115" s="2" t="s">
        <v>40</v>
      </c>
      <c r="N115" s="2">
        <v>62.15</v>
      </c>
      <c r="O115" s="2" t="s">
        <v>30</v>
      </c>
      <c r="P115" s="2">
        <v>5.66</v>
      </c>
      <c r="Q115" s="2">
        <v>6.92</v>
      </c>
      <c r="R115" s="3">
        <f t="shared" si="5"/>
        <v>2129.4618</v>
      </c>
      <c r="S115" s="3">
        <f t="shared" si="6"/>
        <v>2603.5116000000003</v>
      </c>
      <c r="T115" s="3">
        <f t="shared" si="7"/>
        <v>474.04980000000023</v>
      </c>
      <c r="U115" s="4">
        <f t="shared" si="8"/>
        <v>0.18208092485549141</v>
      </c>
      <c r="V115" s="5">
        <f t="shared" si="9"/>
        <v>24.342080999999997</v>
      </c>
    </row>
    <row r="116" spans="1:22" x14ac:dyDescent="0.25">
      <c r="A116" s="2" t="s">
        <v>150</v>
      </c>
      <c r="B116" s="2" t="s">
        <v>18</v>
      </c>
      <c r="C116" s="2" t="s">
        <v>43</v>
      </c>
      <c r="D116" s="2" t="s">
        <v>20</v>
      </c>
      <c r="E116" s="2">
        <v>586.91999999999996</v>
      </c>
      <c r="F116" s="2">
        <v>9.02</v>
      </c>
      <c r="G116" s="2">
        <v>37.22</v>
      </c>
      <c r="H116" s="2">
        <v>1.2</v>
      </c>
      <c r="I116" s="2">
        <v>0.8</v>
      </c>
      <c r="J116" s="2">
        <v>11</v>
      </c>
      <c r="K116" s="2" t="s">
        <v>21</v>
      </c>
      <c r="L116" s="2">
        <v>9.3800000000000008</v>
      </c>
      <c r="M116" s="2" t="s">
        <v>40</v>
      </c>
      <c r="N116" s="2">
        <v>78.599999999999994</v>
      </c>
      <c r="O116" s="2" t="s">
        <v>24</v>
      </c>
      <c r="P116" s="2">
        <v>7.84</v>
      </c>
      <c r="Q116" s="2">
        <v>10.63</v>
      </c>
      <c r="R116" s="3">
        <f t="shared" si="5"/>
        <v>4601.4528</v>
      </c>
      <c r="S116" s="3">
        <f t="shared" si="6"/>
        <v>6238.9596000000001</v>
      </c>
      <c r="T116" s="3">
        <f t="shared" si="7"/>
        <v>1637.5068000000001</v>
      </c>
      <c r="U116" s="4">
        <f t="shared" si="8"/>
        <v>0.26246472248353719</v>
      </c>
      <c r="V116" s="5">
        <f t="shared" si="9"/>
        <v>55.053096000000004</v>
      </c>
    </row>
    <row r="117" spans="1:22" x14ac:dyDescent="0.25">
      <c r="A117" s="2" t="s">
        <v>151</v>
      </c>
      <c r="B117" s="2" t="s">
        <v>26</v>
      </c>
      <c r="C117" s="2" t="s">
        <v>33</v>
      </c>
      <c r="D117" s="2" t="s">
        <v>28</v>
      </c>
      <c r="E117" s="2">
        <v>588.73</v>
      </c>
      <c r="F117" s="2">
        <v>17.11</v>
      </c>
      <c r="G117" s="2">
        <v>31.32</v>
      </c>
      <c r="H117" s="2">
        <v>0.1</v>
      </c>
      <c r="I117" s="2">
        <v>0.3</v>
      </c>
      <c r="J117" s="2">
        <v>12</v>
      </c>
      <c r="K117" s="2" t="s">
        <v>21</v>
      </c>
      <c r="L117" s="2">
        <v>2.94</v>
      </c>
      <c r="M117" s="2" t="s">
        <v>37</v>
      </c>
      <c r="N117" s="2">
        <v>90.14</v>
      </c>
      <c r="O117" s="2" t="s">
        <v>24</v>
      </c>
      <c r="P117" s="2">
        <v>7.62</v>
      </c>
      <c r="Q117" s="2">
        <v>8.68</v>
      </c>
      <c r="R117" s="3">
        <f t="shared" si="5"/>
        <v>4486.1226000000006</v>
      </c>
      <c r="S117" s="3">
        <f t="shared" si="6"/>
        <v>5110.1764000000003</v>
      </c>
      <c r="T117" s="3">
        <f t="shared" si="7"/>
        <v>624.05379999999968</v>
      </c>
      <c r="U117" s="4">
        <f t="shared" si="8"/>
        <v>0.12211981566820269</v>
      </c>
      <c r="V117" s="5">
        <f t="shared" si="9"/>
        <v>17.308661999999998</v>
      </c>
    </row>
    <row r="118" spans="1:22" x14ac:dyDescent="0.25">
      <c r="A118" s="2" t="s">
        <v>152</v>
      </c>
      <c r="B118" s="2" t="s">
        <v>32</v>
      </c>
      <c r="C118" s="2" t="s">
        <v>43</v>
      </c>
      <c r="D118" s="2" t="s">
        <v>28</v>
      </c>
      <c r="E118" s="2">
        <v>423.67</v>
      </c>
      <c r="F118" s="2">
        <v>16.21</v>
      </c>
      <c r="G118" s="2">
        <v>23.14</v>
      </c>
      <c r="H118" s="2">
        <v>1</v>
      </c>
      <c r="I118" s="2">
        <v>0.1</v>
      </c>
      <c r="J118" s="2">
        <v>26</v>
      </c>
      <c r="K118" s="2" t="s">
        <v>21</v>
      </c>
      <c r="L118" s="2">
        <v>6.31</v>
      </c>
      <c r="M118" s="2" t="s">
        <v>37</v>
      </c>
      <c r="N118" s="2">
        <v>87.97</v>
      </c>
      <c r="O118" s="2" t="s">
        <v>24</v>
      </c>
      <c r="P118" s="2">
        <v>3.1</v>
      </c>
      <c r="Q118" s="2">
        <v>10.06</v>
      </c>
      <c r="R118" s="3">
        <f t="shared" si="5"/>
        <v>1313.3770000000002</v>
      </c>
      <c r="S118" s="3">
        <f t="shared" si="6"/>
        <v>4262.1202000000003</v>
      </c>
      <c r="T118" s="3">
        <f t="shared" si="7"/>
        <v>2948.7431999999999</v>
      </c>
      <c r="U118" s="4">
        <f t="shared" si="8"/>
        <v>0.69184890656063613</v>
      </c>
      <c r="V118" s="5">
        <f t="shared" si="9"/>
        <v>26.733577</v>
      </c>
    </row>
    <row r="119" spans="1:22" x14ac:dyDescent="0.25">
      <c r="A119" s="2" t="s">
        <v>153</v>
      </c>
      <c r="B119" s="2" t="s">
        <v>45</v>
      </c>
      <c r="C119" s="2" t="s">
        <v>27</v>
      </c>
      <c r="D119" s="2" t="s">
        <v>28</v>
      </c>
      <c r="E119" s="2">
        <v>503.79</v>
      </c>
      <c r="F119" s="2">
        <v>15.6</v>
      </c>
      <c r="G119" s="2">
        <v>33.81</v>
      </c>
      <c r="H119" s="2">
        <v>2.7</v>
      </c>
      <c r="I119" s="2">
        <v>0.1</v>
      </c>
      <c r="J119" s="2">
        <v>16</v>
      </c>
      <c r="K119" s="2" t="s">
        <v>21</v>
      </c>
      <c r="L119" s="2">
        <v>3.58</v>
      </c>
      <c r="M119" s="2" t="s">
        <v>40</v>
      </c>
      <c r="N119" s="2">
        <v>86.34</v>
      </c>
      <c r="O119" s="2" t="s">
        <v>30</v>
      </c>
      <c r="P119" s="2">
        <v>6.27</v>
      </c>
      <c r="Q119" s="2">
        <v>11.21</v>
      </c>
      <c r="R119" s="3">
        <f t="shared" si="5"/>
        <v>3158.7633000000001</v>
      </c>
      <c r="S119" s="3">
        <f t="shared" si="6"/>
        <v>5647.4859000000006</v>
      </c>
      <c r="T119" s="3">
        <f t="shared" si="7"/>
        <v>2488.7226000000005</v>
      </c>
      <c r="U119" s="4">
        <f t="shared" si="8"/>
        <v>0.44067796610169496</v>
      </c>
      <c r="V119" s="5">
        <f t="shared" si="9"/>
        <v>18.035682000000001</v>
      </c>
    </row>
    <row r="120" spans="1:22" x14ac:dyDescent="0.25">
      <c r="A120" s="2" t="s">
        <v>154</v>
      </c>
      <c r="B120" s="2" t="s">
        <v>26</v>
      </c>
      <c r="C120" s="2" t="s">
        <v>43</v>
      </c>
      <c r="D120" s="2" t="s">
        <v>20</v>
      </c>
      <c r="E120" s="2">
        <v>568.33000000000004</v>
      </c>
      <c r="F120" s="2">
        <v>8.49</v>
      </c>
      <c r="G120" s="2">
        <v>30.27</v>
      </c>
      <c r="H120" s="2">
        <v>1</v>
      </c>
      <c r="I120" s="2">
        <v>0.1</v>
      </c>
      <c r="J120" s="2">
        <v>19</v>
      </c>
      <c r="K120" s="2" t="s">
        <v>34</v>
      </c>
      <c r="L120" s="2">
        <v>2.56</v>
      </c>
      <c r="M120" s="2" t="s">
        <v>22</v>
      </c>
      <c r="N120" s="2">
        <v>68.760000000000005</v>
      </c>
      <c r="O120" s="2" t="s">
        <v>23</v>
      </c>
      <c r="P120" s="2">
        <v>8.1999999999999993</v>
      </c>
      <c r="Q120" s="2">
        <v>13.94</v>
      </c>
      <c r="R120" s="3">
        <f t="shared" si="5"/>
        <v>4660.3059999999996</v>
      </c>
      <c r="S120" s="3">
        <f t="shared" si="6"/>
        <v>7922.5201999999999</v>
      </c>
      <c r="T120" s="3">
        <f t="shared" si="7"/>
        <v>3262.2142000000003</v>
      </c>
      <c r="U120" s="4">
        <f t="shared" si="8"/>
        <v>0.41176470588235298</v>
      </c>
      <c r="V120" s="5">
        <f t="shared" si="9"/>
        <v>14.549248000000002</v>
      </c>
    </row>
    <row r="121" spans="1:22" x14ac:dyDescent="0.25">
      <c r="A121" s="2" t="s">
        <v>155</v>
      </c>
      <c r="B121" s="2" t="s">
        <v>32</v>
      </c>
      <c r="C121" s="2" t="s">
        <v>27</v>
      </c>
      <c r="D121" s="2" t="s">
        <v>20</v>
      </c>
      <c r="E121" s="2">
        <v>479.07</v>
      </c>
      <c r="F121" s="2">
        <v>16.440000000000001</v>
      </c>
      <c r="G121" s="2">
        <v>33.01</v>
      </c>
      <c r="H121" s="2">
        <v>0.8</v>
      </c>
      <c r="I121" s="2">
        <v>0.1</v>
      </c>
      <c r="J121" s="2">
        <v>23</v>
      </c>
      <c r="K121" s="2" t="s">
        <v>29</v>
      </c>
      <c r="L121" s="2">
        <v>1.31</v>
      </c>
      <c r="M121" s="2" t="s">
        <v>40</v>
      </c>
      <c r="N121" s="2">
        <v>56.98</v>
      </c>
      <c r="O121" s="2" t="s">
        <v>23</v>
      </c>
      <c r="P121" s="2">
        <v>6.49</v>
      </c>
      <c r="Q121" s="2">
        <v>6.92</v>
      </c>
      <c r="R121" s="3">
        <f t="shared" si="5"/>
        <v>3109.1642999999999</v>
      </c>
      <c r="S121" s="3">
        <f t="shared" si="6"/>
        <v>3315.1644000000001</v>
      </c>
      <c r="T121" s="3">
        <f t="shared" si="7"/>
        <v>206.0001000000002</v>
      </c>
      <c r="U121" s="4">
        <f t="shared" si="8"/>
        <v>6.2138728323699481E-2</v>
      </c>
      <c r="V121" s="5">
        <f t="shared" si="9"/>
        <v>6.2758170000000009</v>
      </c>
    </row>
    <row r="122" spans="1:22" x14ac:dyDescent="0.25">
      <c r="A122" s="2" t="s">
        <v>156</v>
      </c>
      <c r="B122" s="2" t="s">
        <v>26</v>
      </c>
      <c r="C122" s="2" t="s">
        <v>27</v>
      </c>
      <c r="D122" s="2" t="s">
        <v>20</v>
      </c>
      <c r="E122" s="2">
        <v>607.29999999999995</v>
      </c>
      <c r="F122" s="2">
        <v>12.38</v>
      </c>
      <c r="G122" s="2">
        <v>37.79</v>
      </c>
      <c r="H122" s="2">
        <v>1.8</v>
      </c>
      <c r="I122" s="2">
        <v>1.4</v>
      </c>
      <c r="J122" s="2">
        <v>27</v>
      </c>
      <c r="K122" s="2" t="s">
        <v>34</v>
      </c>
      <c r="L122" s="2">
        <v>6.4</v>
      </c>
      <c r="M122" s="2" t="s">
        <v>22</v>
      </c>
      <c r="N122" s="2">
        <v>60.53</v>
      </c>
      <c r="O122" s="2" t="s">
        <v>23</v>
      </c>
      <c r="P122" s="2">
        <v>8.4600000000000009</v>
      </c>
      <c r="Q122" s="2">
        <v>5.87</v>
      </c>
      <c r="R122" s="3">
        <f t="shared" si="5"/>
        <v>5137.7579999999998</v>
      </c>
      <c r="S122" s="3">
        <f t="shared" si="6"/>
        <v>3564.8509999999997</v>
      </c>
      <c r="T122" s="3">
        <f t="shared" si="7"/>
        <v>-1572.9070000000002</v>
      </c>
      <c r="U122" s="4">
        <f t="shared" si="8"/>
        <v>-0.44122657580919938</v>
      </c>
      <c r="V122" s="5">
        <f t="shared" si="9"/>
        <v>38.867199999999997</v>
      </c>
    </row>
    <row r="123" spans="1:22" x14ac:dyDescent="0.25">
      <c r="A123" s="2" t="s">
        <v>157</v>
      </c>
      <c r="B123" s="2" t="s">
        <v>32</v>
      </c>
      <c r="C123" s="2" t="s">
        <v>27</v>
      </c>
      <c r="D123" s="2" t="s">
        <v>28</v>
      </c>
      <c r="E123" s="2">
        <v>736.39</v>
      </c>
      <c r="F123" s="2">
        <v>11.42</v>
      </c>
      <c r="G123" s="2">
        <v>28.81</v>
      </c>
      <c r="H123" s="2">
        <v>4.0999999999999996</v>
      </c>
      <c r="I123" s="2">
        <v>0.7</v>
      </c>
      <c r="J123" s="2">
        <v>19</v>
      </c>
      <c r="K123" s="2" t="s">
        <v>21</v>
      </c>
      <c r="L123" s="2">
        <v>8.8800000000000008</v>
      </c>
      <c r="M123" s="2" t="s">
        <v>37</v>
      </c>
      <c r="N123" s="2">
        <v>87.08</v>
      </c>
      <c r="O123" s="2" t="s">
        <v>30</v>
      </c>
      <c r="P123" s="2">
        <v>6.16</v>
      </c>
      <c r="Q123" s="2">
        <v>11.27</v>
      </c>
      <c r="R123" s="3">
        <f t="shared" si="5"/>
        <v>4536.1624000000002</v>
      </c>
      <c r="S123" s="3">
        <f t="shared" si="6"/>
        <v>8299.1152999999995</v>
      </c>
      <c r="T123" s="3">
        <f t="shared" si="7"/>
        <v>3762.9528999999993</v>
      </c>
      <c r="U123" s="4">
        <f t="shared" si="8"/>
        <v>0.45341614906832295</v>
      </c>
      <c r="V123" s="5">
        <f t="shared" si="9"/>
        <v>65.391432000000009</v>
      </c>
    </row>
    <row r="124" spans="1:22" x14ac:dyDescent="0.25">
      <c r="A124" s="2" t="s">
        <v>158</v>
      </c>
      <c r="B124" s="2" t="s">
        <v>45</v>
      </c>
      <c r="C124" s="2" t="s">
        <v>19</v>
      </c>
      <c r="D124" s="2" t="s">
        <v>20</v>
      </c>
      <c r="E124" s="2">
        <v>421.4</v>
      </c>
      <c r="F124" s="2">
        <v>13.46</v>
      </c>
      <c r="G124" s="2">
        <v>38.020000000000003</v>
      </c>
      <c r="H124" s="2">
        <v>0.1</v>
      </c>
      <c r="I124" s="2">
        <v>0.4</v>
      </c>
      <c r="J124" s="2">
        <v>11</v>
      </c>
      <c r="K124" s="2" t="s">
        <v>21</v>
      </c>
      <c r="L124" s="2">
        <v>3.84</v>
      </c>
      <c r="M124" s="2" t="s">
        <v>40</v>
      </c>
      <c r="N124" s="2">
        <v>57.38</v>
      </c>
      <c r="O124" s="2" t="s">
        <v>30</v>
      </c>
      <c r="P124" s="2">
        <v>9.8800000000000008</v>
      </c>
      <c r="Q124" s="2">
        <v>8.94</v>
      </c>
      <c r="R124" s="3">
        <f t="shared" si="5"/>
        <v>4163.4319999999998</v>
      </c>
      <c r="S124" s="3">
        <f t="shared" si="6"/>
        <v>3767.3159999999998</v>
      </c>
      <c r="T124" s="3">
        <f t="shared" si="7"/>
        <v>-396.11599999999999</v>
      </c>
      <c r="U124" s="4">
        <f t="shared" si="8"/>
        <v>-0.10514541387024609</v>
      </c>
      <c r="V124" s="5">
        <f t="shared" si="9"/>
        <v>16.181760000000001</v>
      </c>
    </row>
    <row r="125" spans="1:22" x14ac:dyDescent="0.25">
      <c r="A125" s="2" t="s">
        <v>159</v>
      </c>
      <c r="B125" s="2" t="s">
        <v>18</v>
      </c>
      <c r="C125" s="2" t="s">
        <v>43</v>
      </c>
      <c r="D125" s="2" t="s">
        <v>20</v>
      </c>
      <c r="E125" s="2">
        <v>361.9</v>
      </c>
      <c r="F125" s="2">
        <v>8.91</v>
      </c>
      <c r="G125" s="2">
        <v>35.01</v>
      </c>
      <c r="H125" s="2">
        <v>1</v>
      </c>
      <c r="I125" s="2">
        <v>0.5</v>
      </c>
      <c r="J125" s="2">
        <v>16</v>
      </c>
      <c r="K125" s="2" t="s">
        <v>29</v>
      </c>
      <c r="L125" s="2">
        <v>5.75</v>
      </c>
      <c r="M125" s="2" t="s">
        <v>40</v>
      </c>
      <c r="N125" s="2">
        <v>61.15</v>
      </c>
      <c r="O125" s="2" t="s">
        <v>24</v>
      </c>
      <c r="P125" s="2">
        <v>5.05</v>
      </c>
      <c r="Q125" s="2">
        <v>6.63</v>
      </c>
      <c r="R125" s="3">
        <f t="shared" si="5"/>
        <v>1827.5949999999998</v>
      </c>
      <c r="S125" s="3">
        <f t="shared" si="6"/>
        <v>2399.3969999999999</v>
      </c>
      <c r="T125" s="3">
        <f t="shared" si="7"/>
        <v>571.80200000000013</v>
      </c>
      <c r="U125" s="4">
        <f t="shared" si="8"/>
        <v>0.23831070889894426</v>
      </c>
      <c r="V125" s="5">
        <f t="shared" si="9"/>
        <v>20.809249999999999</v>
      </c>
    </row>
    <row r="126" spans="1:22" x14ac:dyDescent="0.25">
      <c r="A126" s="2" t="s">
        <v>160</v>
      </c>
      <c r="B126" s="2" t="s">
        <v>32</v>
      </c>
      <c r="C126" s="2" t="s">
        <v>33</v>
      </c>
      <c r="D126" s="2" t="s">
        <v>20</v>
      </c>
      <c r="E126" s="2">
        <v>530.38</v>
      </c>
      <c r="F126" s="2">
        <v>15.57</v>
      </c>
      <c r="G126" s="2">
        <v>29.77</v>
      </c>
      <c r="H126" s="2">
        <v>0.3</v>
      </c>
      <c r="I126" s="2">
        <v>2.6</v>
      </c>
      <c r="J126" s="2">
        <v>23</v>
      </c>
      <c r="K126" s="2" t="s">
        <v>29</v>
      </c>
      <c r="L126" s="2">
        <v>6.6</v>
      </c>
      <c r="M126" s="2" t="s">
        <v>37</v>
      </c>
      <c r="N126" s="2">
        <v>71.23</v>
      </c>
      <c r="O126" s="2" t="s">
        <v>23</v>
      </c>
      <c r="P126" s="2">
        <v>3.64</v>
      </c>
      <c r="Q126" s="2">
        <v>6.17</v>
      </c>
      <c r="R126" s="3">
        <f t="shared" si="5"/>
        <v>1930.5832</v>
      </c>
      <c r="S126" s="3">
        <f t="shared" si="6"/>
        <v>3272.4445999999998</v>
      </c>
      <c r="T126" s="3">
        <f t="shared" si="7"/>
        <v>1341.8613999999998</v>
      </c>
      <c r="U126" s="4">
        <f t="shared" si="8"/>
        <v>0.41004862236628847</v>
      </c>
      <c r="V126" s="5">
        <f t="shared" si="9"/>
        <v>35.00508</v>
      </c>
    </row>
    <row r="127" spans="1:22" x14ac:dyDescent="0.25">
      <c r="A127" s="2" t="s">
        <v>161</v>
      </c>
      <c r="B127" s="2" t="s">
        <v>26</v>
      </c>
      <c r="C127" s="2" t="s">
        <v>33</v>
      </c>
      <c r="D127" s="2" t="s">
        <v>28</v>
      </c>
      <c r="E127" s="2">
        <v>572.16</v>
      </c>
      <c r="F127" s="2">
        <v>13.82</v>
      </c>
      <c r="G127" s="2">
        <v>32.06</v>
      </c>
      <c r="H127" s="2">
        <v>2.4</v>
      </c>
      <c r="I127" s="2">
        <v>2.4</v>
      </c>
      <c r="J127" s="2">
        <v>28</v>
      </c>
      <c r="K127" s="2" t="s">
        <v>29</v>
      </c>
      <c r="L127" s="2">
        <v>4.4400000000000004</v>
      </c>
      <c r="M127" s="2" t="s">
        <v>22</v>
      </c>
      <c r="N127" s="2">
        <v>53.61</v>
      </c>
      <c r="O127" s="2" t="s">
        <v>30</v>
      </c>
      <c r="P127" s="2">
        <v>6.01</v>
      </c>
      <c r="Q127" s="2">
        <v>10.59</v>
      </c>
      <c r="R127" s="3">
        <f t="shared" si="5"/>
        <v>3438.6815999999999</v>
      </c>
      <c r="S127" s="3">
        <f t="shared" si="6"/>
        <v>6059.1743999999999</v>
      </c>
      <c r="T127" s="3">
        <f t="shared" si="7"/>
        <v>2620.4928</v>
      </c>
      <c r="U127" s="4">
        <f t="shared" si="8"/>
        <v>0.43248347497639283</v>
      </c>
      <c r="V127" s="5">
        <f t="shared" si="9"/>
        <v>25.403904000000001</v>
      </c>
    </row>
    <row r="128" spans="1:22" x14ac:dyDescent="0.25">
      <c r="A128" s="2" t="s">
        <v>162</v>
      </c>
      <c r="B128" s="2" t="s">
        <v>45</v>
      </c>
      <c r="C128" s="2" t="s">
        <v>43</v>
      </c>
      <c r="D128" s="2" t="s">
        <v>20</v>
      </c>
      <c r="E128" s="2">
        <v>476.91</v>
      </c>
      <c r="F128" s="2">
        <v>9.8699999999999992</v>
      </c>
      <c r="G128" s="2">
        <v>26.51</v>
      </c>
      <c r="H128" s="2">
        <v>0.2</v>
      </c>
      <c r="I128" s="2">
        <v>1.3</v>
      </c>
      <c r="J128" s="2">
        <v>27</v>
      </c>
      <c r="K128" s="2" t="s">
        <v>29</v>
      </c>
      <c r="L128" s="2">
        <v>9.08</v>
      </c>
      <c r="M128" s="2" t="s">
        <v>40</v>
      </c>
      <c r="N128" s="2">
        <v>60.63</v>
      </c>
      <c r="O128" s="2" t="s">
        <v>23</v>
      </c>
      <c r="P128" s="2">
        <v>6.79</v>
      </c>
      <c r="Q128" s="2">
        <v>8</v>
      </c>
      <c r="R128" s="3">
        <f t="shared" si="5"/>
        <v>3238.2189000000003</v>
      </c>
      <c r="S128" s="3">
        <f t="shared" si="6"/>
        <v>3815.28</v>
      </c>
      <c r="T128" s="3">
        <f t="shared" si="7"/>
        <v>577.0610999999999</v>
      </c>
      <c r="U128" s="4">
        <f t="shared" si="8"/>
        <v>0.15124999999999997</v>
      </c>
      <c r="V128" s="5">
        <f t="shared" si="9"/>
        <v>43.303428000000004</v>
      </c>
    </row>
    <row r="129" spans="1:22" x14ac:dyDescent="0.25">
      <c r="A129" s="2" t="s">
        <v>163</v>
      </c>
      <c r="B129" s="2" t="s">
        <v>32</v>
      </c>
      <c r="C129" s="2" t="s">
        <v>19</v>
      </c>
      <c r="D129" s="2" t="s">
        <v>28</v>
      </c>
      <c r="E129" s="2">
        <v>645.33000000000004</v>
      </c>
      <c r="F129" s="2">
        <v>9.8800000000000008</v>
      </c>
      <c r="G129" s="2">
        <v>39.67</v>
      </c>
      <c r="H129" s="2">
        <v>2.2000000000000002</v>
      </c>
      <c r="I129" s="2">
        <v>2.2000000000000002</v>
      </c>
      <c r="J129" s="2">
        <v>12</v>
      </c>
      <c r="K129" s="2" t="s">
        <v>21</v>
      </c>
      <c r="L129" s="2">
        <v>3.95</v>
      </c>
      <c r="M129" s="2" t="s">
        <v>40</v>
      </c>
      <c r="N129" s="2">
        <v>57.49</v>
      </c>
      <c r="O129" s="2" t="s">
        <v>23</v>
      </c>
      <c r="P129" s="2">
        <v>5.44</v>
      </c>
      <c r="Q129" s="2">
        <v>14.97</v>
      </c>
      <c r="R129" s="3">
        <f t="shared" si="5"/>
        <v>3510.5952000000007</v>
      </c>
      <c r="S129" s="3">
        <f t="shared" si="6"/>
        <v>9660.5901000000013</v>
      </c>
      <c r="T129" s="3">
        <f t="shared" si="7"/>
        <v>6149.9949000000006</v>
      </c>
      <c r="U129" s="4">
        <f t="shared" si="8"/>
        <v>0.63660654642618564</v>
      </c>
      <c r="V129" s="5">
        <f t="shared" si="9"/>
        <v>25.490535000000005</v>
      </c>
    </row>
    <row r="130" spans="1:22" x14ac:dyDescent="0.25">
      <c r="A130" s="2" t="s">
        <v>164</v>
      </c>
      <c r="B130" s="2" t="s">
        <v>26</v>
      </c>
      <c r="C130" s="2" t="s">
        <v>19</v>
      </c>
      <c r="D130" s="2" t="s">
        <v>20</v>
      </c>
      <c r="E130" s="2">
        <v>366.14</v>
      </c>
      <c r="F130" s="2">
        <v>9.84</v>
      </c>
      <c r="G130" s="2">
        <v>33.35</v>
      </c>
      <c r="H130" s="2">
        <v>0.7</v>
      </c>
      <c r="I130" s="2">
        <v>0.4</v>
      </c>
      <c r="J130" s="2">
        <v>27</v>
      </c>
      <c r="K130" s="2" t="s">
        <v>29</v>
      </c>
      <c r="L130" s="2">
        <v>1.69</v>
      </c>
      <c r="M130" s="2" t="s">
        <v>22</v>
      </c>
      <c r="N130" s="2">
        <v>97.57</v>
      </c>
      <c r="O130" s="2" t="s">
        <v>30</v>
      </c>
      <c r="P130" s="2">
        <v>4.7</v>
      </c>
      <c r="Q130" s="2">
        <v>9.06</v>
      </c>
      <c r="R130" s="3">
        <f t="shared" si="5"/>
        <v>1720.8579999999999</v>
      </c>
      <c r="S130" s="3">
        <f t="shared" si="6"/>
        <v>3317.2284</v>
      </c>
      <c r="T130" s="3">
        <f t="shared" si="7"/>
        <v>1596.3704</v>
      </c>
      <c r="U130" s="4">
        <f t="shared" si="8"/>
        <v>0.48123620309050774</v>
      </c>
      <c r="V130" s="5">
        <f t="shared" si="9"/>
        <v>6.187765999999999</v>
      </c>
    </row>
    <row r="131" spans="1:22" x14ac:dyDescent="0.25">
      <c r="A131" s="2" t="s">
        <v>165</v>
      </c>
      <c r="B131" s="2" t="s">
        <v>26</v>
      </c>
      <c r="C131" s="2" t="s">
        <v>27</v>
      </c>
      <c r="D131" s="2" t="s">
        <v>28</v>
      </c>
      <c r="E131" s="2">
        <v>569.29</v>
      </c>
      <c r="F131" s="2">
        <v>8.57</v>
      </c>
      <c r="G131" s="2">
        <v>20.88</v>
      </c>
      <c r="H131" s="2">
        <v>0.4</v>
      </c>
      <c r="I131" s="2">
        <v>0.5</v>
      </c>
      <c r="J131" s="2">
        <v>8</v>
      </c>
      <c r="K131" s="2" t="s">
        <v>34</v>
      </c>
      <c r="L131" s="2">
        <v>1.87</v>
      </c>
      <c r="M131" s="2" t="s">
        <v>40</v>
      </c>
      <c r="N131" s="2">
        <v>59.58</v>
      </c>
      <c r="O131" s="2" t="s">
        <v>30</v>
      </c>
      <c r="P131" s="2">
        <v>7.7</v>
      </c>
      <c r="Q131" s="2">
        <v>7.12</v>
      </c>
      <c r="R131" s="3">
        <f t="shared" ref="R131:R194" si="10">E131*P131</f>
        <v>4383.5329999999994</v>
      </c>
      <c r="S131" s="3">
        <f t="shared" ref="S131:S194" si="11">E131*Q131</f>
        <v>4053.3447999999999</v>
      </c>
      <c r="T131" s="3">
        <f t="shared" ref="T131:T194" si="12">S131-R131</f>
        <v>-330.1881999999996</v>
      </c>
      <c r="U131" s="4">
        <f t="shared" ref="U131:U194" si="13">T131/S131</f>
        <v>-8.1460674157303278E-2</v>
      </c>
      <c r="V131" s="5">
        <f t="shared" ref="V131:V194" si="14">E131*L131/100</f>
        <v>10.645723</v>
      </c>
    </row>
    <row r="132" spans="1:22" x14ac:dyDescent="0.25">
      <c r="A132" s="2" t="s">
        <v>166</v>
      </c>
      <c r="B132" s="2" t="s">
        <v>26</v>
      </c>
      <c r="C132" s="2" t="s">
        <v>43</v>
      </c>
      <c r="D132" s="2" t="s">
        <v>28</v>
      </c>
      <c r="E132" s="2">
        <v>439.41</v>
      </c>
      <c r="F132" s="2">
        <v>13.88</v>
      </c>
      <c r="G132" s="2">
        <v>26.53</v>
      </c>
      <c r="H132" s="2">
        <v>5.5</v>
      </c>
      <c r="I132" s="2">
        <v>1</v>
      </c>
      <c r="J132" s="2">
        <v>3</v>
      </c>
      <c r="K132" s="2" t="s">
        <v>29</v>
      </c>
      <c r="L132" s="2">
        <v>8.9600000000000009</v>
      </c>
      <c r="M132" s="2" t="s">
        <v>40</v>
      </c>
      <c r="N132" s="2">
        <v>93.09</v>
      </c>
      <c r="O132" s="2" t="s">
        <v>24</v>
      </c>
      <c r="P132" s="2">
        <v>5.64</v>
      </c>
      <c r="Q132" s="2">
        <v>11.29</v>
      </c>
      <c r="R132" s="3">
        <f t="shared" si="10"/>
        <v>2478.2723999999998</v>
      </c>
      <c r="S132" s="3">
        <f t="shared" si="11"/>
        <v>4960.9389000000001</v>
      </c>
      <c r="T132" s="3">
        <f t="shared" si="12"/>
        <v>2482.6665000000003</v>
      </c>
      <c r="U132" s="4">
        <f t="shared" si="13"/>
        <v>0.50044286979627994</v>
      </c>
      <c r="V132" s="5">
        <f t="shared" si="14"/>
        <v>39.371136000000007</v>
      </c>
    </row>
    <row r="133" spans="1:22" x14ac:dyDescent="0.25">
      <c r="A133" s="2" t="s">
        <v>167</v>
      </c>
      <c r="B133" s="2" t="s">
        <v>32</v>
      </c>
      <c r="C133" s="2" t="s">
        <v>43</v>
      </c>
      <c r="D133" s="2" t="s">
        <v>28</v>
      </c>
      <c r="E133" s="2">
        <v>671.94</v>
      </c>
      <c r="F133" s="2">
        <v>16.399999999999999</v>
      </c>
      <c r="G133" s="2">
        <v>32.47</v>
      </c>
      <c r="H133" s="2">
        <v>0</v>
      </c>
      <c r="I133" s="2">
        <v>1</v>
      </c>
      <c r="J133" s="2">
        <v>2</v>
      </c>
      <c r="K133" s="2" t="s">
        <v>29</v>
      </c>
      <c r="L133" s="2">
        <v>9.89</v>
      </c>
      <c r="M133" s="2" t="s">
        <v>37</v>
      </c>
      <c r="N133" s="2">
        <v>55.74</v>
      </c>
      <c r="O133" s="2" t="s">
        <v>24</v>
      </c>
      <c r="P133" s="2">
        <v>7.42</v>
      </c>
      <c r="Q133" s="2">
        <v>7.44</v>
      </c>
      <c r="R133" s="3">
        <f t="shared" si="10"/>
        <v>4985.7948000000006</v>
      </c>
      <c r="S133" s="3">
        <f t="shared" si="11"/>
        <v>4999.2336000000005</v>
      </c>
      <c r="T133" s="3">
        <f t="shared" si="12"/>
        <v>13.438799999999901</v>
      </c>
      <c r="U133" s="4">
        <f t="shared" si="13"/>
        <v>2.6881720430107325E-3</v>
      </c>
      <c r="V133" s="5">
        <f t="shared" si="14"/>
        <v>66.45486600000001</v>
      </c>
    </row>
    <row r="134" spans="1:22" x14ac:dyDescent="0.25">
      <c r="A134" s="2" t="s">
        <v>168</v>
      </c>
      <c r="B134" s="2" t="s">
        <v>32</v>
      </c>
      <c r="C134" s="2" t="s">
        <v>33</v>
      </c>
      <c r="D134" s="2" t="s">
        <v>20</v>
      </c>
      <c r="E134" s="2">
        <v>699.25</v>
      </c>
      <c r="F134" s="2">
        <v>8.17</v>
      </c>
      <c r="G134" s="2">
        <v>21.13</v>
      </c>
      <c r="H134" s="2">
        <v>1.2</v>
      </c>
      <c r="I134" s="2">
        <v>0.7</v>
      </c>
      <c r="J134" s="2">
        <v>28</v>
      </c>
      <c r="K134" s="2" t="s">
        <v>34</v>
      </c>
      <c r="L134" s="2">
        <v>3.24</v>
      </c>
      <c r="M134" s="2" t="s">
        <v>22</v>
      </c>
      <c r="N134" s="2">
        <v>93.48</v>
      </c>
      <c r="O134" s="2" t="s">
        <v>24</v>
      </c>
      <c r="P134" s="2">
        <v>8.4499999999999993</v>
      </c>
      <c r="Q134" s="2">
        <v>9.94</v>
      </c>
      <c r="R134" s="3">
        <f t="shared" si="10"/>
        <v>5908.6624999999995</v>
      </c>
      <c r="S134" s="3">
        <f t="shared" si="11"/>
        <v>6950.5450000000001</v>
      </c>
      <c r="T134" s="3">
        <f t="shared" si="12"/>
        <v>1041.8825000000006</v>
      </c>
      <c r="U134" s="4">
        <f t="shared" si="13"/>
        <v>0.14989939637826971</v>
      </c>
      <c r="V134" s="5">
        <f t="shared" si="14"/>
        <v>22.655700000000003</v>
      </c>
    </row>
    <row r="135" spans="1:22" x14ac:dyDescent="0.25">
      <c r="A135" s="2" t="s">
        <v>169</v>
      </c>
      <c r="B135" s="2" t="s">
        <v>32</v>
      </c>
      <c r="C135" s="2" t="s">
        <v>43</v>
      </c>
      <c r="D135" s="2" t="s">
        <v>20</v>
      </c>
      <c r="E135" s="2">
        <v>423.33</v>
      </c>
      <c r="F135" s="2">
        <v>8.49</v>
      </c>
      <c r="G135" s="2">
        <v>20.48</v>
      </c>
      <c r="H135" s="2">
        <v>0</v>
      </c>
      <c r="I135" s="2">
        <v>0.5</v>
      </c>
      <c r="J135" s="2">
        <v>6</v>
      </c>
      <c r="K135" s="2" t="s">
        <v>34</v>
      </c>
      <c r="L135" s="2">
        <v>1.86</v>
      </c>
      <c r="M135" s="2" t="s">
        <v>40</v>
      </c>
      <c r="N135" s="2">
        <v>79.97</v>
      </c>
      <c r="O135" s="2" t="s">
        <v>23</v>
      </c>
      <c r="P135" s="2">
        <v>8.33</v>
      </c>
      <c r="Q135" s="2">
        <v>9.83</v>
      </c>
      <c r="R135" s="3">
        <f t="shared" si="10"/>
        <v>3526.3388999999997</v>
      </c>
      <c r="S135" s="3">
        <f t="shared" si="11"/>
        <v>4161.3338999999996</v>
      </c>
      <c r="T135" s="3">
        <f t="shared" si="12"/>
        <v>634.99499999999989</v>
      </c>
      <c r="U135" s="4">
        <f t="shared" si="13"/>
        <v>0.15259409969481177</v>
      </c>
      <c r="V135" s="5">
        <f t="shared" si="14"/>
        <v>7.8739380000000008</v>
      </c>
    </row>
    <row r="136" spans="1:22" x14ac:dyDescent="0.25">
      <c r="A136" s="2" t="s">
        <v>170</v>
      </c>
      <c r="B136" s="2" t="s">
        <v>18</v>
      </c>
      <c r="C136" s="2" t="s">
        <v>19</v>
      </c>
      <c r="D136" s="2" t="s">
        <v>28</v>
      </c>
      <c r="E136" s="2">
        <v>445.04</v>
      </c>
      <c r="F136" s="2">
        <v>13.73</v>
      </c>
      <c r="G136" s="2">
        <v>29</v>
      </c>
      <c r="H136" s="2">
        <v>1.3</v>
      </c>
      <c r="I136" s="2">
        <v>4.3</v>
      </c>
      <c r="J136" s="2">
        <v>16</v>
      </c>
      <c r="K136" s="2" t="s">
        <v>34</v>
      </c>
      <c r="L136" s="2">
        <v>5.08</v>
      </c>
      <c r="M136" s="2" t="s">
        <v>40</v>
      </c>
      <c r="N136" s="2">
        <v>92.49</v>
      </c>
      <c r="O136" s="2" t="s">
        <v>23</v>
      </c>
      <c r="P136" s="2">
        <v>5.63</v>
      </c>
      <c r="Q136" s="2">
        <v>9.5399999999999991</v>
      </c>
      <c r="R136" s="3">
        <f t="shared" si="10"/>
        <v>2505.5752000000002</v>
      </c>
      <c r="S136" s="3">
        <f t="shared" si="11"/>
        <v>4245.6815999999999</v>
      </c>
      <c r="T136" s="3">
        <f t="shared" si="12"/>
        <v>1740.1063999999997</v>
      </c>
      <c r="U136" s="4">
        <f t="shared" si="13"/>
        <v>0.40985324947589091</v>
      </c>
      <c r="V136" s="5">
        <f t="shared" si="14"/>
        <v>22.608032000000001</v>
      </c>
    </row>
    <row r="137" spans="1:22" x14ac:dyDescent="0.25">
      <c r="A137" s="2" t="s">
        <v>171</v>
      </c>
      <c r="B137" s="2" t="s">
        <v>32</v>
      </c>
      <c r="C137" s="2" t="s">
        <v>43</v>
      </c>
      <c r="D137" s="2" t="s">
        <v>28</v>
      </c>
      <c r="E137" s="2">
        <v>585.96</v>
      </c>
      <c r="F137" s="2">
        <v>16.190000000000001</v>
      </c>
      <c r="G137" s="2">
        <v>26.65</v>
      </c>
      <c r="H137" s="2">
        <v>1.4</v>
      </c>
      <c r="I137" s="2">
        <v>1.7</v>
      </c>
      <c r="J137" s="2">
        <v>20</v>
      </c>
      <c r="K137" s="2" t="s">
        <v>34</v>
      </c>
      <c r="L137" s="2">
        <v>7.24</v>
      </c>
      <c r="M137" s="2" t="s">
        <v>37</v>
      </c>
      <c r="N137" s="2">
        <v>93.37</v>
      </c>
      <c r="O137" s="2" t="s">
        <v>24</v>
      </c>
      <c r="P137" s="2">
        <v>6.98</v>
      </c>
      <c r="Q137" s="2">
        <v>12.96</v>
      </c>
      <c r="R137" s="3">
        <f t="shared" si="10"/>
        <v>4090.0008000000007</v>
      </c>
      <c r="S137" s="3">
        <f t="shared" si="11"/>
        <v>7594.0416000000014</v>
      </c>
      <c r="T137" s="3">
        <f t="shared" si="12"/>
        <v>3504.0408000000007</v>
      </c>
      <c r="U137" s="4">
        <f t="shared" si="13"/>
        <v>0.46141975308641975</v>
      </c>
      <c r="V137" s="5">
        <f t="shared" si="14"/>
        <v>42.423504000000001</v>
      </c>
    </row>
    <row r="138" spans="1:22" x14ac:dyDescent="0.25">
      <c r="A138" s="2" t="s">
        <v>172</v>
      </c>
      <c r="B138" s="2" t="s">
        <v>32</v>
      </c>
      <c r="C138" s="2" t="s">
        <v>33</v>
      </c>
      <c r="D138" s="2" t="s">
        <v>20</v>
      </c>
      <c r="E138" s="2">
        <v>461.29</v>
      </c>
      <c r="F138" s="2">
        <v>11.27</v>
      </c>
      <c r="G138" s="2">
        <v>28.77</v>
      </c>
      <c r="H138" s="2">
        <v>0.8</v>
      </c>
      <c r="I138" s="2">
        <v>0.6</v>
      </c>
      <c r="J138" s="2">
        <v>24</v>
      </c>
      <c r="K138" s="2" t="s">
        <v>29</v>
      </c>
      <c r="L138" s="2">
        <v>6.32</v>
      </c>
      <c r="M138" s="2" t="s">
        <v>40</v>
      </c>
      <c r="N138" s="2">
        <v>79.819999999999993</v>
      </c>
      <c r="O138" s="2" t="s">
        <v>23</v>
      </c>
      <c r="P138" s="2">
        <v>6.15</v>
      </c>
      <c r="Q138" s="2">
        <v>7.17</v>
      </c>
      <c r="R138" s="3">
        <f t="shared" si="10"/>
        <v>2836.9335000000001</v>
      </c>
      <c r="S138" s="3">
        <f t="shared" si="11"/>
        <v>3307.4493000000002</v>
      </c>
      <c r="T138" s="3">
        <f t="shared" si="12"/>
        <v>470.51580000000013</v>
      </c>
      <c r="U138" s="4">
        <f t="shared" si="13"/>
        <v>0.14225941422594146</v>
      </c>
      <c r="V138" s="5">
        <f t="shared" si="14"/>
        <v>29.153528000000001</v>
      </c>
    </row>
    <row r="139" spans="1:22" x14ac:dyDescent="0.25">
      <c r="A139" s="2" t="s">
        <v>173</v>
      </c>
      <c r="B139" s="2" t="s">
        <v>32</v>
      </c>
      <c r="C139" s="2" t="s">
        <v>27</v>
      </c>
      <c r="D139" s="2" t="s">
        <v>20</v>
      </c>
      <c r="E139" s="2">
        <v>495.46</v>
      </c>
      <c r="F139" s="2">
        <v>11.5</v>
      </c>
      <c r="G139" s="2">
        <v>25.25</v>
      </c>
      <c r="H139" s="2">
        <v>0.3</v>
      </c>
      <c r="I139" s="2">
        <v>1.3</v>
      </c>
      <c r="J139" s="2">
        <v>29</v>
      </c>
      <c r="K139" s="2" t="s">
        <v>34</v>
      </c>
      <c r="L139" s="2">
        <v>9.5399999999999991</v>
      </c>
      <c r="M139" s="2" t="s">
        <v>37</v>
      </c>
      <c r="N139" s="2">
        <v>95.88</v>
      </c>
      <c r="O139" s="2" t="s">
        <v>23</v>
      </c>
      <c r="P139" s="2">
        <v>9.1</v>
      </c>
      <c r="Q139" s="2">
        <v>14.04</v>
      </c>
      <c r="R139" s="3">
        <f t="shared" si="10"/>
        <v>4508.6859999999997</v>
      </c>
      <c r="S139" s="3">
        <f t="shared" si="11"/>
        <v>6956.2583999999997</v>
      </c>
      <c r="T139" s="3">
        <f t="shared" si="12"/>
        <v>2447.5724</v>
      </c>
      <c r="U139" s="4">
        <f t="shared" si="13"/>
        <v>0.35185185185185186</v>
      </c>
      <c r="V139" s="5">
        <f t="shared" si="14"/>
        <v>47.26688399999999</v>
      </c>
    </row>
    <row r="140" spans="1:22" x14ac:dyDescent="0.25">
      <c r="A140" s="2" t="s">
        <v>174</v>
      </c>
      <c r="B140" s="2" t="s">
        <v>18</v>
      </c>
      <c r="C140" s="2" t="s">
        <v>33</v>
      </c>
      <c r="D140" s="2" t="s">
        <v>28</v>
      </c>
      <c r="E140" s="2">
        <v>502.54</v>
      </c>
      <c r="F140" s="2">
        <v>13.96</v>
      </c>
      <c r="G140" s="2">
        <v>23.29</v>
      </c>
      <c r="H140" s="2">
        <v>0.9</v>
      </c>
      <c r="I140" s="2">
        <v>0.3</v>
      </c>
      <c r="J140" s="2">
        <v>15</v>
      </c>
      <c r="K140" s="2" t="s">
        <v>21</v>
      </c>
      <c r="L140" s="2">
        <v>8.27</v>
      </c>
      <c r="M140" s="2" t="s">
        <v>40</v>
      </c>
      <c r="N140" s="2">
        <v>79.27</v>
      </c>
      <c r="O140" s="2" t="s">
        <v>23</v>
      </c>
      <c r="P140" s="2">
        <v>9.15</v>
      </c>
      <c r="Q140" s="2">
        <v>12.91</v>
      </c>
      <c r="R140" s="3">
        <f t="shared" si="10"/>
        <v>4598.241</v>
      </c>
      <c r="S140" s="3">
        <f t="shared" si="11"/>
        <v>6487.7914000000001</v>
      </c>
      <c r="T140" s="3">
        <f t="shared" si="12"/>
        <v>1889.5504000000001</v>
      </c>
      <c r="U140" s="4">
        <f t="shared" si="13"/>
        <v>0.29124709527498066</v>
      </c>
      <c r="V140" s="5">
        <f t="shared" si="14"/>
        <v>41.560057999999998</v>
      </c>
    </row>
    <row r="141" spans="1:22" x14ac:dyDescent="0.25">
      <c r="A141" s="2" t="s">
        <v>175</v>
      </c>
      <c r="B141" s="2" t="s">
        <v>32</v>
      </c>
      <c r="C141" s="2" t="s">
        <v>33</v>
      </c>
      <c r="D141" s="2" t="s">
        <v>20</v>
      </c>
      <c r="E141" s="2">
        <v>308.02999999999997</v>
      </c>
      <c r="F141" s="2">
        <v>10.74</v>
      </c>
      <c r="G141" s="2">
        <v>33.78</v>
      </c>
      <c r="H141" s="2">
        <v>2.2000000000000002</v>
      </c>
      <c r="I141" s="2">
        <v>0.1</v>
      </c>
      <c r="J141" s="2">
        <v>14</v>
      </c>
      <c r="K141" s="2" t="s">
        <v>29</v>
      </c>
      <c r="L141" s="2">
        <v>8.76</v>
      </c>
      <c r="M141" s="2" t="s">
        <v>37</v>
      </c>
      <c r="N141" s="2">
        <v>85.63</v>
      </c>
      <c r="O141" s="2" t="s">
        <v>23</v>
      </c>
      <c r="P141" s="2">
        <v>5.41</v>
      </c>
      <c r="Q141" s="2">
        <v>8.33</v>
      </c>
      <c r="R141" s="3">
        <f t="shared" si="10"/>
        <v>1666.4422999999999</v>
      </c>
      <c r="S141" s="3">
        <f t="shared" si="11"/>
        <v>2565.8898999999997</v>
      </c>
      <c r="T141" s="3">
        <f t="shared" si="12"/>
        <v>899.44759999999974</v>
      </c>
      <c r="U141" s="4">
        <f t="shared" si="13"/>
        <v>0.35054021608643454</v>
      </c>
      <c r="V141" s="5">
        <f t="shared" si="14"/>
        <v>26.983428</v>
      </c>
    </row>
    <row r="142" spans="1:22" x14ac:dyDescent="0.25">
      <c r="A142" s="2" t="s">
        <v>176</v>
      </c>
      <c r="B142" s="2" t="s">
        <v>26</v>
      </c>
      <c r="C142" s="2" t="s">
        <v>27</v>
      </c>
      <c r="D142" s="2" t="s">
        <v>20</v>
      </c>
      <c r="E142" s="2">
        <v>498.62</v>
      </c>
      <c r="F142" s="2">
        <v>8.27</v>
      </c>
      <c r="G142" s="2">
        <v>30.29</v>
      </c>
      <c r="H142" s="2">
        <v>3.1</v>
      </c>
      <c r="I142" s="2">
        <v>0.4</v>
      </c>
      <c r="J142" s="2">
        <v>2</v>
      </c>
      <c r="K142" s="2" t="s">
        <v>21</v>
      </c>
      <c r="L142" s="2">
        <v>5.65</v>
      </c>
      <c r="M142" s="2" t="s">
        <v>22</v>
      </c>
      <c r="N142" s="2">
        <v>70.8</v>
      </c>
      <c r="O142" s="2" t="s">
        <v>30</v>
      </c>
      <c r="P142" s="2">
        <v>3.64</v>
      </c>
      <c r="Q142" s="2">
        <v>6.81</v>
      </c>
      <c r="R142" s="3">
        <f t="shared" si="10"/>
        <v>1814.9768000000001</v>
      </c>
      <c r="S142" s="3">
        <f t="shared" si="11"/>
        <v>3395.6021999999998</v>
      </c>
      <c r="T142" s="3">
        <f t="shared" si="12"/>
        <v>1580.6253999999997</v>
      </c>
      <c r="U142" s="4">
        <f t="shared" si="13"/>
        <v>0.46549192364170333</v>
      </c>
      <c r="V142" s="5">
        <f t="shared" si="14"/>
        <v>28.172030000000003</v>
      </c>
    </row>
    <row r="143" spans="1:22" x14ac:dyDescent="0.25">
      <c r="A143" s="2" t="s">
        <v>177</v>
      </c>
      <c r="B143" s="2" t="s">
        <v>32</v>
      </c>
      <c r="C143" s="2" t="s">
        <v>33</v>
      </c>
      <c r="D143" s="2" t="s">
        <v>20</v>
      </c>
      <c r="E143" s="2">
        <v>431.03</v>
      </c>
      <c r="F143" s="2">
        <v>15.35</v>
      </c>
      <c r="G143" s="2">
        <v>24</v>
      </c>
      <c r="H143" s="2">
        <v>1.5</v>
      </c>
      <c r="I143" s="2">
        <v>0.5</v>
      </c>
      <c r="J143" s="2">
        <v>20</v>
      </c>
      <c r="K143" s="2" t="s">
        <v>29</v>
      </c>
      <c r="L143" s="2">
        <v>3.61</v>
      </c>
      <c r="M143" s="2" t="s">
        <v>22</v>
      </c>
      <c r="N143" s="2">
        <v>95.7</v>
      </c>
      <c r="O143" s="2" t="s">
        <v>30</v>
      </c>
      <c r="P143" s="2">
        <v>4.17</v>
      </c>
      <c r="Q143" s="2">
        <v>7.8</v>
      </c>
      <c r="R143" s="3">
        <f t="shared" si="10"/>
        <v>1797.3951</v>
      </c>
      <c r="S143" s="3">
        <f t="shared" si="11"/>
        <v>3362.0339999999997</v>
      </c>
      <c r="T143" s="3">
        <f t="shared" si="12"/>
        <v>1564.6388999999997</v>
      </c>
      <c r="U143" s="4">
        <f t="shared" si="13"/>
        <v>0.46538461538461534</v>
      </c>
      <c r="V143" s="5">
        <f t="shared" si="14"/>
        <v>15.560183</v>
      </c>
    </row>
    <row r="144" spans="1:22" x14ac:dyDescent="0.25">
      <c r="A144" s="2" t="s">
        <v>178</v>
      </c>
      <c r="B144" s="2" t="s">
        <v>26</v>
      </c>
      <c r="C144" s="2" t="s">
        <v>33</v>
      </c>
      <c r="D144" s="2" t="s">
        <v>20</v>
      </c>
      <c r="E144" s="2">
        <v>450.69</v>
      </c>
      <c r="F144" s="2">
        <v>14.26</v>
      </c>
      <c r="G144" s="2">
        <v>26.39</v>
      </c>
      <c r="H144" s="2">
        <v>1.8</v>
      </c>
      <c r="I144" s="2">
        <v>0</v>
      </c>
      <c r="J144" s="2">
        <v>18</v>
      </c>
      <c r="K144" s="2" t="s">
        <v>29</v>
      </c>
      <c r="L144" s="2">
        <v>7.17</v>
      </c>
      <c r="M144" s="2" t="s">
        <v>40</v>
      </c>
      <c r="N144" s="2">
        <v>91.21</v>
      </c>
      <c r="O144" s="2" t="s">
        <v>24</v>
      </c>
      <c r="P144" s="2">
        <v>5.57</v>
      </c>
      <c r="Q144" s="2">
        <v>8.33</v>
      </c>
      <c r="R144" s="3">
        <f t="shared" si="10"/>
        <v>2510.3433</v>
      </c>
      <c r="S144" s="3">
        <f t="shared" si="11"/>
        <v>3754.2476999999999</v>
      </c>
      <c r="T144" s="3">
        <f t="shared" si="12"/>
        <v>1243.9043999999999</v>
      </c>
      <c r="U144" s="4">
        <f t="shared" si="13"/>
        <v>0.33133253301320525</v>
      </c>
      <c r="V144" s="5">
        <f t="shared" si="14"/>
        <v>32.314473</v>
      </c>
    </row>
    <row r="145" spans="1:22" x14ac:dyDescent="0.25">
      <c r="A145" s="2" t="s">
        <v>179</v>
      </c>
      <c r="B145" s="2" t="s">
        <v>26</v>
      </c>
      <c r="C145" s="2" t="s">
        <v>43</v>
      </c>
      <c r="D145" s="2" t="s">
        <v>28</v>
      </c>
      <c r="E145" s="2">
        <v>644.36</v>
      </c>
      <c r="F145" s="2">
        <v>13.81</v>
      </c>
      <c r="G145" s="2">
        <v>31.84</v>
      </c>
      <c r="H145" s="2">
        <v>0.4</v>
      </c>
      <c r="I145" s="2">
        <v>1.7</v>
      </c>
      <c r="J145" s="2">
        <v>14</v>
      </c>
      <c r="K145" s="2" t="s">
        <v>21</v>
      </c>
      <c r="L145" s="2">
        <v>4.67</v>
      </c>
      <c r="M145" s="2" t="s">
        <v>40</v>
      </c>
      <c r="N145" s="2">
        <v>58.34</v>
      </c>
      <c r="O145" s="2" t="s">
        <v>24</v>
      </c>
      <c r="P145" s="2">
        <v>6.95</v>
      </c>
      <c r="Q145" s="2">
        <v>10.57</v>
      </c>
      <c r="R145" s="3">
        <f t="shared" si="10"/>
        <v>4478.3020000000006</v>
      </c>
      <c r="S145" s="3">
        <f t="shared" si="11"/>
        <v>6810.8852000000006</v>
      </c>
      <c r="T145" s="3">
        <f t="shared" si="12"/>
        <v>2332.5832</v>
      </c>
      <c r="U145" s="4">
        <f t="shared" si="13"/>
        <v>0.34247871333964047</v>
      </c>
      <c r="V145" s="5">
        <f t="shared" si="14"/>
        <v>30.091612000000001</v>
      </c>
    </row>
    <row r="146" spans="1:22" x14ac:dyDescent="0.25">
      <c r="A146" s="2" t="s">
        <v>180</v>
      </c>
      <c r="B146" s="2" t="s">
        <v>26</v>
      </c>
      <c r="C146" s="2" t="s">
        <v>43</v>
      </c>
      <c r="D146" s="2" t="s">
        <v>20</v>
      </c>
      <c r="E146" s="2">
        <v>374.35</v>
      </c>
      <c r="F146" s="2">
        <v>15.42</v>
      </c>
      <c r="G146" s="2">
        <v>21.44</v>
      </c>
      <c r="H146" s="2">
        <v>0.7</v>
      </c>
      <c r="I146" s="2">
        <v>0.4</v>
      </c>
      <c r="J146" s="2">
        <v>18</v>
      </c>
      <c r="K146" s="2" t="s">
        <v>34</v>
      </c>
      <c r="L146" s="2">
        <v>3.23</v>
      </c>
      <c r="M146" s="2" t="s">
        <v>37</v>
      </c>
      <c r="N146" s="2">
        <v>78.819999999999993</v>
      </c>
      <c r="O146" s="2" t="s">
        <v>23</v>
      </c>
      <c r="P146" s="2">
        <v>7.6</v>
      </c>
      <c r="Q146" s="2">
        <v>5.46</v>
      </c>
      <c r="R146" s="3">
        <f t="shared" si="10"/>
        <v>2845.06</v>
      </c>
      <c r="S146" s="3">
        <f t="shared" si="11"/>
        <v>2043.951</v>
      </c>
      <c r="T146" s="3">
        <f t="shared" si="12"/>
        <v>-801.10899999999992</v>
      </c>
      <c r="U146" s="4">
        <f t="shared" si="13"/>
        <v>-0.39194139194139188</v>
      </c>
      <c r="V146" s="5">
        <f t="shared" si="14"/>
        <v>12.091505</v>
      </c>
    </row>
    <row r="147" spans="1:22" x14ac:dyDescent="0.25">
      <c r="A147" s="2" t="s">
        <v>181</v>
      </c>
      <c r="B147" s="2" t="s">
        <v>18</v>
      </c>
      <c r="C147" s="2" t="s">
        <v>27</v>
      </c>
      <c r="D147" s="2" t="s">
        <v>20</v>
      </c>
      <c r="E147" s="2">
        <v>581.32000000000005</v>
      </c>
      <c r="F147" s="2">
        <v>14.75</v>
      </c>
      <c r="G147" s="2">
        <v>22.95</v>
      </c>
      <c r="H147" s="2">
        <v>0.4</v>
      </c>
      <c r="I147" s="2">
        <v>0.9</v>
      </c>
      <c r="J147" s="2">
        <v>2</v>
      </c>
      <c r="K147" s="2" t="s">
        <v>34</v>
      </c>
      <c r="L147" s="2">
        <v>1.95</v>
      </c>
      <c r="M147" s="2" t="s">
        <v>37</v>
      </c>
      <c r="N147" s="2">
        <v>94.84</v>
      </c>
      <c r="O147" s="2" t="s">
        <v>23</v>
      </c>
      <c r="P147" s="2">
        <v>5.32</v>
      </c>
      <c r="Q147" s="2">
        <v>14.14</v>
      </c>
      <c r="R147" s="3">
        <f t="shared" si="10"/>
        <v>3092.6224000000007</v>
      </c>
      <c r="S147" s="3">
        <f t="shared" si="11"/>
        <v>8219.8648000000012</v>
      </c>
      <c r="T147" s="3">
        <f t="shared" si="12"/>
        <v>5127.242400000001</v>
      </c>
      <c r="U147" s="4">
        <f t="shared" si="13"/>
        <v>0.62376237623762376</v>
      </c>
      <c r="V147" s="5">
        <f t="shared" si="14"/>
        <v>11.335740000000001</v>
      </c>
    </row>
    <row r="148" spans="1:22" x14ac:dyDescent="0.25">
      <c r="A148" s="2" t="s">
        <v>182</v>
      </c>
      <c r="B148" s="2" t="s">
        <v>18</v>
      </c>
      <c r="C148" s="2" t="s">
        <v>43</v>
      </c>
      <c r="D148" s="2" t="s">
        <v>28</v>
      </c>
      <c r="E148" s="2">
        <v>472.1</v>
      </c>
      <c r="F148" s="2">
        <v>10.06</v>
      </c>
      <c r="G148" s="2">
        <v>21.46</v>
      </c>
      <c r="H148" s="2">
        <v>0.6</v>
      </c>
      <c r="I148" s="2">
        <v>0.1</v>
      </c>
      <c r="J148" s="2">
        <v>1</v>
      </c>
      <c r="K148" s="2" t="s">
        <v>21</v>
      </c>
      <c r="L148" s="2">
        <v>5.51</v>
      </c>
      <c r="M148" s="2" t="s">
        <v>22</v>
      </c>
      <c r="N148" s="2">
        <v>89.65</v>
      </c>
      <c r="O148" s="2" t="s">
        <v>30</v>
      </c>
      <c r="P148" s="2">
        <v>7.67</v>
      </c>
      <c r="Q148" s="2">
        <v>5.99</v>
      </c>
      <c r="R148" s="3">
        <f t="shared" si="10"/>
        <v>3621.0070000000001</v>
      </c>
      <c r="S148" s="3">
        <f t="shared" si="11"/>
        <v>2827.8790000000004</v>
      </c>
      <c r="T148" s="3">
        <f t="shared" si="12"/>
        <v>-793.1279999999997</v>
      </c>
      <c r="U148" s="4">
        <f t="shared" si="13"/>
        <v>-0.28046744574290472</v>
      </c>
      <c r="V148" s="5">
        <f t="shared" si="14"/>
        <v>26.012710000000002</v>
      </c>
    </row>
    <row r="149" spans="1:22" x14ac:dyDescent="0.25">
      <c r="A149" s="2" t="s">
        <v>183</v>
      </c>
      <c r="B149" s="2" t="s">
        <v>18</v>
      </c>
      <c r="C149" s="2" t="s">
        <v>43</v>
      </c>
      <c r="D149" s="2" t="s">
        <v>28</v>
      </c>
      <c r="E149" s="2">
        <v>472.02</v>
      </c>
      <c r="F149" s="2">
        <v>11.52</v>
      </c>
      <c r="G149" s="2">
        <v>36.25</v>
      </c>
      <c r="H149" s="2">
        <v>0.5</v>
      </c>
      <c r="I149" s="2">
        <v>0.2</v>
      </c>
      <c r="J149" s="2">
        <v>20</v>
      </c>
      <c r="K149" s="2" t="s">
        <v>34</v>
      </c>
      <c r="L149" s="2">
        <v>6.15</v>
      </c>
      <c r="M149" s="2" t="s">
        <v>40</v>
      </c>
      <c r="N149" s="2">
        <v>98.13</v>
      </c>
      <c r="O149" s="2" t="s">
        <v>23</v>
      </c>
      <c r="P149" s="2">
        <v>9.56</v>
      </c>
      <c r="Q149" s="2">
        <v>7.79</v>
      </c>
      <c r="R149" s="3">
        <f t="shared" si="10"/>
        <v>4512.5111999999999</v>
      </c>
      <c r="S149" s="3">
        <f t="shared" si="11"/>
        <v>3677.0357999999997</v>
      </c>
      <c r="T149" s="3">
        <f t="shared" si="12"/>
        <v>-835.47540000000026</v>
      </c>
      <c r="U149" s="4">
        <f t="shared" si="13"/>
        <v>-0.22721437740693207</v>
      </c>
      <c r="V149" s="5">
        <f t="shared" si="14"/>
        <v>29.029230000000002</v>
      </c>
    </row>
    <row r="150" spans="1:22" x14ac:dyDescent="0.25">
      <c r="A150" s="2" t="s">
        <v>184</v>
      </c>
      <c r="B150" s="2" t="s">
        <v>32</v>
      </c>
      <c r="C150" s="2" t="s">
        <v>33</v>
      </c>
      <c r="D150" s="2" t="s">
        <v>20</v>
      </c>
      <c r="E150" s="2">
        <v>579.04</v>
      </c>
      <c r="F150" s="2">
        <v>9.26</v>
      </c>
      <c r="G150" s="2">
        <v>35.049999999999997</v>
      </c>
      <c r="H150" s="2">
        <v>1.5</v>
      </c>
      <c r="I150" s="2">
        <v>2.2000000000000002</v>
      </c>
      <c r="J150" s="2">
        <v>2</v>
      </c>
      <c r="K150" s="2" t="s">
        <v>29</v>
      </c>
      <c r="L150" s="2">
        <v>5.9</v>
      </c>
      <c r="M150" s="2" t="s">
        <v>37</v>
      </c>
      <c r="N150" s="2">
        <v>61.57</v>
      </c>
      <c r="O150" s="2" t="s">
        <v>23</v>
      </c>
      <c r="P150" s="2">
        <v>7.56</v>
      </c>
      <c r="Q150" s="2">
        <v>6.09</v>
      </c>
      <c r="R150" s="3">
        <f t="shared" si="10"/>
        <v>4377.5423999999994</v>
      </c>
      <c r="S150" s="3">
        <f t="shared" si="11"/>
        <v>3526.3535999999999</v>
      </c>
      <c r="T150" s="3">
        <f t="shared" si="12"/>
        <v>-851.18879999999945</v>
      </c>
      <c r="U150" s="4">
        <f t="shared" si="13"/>
        <v>-0.24137931034482743</v>
      </c>
      <c r="V150" s="5">
        <f t="shared" si="14"/>
        <v>34.163359999999997</v>
      </c>
    </row>
    <row r="151" spans="1:22" x14ac:dyDescent="0.25">
      <c r="A151" s="2" t="s">
        <v>185</v>
      </c>
      <c r="B151" s="2" t="s">
        <v>26</v>
      </c>
      <c r="C151" s="2" t="s">
        <v>19</v>
      </c>
      <c r="D151" s="2" t="s">
        <v>20</v>
      </c>
      <c r="E151" s="2">
        <v>534.01</v>
      </c>
      <c r="F151" s="2">
        <v>9.3000000000000007</v>
      </c>
      <c r="G151" s="2">
        <v>35.07</v>
      </c>
      <c r="H151" s="2">
        <v>1.7</v>
      </c>
      <c r="I151" s="2">
        <v>0.9</v>
      </c>
      <c r="J151" s="2">
        <v>9</v>
      </c>
      <c r="K151" s="2" t="s">
        <v>29</v>
      </c>
      <c r="L151" s="2">
        <v>1.61</v>
      </c>
      <c r="M151" s="2" t="s">
        <v>22</v>
      </c>
      <c r="N151" s="2">
        <v>68.37</v>
      </c>
      <c r="O151" s="2" t="s">
        <v>24</v>
      </c>
      <c r="P151" s="2">
        <v>4.1100000000000003</v>
      </c>
      <c r="Q151" s="2">
        <v>7.57</v>
      </c>
      <c r="R151" s="3">
        <f t="shared" si="10"/>
        <v>2194.7811000000002</v>
      </c>
      <c r="S151" s="3">
        <f t="shared" si="11"/>
        <v>4042.4557</v>
      </c>
      <c r="T151" s="3">
        <f t="shared" si="12"/>
        <v>1847.6745999999998</v>
      </c>
      <c r="U151" s="4">
        <f t="shared" si="13"/>
        <v>0.45706737120211355</v>
      </c>
      <c r="V151" s="5">
        <f t="shared" si="14"/>
        <v>8.5975610000000007</v>
      </c>
    </row>
    <row r="152" spans="1:22" x14ac:dyDescent="0.25">
      <c r="A152" s="2" t="s">
        <v>186</v>
      </c>
      <c r="B152" s="2" t="s">
        <v>18</v>
      </c>
      <c r="C152" s="2" t="s">
        <v>43</v>
      </c>
      <c r="D152" s="2" t="s">
        <v>20</v>
      </c>
      <c r="E152" s="2">
        <v>557.05999999999995</v>
      </c>
      <c r="F152" s="2">
        <v>14.76</v>
      </c>
      <c r="G152" s="2">
        <v>34.33</v>
      </c>
      <c r="H152" s="2">
        <v>5.8</v>
      </c>
      <c r="I152" s="2">
        <v>3</v>
      </c>
      <c r="J152" s="2">
        <v>9</v>
      </c>
      <c r="K152" s="2" t="s">
        <v>29</v>
      </c>
      <c r="L152" s="2">
        <v>5.91</v>
      </c>
      <c r="M152" s="2" t="s">
        <v>22</v>
      </c>
      <c r="N152" s="2">
        <v>75.36</v>
      </c>
      <c r="O152" s="2" t="s">
        <v>23</v>
      </c>
      <c r="P152" s="2">
        <v>7.06</v>
      </c>
      <c r="Q152" s="2">
        <v>13.38</v>
      </c>
      <c r="R152" s="3">
        <f t="shared" si="10"/>
        <v>3932.8435999999992</v>
      </c>
      <c r="S152" s="3">
        <f t="shared" si="11"/>
        <v>7453.4627999999993</v>
      </c>
      <c r="T152" s="3">
        <f t="shared" si="12"/>
        <v>3520.6192000000001</v>
      </c>
      <c r="U152" s="4">
        <f t="shared" si="13"/>
        <v>0.47234678624813159</v>
      </c>
      <c r="V152" s="5">
        <f t="shared" si="14"/>
        <v>32.922245999999994</v>
      </c>
    </row>
    <row r="153" spans="1:22" x14ac:dyDescent="0.25">
      <c r="A153" s="2" t="s">
        <v>187</v>
      </c>
      <c r="B153" s="2" t="s">
        <v>18</v>
      </c>
      <c r="C153" s="2" t="s">
        <v>19</v>
      </c>
      <c r="D153" s="2" t="s">
        <v>20</v>
      </c>
      <c r="E153" s="2">
        <v>596.82000000000005</v>
      </c>
      <c r="F153" s="2">
        <v>16.59</v>
      </c>
      <c r="G153" s="2">
        <v>33.39</v>
      </c>
      <c r="H153" s="2">
        <v>0.4</v>
      </c>
      <c r="I153" s="2">
        <v>6.7</v>
      </c>
      <c r="J153" s="2">
        <v>16</v>
      </c>
      <c r="K153" s="2" t="s">
        <v>34</v>
      </c>
      <c r="L153" s="2">
        <v>2.1</v>
      </c>
      <c r="M153" s="2" t="s">
        <v>37</v>
      </c>
      <c r="N153" s="2">
        <v>61.63</v>
      </c>
      <c r="O153" s="2" t="s">
        <v>30</v>
      </c>
      <c r="P153" s="2">
        <v>6.79</v>
      </c>
      <c r="Q153" s="2">
        <v>11.15</v>
      </c>
      <c r="R153" s="3">
        <f t="shared" si="10"/>
        <v>4052.4078000000004</v>
      </c>
      <c r="S153" s="3">
        <f t="shared" si="11"/>
        <v>6654.5430000000006</v>
      </c>
      <c r="T153" s="3">
        <f t="shared" si="12"/>
        <v>2602.1352000000002</v>
      </c>
      <c r="U153" s="4">
        <f t="shared" si="13"/>
        <v>0.39103139013452914</v>
      </c>
      <c r="V153" s="5">
        <f t="shared" si="14"/>
        <v>12.533220000000002</v>
      </c>
    </row>
    <row r="154" spans="1:22" x14ac:dyDescent="0.25">
      <c r="A154" s="2" t="s">
        <v>188</v>
      </c>
      <c r="B154" s="2" t="s">
        <v>32</v>
      </c>
      <c r="C154" s="2" t="s">
        <v>43</v>
      </c>
      <c r="D154" s="2" t="s">
        <v>28</v>
      </c>
      <c r="E154" s="2">
        <v>466.87</v>
      </c>
      <c r="F154" s="2">
        <v>17.63</v>
      </c>
      <c r="G154" s="2">
        <v>29.54</v>
      </c>
      <c r="H154" s="2">
        <v>2.1</v>
      </c>
      <c r="I154" s="2">
        <v>0.5</v>
      </c>
      <c r="J154" s="2">
        <v>11</v>
      </c>
      <c r="K154" s="2" t="s">
        <v>34</v>
      </c>
      <c r="L154" s="2">
        <v>6.81</v>
      </c>
      <c r="M154" s="2" t="s">
        <v>40</v>
      </c>
      <c r="N154" s="2">
        <v>69.7</v>
      </c>
      <c r="O154" s="2" t="s">
        <v>23</v>
      </c>
      <c r="P154" s="2">
        <v>9.09</v>
      </c>
      <c r="Q154" s="2">
        <v>7.27</v>
      </c>
      <c r="R154" s="3">
        <f t="shared" si="10"/>
        <v>4243.8482999999997</v>
      </c>
      <c r="S154" s="3">
        <f t="shared" si="11"/>
        <v>3394.1448999999998</v>
      </c>
      <c r="T154" s="3">
        <f t="shared" si="12"/>
        <v>-849.70339999999987</v>
      </c>
      <c r="U154" s="4">
        <f t="shared" si="13"/>
        <v>-0.25034387895460797</v>
      </c>
      <c r="V154" s="5">
        <f t="shared" si="14"/>
        <v>31.793847</v>
      </c>
    </row>
    <row r="155" spans="1:22" x14ac:dyDescent="0.25">
      <c r="A155" s="2" t="s">
        <v>189</v>
      </c>
      <c r="B155" s="2" t="s">
        <v>18</v>
      </c>
      <c r="C155" s="2" t="s">
        <v>43</v>
      </c>
      <c r="D155" s="2" t="s">
        <v>28</v>
      </c>
      <c r="E155" s="2">
        <v>438.78</v>
      </c>
      <c r="F155" s="2">
        <v>14.28</v>
      </c>
      <c r="G155" s="2">
        <v>32.85</v>
      </c>
      <c r="H155" s="2">
        <v>3.4</v>
      </c>
      <c r="I155" s="2">
        <v>0.4</v>
      </c>
      <c r="J155" s="2">
        <v>27</v>
      </c>
      <c r="K155" s="2" t="s">
        <v>21</v>
      </c>
      <c r="L155" s="2">
        <v>4.58</v>
      </c>
      <c r="M155" s="2" t="s">
        <v>22</v>
      </c>
      <c r="N155" s="2">
        <v>76.88</v>
      </c>
      <c r="O155" s="2" t="s">
        <v>23</v>
      </c>
      <c r="P155" s="2">
        <v>5.45</v>
      </c>
      <c r="Q155" s="2">
        <v>13.72</v>
      </c>
      <c r="R155" s="3">
        <f t="shared" si="10"/>
        <v>2391.3510000000001</v>
      </c>
      <c r="S155" s="3">
        <f t="shared" si="11"/>
        <v>6020.0616</v>
      </c>
      <c r="T155" s="3">
        <f t="shared" si="12"/>
        <v>3628.7105999999999</v>
      </c>
      <c r="U155" s="4">
        <f t="shared" si="13"/>
        <v>0.60276967930029157</v>
      </c>
      <c r="V155" s="5">
        <f t="shared" si="14"/>
        <v>20.096124</v>
      </c>
    </row>
    <row r="156" spans="1:22" x14ac:dyDescent="0.25">
      <c r="A156" s="2" t="s">
        <v>190</v>
      </c>
      <c r="B156" s="2" t="s">
        <v>32</v>
      </c>
      <c r="C156" s="2" t="s">
        <v>27</v>
      </c>
      <c r="D156" s="2" t="s">
        <v>28</v>
      </c>
      <c r="E156" s="2">
        <v>391.48</v>
      </c>
      <c r="F156" s="2">
        <v>9.84</v>
      </c>
      <c r="G156" s="2">
        <v>20.77</v>
      </c>
      <c r="H156" s="2">
        <v>1.6</v>
      </c>
      <c r="I156" s="2">
        <v>2</v>
      </c>
      <c r="J156" s="2">
        <v>23</v>
      </c>
      <c r="K156" s="2" t="s">
        <v>29</v>
      </c>
      <c r="L156" s="2">
        <v>8.56</v>
      </c>
      <c r="M156" s="2" t="s">
        <v>37</v>
      </c>
      <c r="N156" s="2">
        <v>59.57</v>
      </c>
      <c r="O156" s="2" t="s">
        <v>23</v>
      </c>
      <c r="P156" s="2">
        <v>5.96</v>
      </c>
      <c r="Q156" s="2">
        <v>13.01</v>
      </c>
      <c r="R156" s="3">
        <f t="shared" si="10"/>
        <v>2333.2208000000001</v>
      </c>
      <c r="S156" s="3">
        <f t="shared" si="11"/>
        <v>5093.1548000000003</v>
      </c>
      <c r="T156" s="3">
        <f t="shared" si="12"/>
        <v>2759.9340000000002</v>
      </c>
      <c r="U156" s="4">
        <f t="shared" si="13"/>
        <v>0.54189085318985397</v>
      </c>
      <c r="V156" s="5">
        <f t="shared" si="14"/>
        <v>33.510688000000002</v>
      </c>
    </row>
    <row r="157" spans="1:22" x14ac:dyDescent="0.25">
      <c r="A157" s="2" t="s">
        <v>191</v>
      </c>
      <c r="B157" s="2" t="s">
        <v>45</v>
      </c>
      <c r="C157" s="2" t="s">
        <v>27</v>
      </c>
      <c r="D157" s="2" t="s">
        <v>20</v>
      </c>
      <c r="E157" s="2">
        <v>417.46</v>
      </c>
      <c r="F157" s="2">
        <v>9.06</v>
      </c>
      <c r="G157" s="2">
        <v>32.43</v>
      </c>
      <c r="H157" s="2">
        <v>0.6</v>
      </c>
      <c r="I157" s="2">
        <v>6.6</v>
      </c>
      <c r="J157" s="2">
        <v>6</v>
      </c>
      <c r="K157" s="2" t="s">
        <v>21</v>
      </c>
      <c r="L157" s="2">
        <v>7.89</v>
      </c>
      <c r="M157" s="2" t="s">
        <v>22</v>
      </c>
      <c r="N157" s="2">
        <v>62.83</v>
      </c>
      <c r="O157" s="2" t="s">
        <v>23</v>
      </c>
      <c r="P157" s="2">
        <v>7.19</v>
      </c>
      <c r="Q157" s="2">
        <v>12.54</v>
      </c>
      <c r="R157" s="3">
        <f t="shared" si="10"/>
        <v>3001.5374000000002</v>
      </c>
      <c r="S157" s="3">
        <f t="shared" si="11"/>
        <v>5234.9483999999993</v>
      </c>
      <c r="T157" s="3">
        <f t="shared" si="12"/>
        <v>2233.4109999999991</v>
      </c>
      <c r="U157" s="4">
        <f t="shared" si="13"/>
        <v>0.42663476874003181</v>
      </c>
      <c r="V157" s="5">
        <f t="shared" si="14"/>
        <v>32.937593999999997</v>
      </c>
    </row>
    <row r="158" spans="1:22" x14ac:dyDescent="0.25">
      <c r="A158" s="2" t="s">
        <v>192</v>
      </c>
      <c r="B158" s="2" t="s">
        <v>18</v>
      </c>
      <c r="C158" s="2" t="s">
        <v>27</v>
      </c>
      <c r="D158" s="2" t="s">
        <v>20</v>
      </c>
      <c r="E158" s="2">
        <v>794.91</v>
      </c>
      <c r="F158" s="2">
        <v>16.13</v>
      </c>
      <c r="G158" s="2">
        <v>35.56</v>
      </c>
      <c r="H158" s="2">
        <v>0.6</v>
      </c>
      <c r="I158" s="2">
        <v>1</v>
      </c>
      <c r="J158" s="2">
        <v>12</v>
      </c>
      <c r="K158" s="2" t="s">
        <v>34</v>
      </c>
      <c r="L158" s="2">
        <v>7.38</v>
      </c>
      <c r="M158" s="2" t="s">
        <v>40</v>
      </c>
      <c r="N158" s="2">
        <v>56.24</v>
      </c>
      <c r="O158" s="2" t="s">
        <v>23</v>
      </c>
      <c r="P158" s="2">
        <v>6.67</v>
      </c>
      <c r="Q158" s="2">
        <v>13.48</v>
      </c>
      <c r="R158" s="3">
        <f t="shared" si="10"/>
        <v>5302.0496999999996</v>
      </c>
      <c r="S158" s="3">
        <f t="shared" si="11"/>
        <v>10715.3868</v>
      </c>
      <c r="T158" s="3">
        <f t="shared" si="12"/>
        <v>5413.3371000000006</v>
      </c>
      <c r="U158" s="4">
        <f t="shared" si="13"/>
        <v>0.50519287833827897</v>
      </c>
      <c r="V158" s="5">
        <f t="shared" si="14"/>
        <v>58.664357999999993</v>
      </c>
    </row>
    <row r="159" spans="1:22" x14ac:dyDescent="0.25">
      <c r="A159" s="2" t="s">
        <v>193</v>
      </c>
      <c r="B159" s="2" t="s">
        <v>45</v>
      </c>
      <c r="C159" s="2" t="s">
        <v>19</v>
      </c>
      <c r="D159" s="2" t="s">
        <v>20</v>
      </c>
      <c r="E159" s="2">
        <v>624.47</v>
      </c>
      <c r="F159" s="2">
        <v>13.79</v>
      </c>
      <c r="G159" s="2">
        <v>30.01</v>
      </c>
      <c r="H159" s="2">
        <v>0.1</v>
      </c>
      <c r="I159" s="2">
        <v>1.6</v>
      </c>
      <c r="J159" s="2">
        <v>3</v>
      </c>
      <c r="K159" s="2" t="s">
        <v>21</v>
      </c>
      <c r="L159" s="2">
        <v>7.16</v>
      </c>
      <c r="M159" s="2" t="s">
        <v>37</v>
      </c>
      <c r="N159" s="2">
        <v>85.67</v>
      </c>
      <c r="O159" s="2" t="s">
        <v>30</v>
      </c>
      <c r="P159" s="2">
        <v>8.0299999999999994</v>
      </c>
      <c r="Q159" s="2">
        <v>11.2</v>
      </c>
      <c r="R159" s="3">
        <f t="shared" si="10"/>
        <v>5014.4940999999999</v>
      </c>
      <c r="S159" s="3">
        <f t="shared" si="11"/>
        <v>6994.0640000000003</v>
      </c>
      <c r="T159" s="3">
        <f t="shared" si="12"/>
        <v>1979.5699000000004</v>
      </c>
      <c r="U159" s="4">
        <f t="shared" si="13"/>
        <v>0.28303571428571433</v>
      </c>
      <c r="V159" s="5">
        <f t="shared" si="14"/>
        <v>44.712052</v>
      </c>
    </row>
    <row r="160" spans="1:22" x14ac:dyDescent="0.25">
      <c r="A160" s="2" t="s">
        <v>194</v>
      </c>
      <c r="B160" s="2" t="s">
        <v>32</v>
      </c>
      <c r="C160" s="2" t="s">
        <v>33</v>
      </c>
      <c r="D160" s="2" t="s">
        <v>20</v>
      </c>
      <c r="E160" s="2">
        <v>364.89</v>
      </c>
      <c r="F160" s="2">
        <v>14.18</v>
      </c>
      <c r="G160" s="2">
        <v>27.15</v>
      </c>
      <c r="H160" s="2">
        <v>0.7</v>
      </c>
      <c r="I160" s="2">
        <v>1.5</v>
      </c>
      <c r="J160" s="2">
        <v>12</v>
      </c>
      <c r="K160" s="2" t="s">
        <v>34</v>
      </c>
      <c r="L160" s="2">
        <v>5.82</v>
      </c>
      <c r="M160" s="2" t="s">
        <v>40</v>
      </c>
      <c r="N160" s="2">
        <v>68.08</v>
      </c>
      <c r="O160" s="2" t="s">
        <v>24</v>
      </c>
      <c r="P160" s="2">
        <v>3.28</v>
      </c>
      <c r="Q160" s="2">
        <v>10.01</v>
      </c>
      <c r="R160" s="3">
        <f t="shared" si="10"/>
        <v>1196.8391999999999</v>
      </c>
      <c r="S160" s="3">
        <f t="shared" si="11"/>
        <v>3652.5488999999998</v>
      </c>
      <c r="T160" s="3">
        <f t="shared" si="12"/>
        <v>2455.7096999999999</v>
      </c>
      <c r="U160" s="4">
        <f t="shared" si="13"/>
        <v>0.67232767232767232</v>
      </c>
      <c r="V160" s="5">
        <f t="shared" si="14"/>
        <v>21.236598000000001</v>
      </c>
    </row>
    <row r="161" spans="1:22" x14ac:dyDescent="0.25">
      <c r="A161" s="2" t="s">
        <v>195</v>
      </c>
      <c r="B161" s="2" t="s">
        <v>26</v>
      </c>
      <c r="C161" s="2" t="s">
        <v>43</v>
      </c>
      <c r="D161" s="2" t="s">
        <v>28</v>
      </c>
      <c r="E161" s="2">
        <v>367.75</v>
      </c>
      <c r="F161" s="2">
        <v>15.81</v>
      </c>
      <c r="G161" s="2">
        <v>25.55</v>
      </c>
      <c r="H161" s="2">
        <v>2.7</v>
      </c>
      <c r="I161" s="2">
        <v>0.4</v>
      </c>
      <c r="J161" s="2">
        <v>23</v>
      </c>
      <c r="K161" s="2" t="s">
        <v>29</v>
      </c>
      <c r="L161" s="2">
        <v>1.08</v>
      </c>
      <c r="M161" s="2" t="s">
        <v>40</v>
      </c>
      <c r="N161" s="2">
        <v>61.01</v>
      </c>
      <c r="O161" s="2" t="s">
        <v>23</v>
      </c>
      <c r="P161" s="2">
        <v>6.94</v>
      </c>
      <c r="Q161" s="2">
        <v>8.74</v>
      </c>
      <c r="R161" s="3">
        <f t="shared" si="10"/>
        <v>2552.1849999999999</v>
      </c>
      <c r="S161" s="3">
        <f t="shared" si="11"/>
        <v>3214.1350000000002</v>
      </c>
      <c r="T161" s="3">
        <f t="shared" si="12"/>
        <v>661.95000000000027</v>
      </c>
      <c r="U161" s="4">
        <f t="shared" si="13"/>
        <v>0.20594965675057214</v>
      </c>
      <c r="V161" s="5">
        <f t="shared" si="14"/>
        <v>3.9717000000000002</v>
      </c>
    </row>
    <row r="162" spans="1:22" x14ac:dyDescent="0.25">
      <c r="A162" s="2" t="s">
        <v>196</v>
      </c>
      <c r="B162" s="2" t="s">
        <v>18</v>
      </c>
      <c r="C162" s="2" t="s">
        <v>43</v>
      </c>
      <c r="D162" s="2" t="s">
        <v>28</v>
      </c>
      <c r="E162" s="2">
        <v>548.19000000000005</v>
      </c>
      <c r="F162" s="2">
        <v>15.03</v>
      </c>
      <c r="G162" s="2">
        <v>32.86</v>
      </c>
      <c r="H162" s="2">
        <v>0.1</v>
      </c>
      <c r="I162" s="2">
        <v>0.9</v>
      </c>
      <c r="J162" s="2">
        <v>1</v>
      </c>
      <c r="K162" s="2" t="s">
        <v>29</v>
      </c>
      <c r="L162" s="2">
        <v>6.73</v>
      </c>
      <c r="M162" s="2" t="s">
        <v>22</v>
      </c>
      <c r="N162" s="2">
        <v>75.37</v>
      </c>
      <c r="O162" s="2" t="s">
        <v>24</v>
      </c>
      <c r="P162" s="2">
        <v>3.85</v>
      </c>
      <c r="Q162" s="2">
        <v>7.24</v>
      </c>
      <c r="R162" s="3">
        <f t="shared" si="10"/>
        <v>2110.5315000000001</v>
      </c>
      <c r="S162" s="3">
        <f t="shared" si="11"/>
        <v>3968.8956000000003</v>
      </c>
      <c r="T162" s="3">
        <f t="shared" si="12"/>
        <v>1858.3641000000002</v>
      </c>
      <c r="U162" s="4">
        <f t="shared" si="13"/>
        <v>0.46823204419889503</v>
      </c>
      <c r="V162" s="5">
        <f t="shared" si="14"/>
        <v>36.893187000000005</v>
      </c>
    </row>
    <row r="163" spans="1:22" x14ac:dyDescent="0.25">
      <c r="A163" s="2" t="s">
        <v>197</v>
      </c>
      <c r="B163" s="2" t="s">
        <v>32</v>
      </c>
      <c r="C163" s="2" t="s">
        <v>43</v>
      </c>
      <c r="D163" s="2" t="s">
        <v>20</v>
      </c>
      <c r="E163" s="2">
        <v>554.73</v>
      </c>
      <c r="F163" s="2">
        <v>16.34</v>
      </c>
      <c r="G163" s="2">
        <v>33.86</v>
      </c>
      <c r="H163" s="2">
        <v>0.5</v>
      </c>
      <c r="I163" s="2">
        <v>1.8</v>
      </c>
      <c r="J163" s="2">
        <v>9</v>
      </c>
      <c r="K163" s="2" t="s">
        <v>34</v>
      </c>
      <c r="L163" s="2">
        <v>4.9400000000000004</v>
      </c>
      <c r="M163" s="2" t="s">
        <v>40</v>
      </c>
      <c r="N163" s="2">
        <v>53.41</v>
      </c>
      <c r="O163" s="2" t="s">
        <v>24</v>
      </c>
      <c r="P163" s="2">
        <v>5.21</v>
      </c>
      <c r="Q163" s="2">
        <v>10.57</v>
      </c>
      <c r="R163" s="3">
        <f t="shared" si="10"/>
        <v>2890.1433000000002</v>
      </c>
      <c r="S163" s="3">
        <f t="shared" si="11"/>
        <v>5863.4961000000003</v>
      </c>
      <c r="T163" s="3">
        <f t="shared" si="12"/>
        <v>2973.3528000000001</v>
      </c>
      <c r="U163" s="4">
        <f t="shared" si="13"/>
        <v>0.50709555345316937</v>
      </c>
      <c r="V163" s="5">
        <f t="shared" si="14"/>
        <v>27.403662000000004</v>
      </c>
    </row>
    <row r="164" spans="1:22" x14ac:dyDescent="0.25">
      <c r="A164" s="2" t="s">
        <v>198</v>
      </c>
      <c r="B164" s="2" t="s">
        <v>26</v>
      </c>
      <c r="C164" s="2" t="s">
        <v>19</v>
      </c>
      <c r="D164" s="2" t="s">
        <v>28</v>
      </c>
      <c r="E164" s="2">
        <v>554.89</v>
      </c>
      <c r="F164" s="2">
        <v>8.56</v>
      </c>
      <c r="G164" s="2">
        <v>37.42</v>
      </c>
      <c r="H164" s="2">
        <v>2.4</v>
      </c>
      <c r="I164" s="2">
        <v>1.2</v>
      </c>
      <c r="J164" s="2">
        <v>20</v>
      </c>
      <c r="K164" s="2" t="s">
        <v>34</v>
      </c>
      <c r="L164" s="2">
        <v>4.96</v>
      </c>
      <c r="M164" s="2" t="s">
        <v>22</v>
      </c>
      <c r="N164" s="2">
        <v>96.17</v>
      </c>
      <c r="O164" s="2" t="s">
        <v>30</v>
      </c>
      <c r="P164" s="2">
        <v>7.63</v>
      </c>
      <c r="Q164" s="2">
        <v>13.89</v>
      </c>
      <c r="R164" s="3">
        <f t="shared" si="10"/>
        <v>4233.8107</v>
      </c>
      <c r="S164" s="3">
        <f t="shared" si="11"/>
        <v>7707.4220999999998</v>
      </c>
      <c r="T164" s="3">
        <f t="shared" si="12"/>
        <v>3473.6113999999998</v>
      </c>
      <c r="U164" s="4">
        <f t="shared" si="13"/>
        <v>0.45068394528437722</v>
      </c>
      <c r="V164" s="5">
        <f t="shared" si="14"/>
        <v>27.522543999999996</v>
      </c>
    </row>
    <row r="165" spans="1:22" x14ac:dyDescent="0.25">
      <c r="A165" s="2" t="s">
        <v>199</v>
      </c>
      <c r="B165" s="2" t="s">
        <v>26</v>
      </c>
      <c r="C165" s="2" t="s">
        <v>27</v>
      </c>
      <c r="D165" s="2" t="s">
        <v>20</v>
      </c>
      <c r="E165" s="2">
        <v>474.5</v>
      </c>
      <c r="F165" s="2">
        <v>15.48</v>
      </c>
      <c r="G165" s="2">
        <v>26.85</v>
      </c>
      <c r="H165" s="2">
        <v>3.1</v>
      </c>
      <c r="I165" s="2">
        <v>0</v>
      </c>
      <c r="J165" s="2">
        <v>22</v>
      </c>
      <c r="K165" s="2" t="s">
        <v>34</v>
      </c>
      <c r="L165" s="2">
        <v>4.0999999999999996</v>
      </c>
      <c r="M165" s="2" t="s">
        <v>37</v>
      </c>
      <c r="N165" s="2">
        <v>64.72</v>
      </c>
      <c r="O165" s="2" t="s">
        <v>24</v>
      </c>
      <c r="P165" s="2">
        <v>4.0999999999999996</v>
      </c>
      <c r="Q165" s="2">
        <v>10.94</v>
      </c>
      <c r="R165" s="3">
        <f t="shared" si="10"/>
        <v>1945.4499999999998</v>
      </c>
      <c r="S165" s="3">
        <f t="shared" si="11"/>
        <v>5191.03</v>
      </c>
      <c r="T165" s="3">
        <f t="shared" si="12"/>
        <v>3245.58</v>
      </c>
      <c r="U165" s="4">
        <f t="shared" si="13"/>
        <v>0.6252285191956124</v>
      </c>
      <c r="V165" s="5">
        <f t="shared" si="14"/>
        <v>19.454499999999999</v>
      </c>
    </row>
    <row r="166" spans="1:22" x14ac:dyDescent="0.25">
      <c r="A166" s="2" t="s">
        <v>200</v>
      </c>
      <c r="B166" s="2" t="s">
        <v>45</v>
      </c>
      <c r="C166" s="2" t="s">
        <v>33</v>
      </c>
      <c r="D166" s="2" t="s">
        <v>20</v>
      </c>
      <c r="E166" s="2">
        <v>487.45</v>
      </c>
      <c r="F166" s="2">
        <v>16.510000000000002</v>
      </c>
      <c r="G166" s="2">
        <v>35.4</v>
      </c>
      <c r="H166" s="2">
        <v>1.2</v>
      </c>
      <c r="I166" s="2">
        <v>0.4</v>
      </c>
      <c r="J166" s="2">
        <v>6</v>
      </c>
      <c r="K166" s="2" t="s">
        <v>29</v>
      </c>
      <c r="L166" s="2">
        <v>9.33</v>
      </c>
      <c r="M166" s="2" t="s">
        <v>37</v>
      </c>
      <c r="N166" s="2">
        <v>94.32</v>
      </c>
      <c r="O166" s="2" t="s">
        <v>23</v>
      </c>
      <c r="P166" s="2">
        <v>5.16</v>
      </c>
      <c r="Q166" s="2">
        <v>14.2</v>
      </c>
      <c r="R166" s="3">
        <f t="shared" si="10"/>
        <v>2515.2420000000002</v>
      </c>
      <c r="S166" s="3">
        <f t="shared" si="11"/>
        <v>6921.7899999999991</v>
      </c>
      <c r="T166" s="3">
        <f t="shared" si="12"/>
        <v>4406.5479999999989</v>
      </c>
      <c r="U166" s="4">
        <f t="shared" si="13"/>
        <v>0.63661971830985908</v>
      </c>
      <c r="V166" s="5">
        <f t="shared" si="14"/>
        <v>45.479084999999998</v>
      </c>
    </row>
    <row r="167" spans="1:22" x14ac:dyDescent="0.25">
      <c r="A167" s="2" t="s">
        <v>201</v>
      </c>
      <c r="B167" s="2" t="s">
        <v>32</v>
      </c>
      <c r="C167" s="2" t="s">
        <v>19</v>
      </c>
      <c r="D167" s="2" t="s">
        <v>28</v>
      </c>
      <c r="E167" s="2">
        <v>532.79</v>
      </c>
      <c r="F167" s="2">
        <v>10.86</v>
      </c>
      <c r="G167" s="2">
        <v>31.23</v>
      </c>
      <c r="H167" s="2">
        <v>2.4</v>
      </c>
      <c r="I167" s="2">
        <v>0.2</v>
      </c>
      <c r="J167" s="2">
        <v>11</v>
      </c>
      <c r="K167" s="2" t="s">
        <v>34</v>
      </c>
      <c r="L167" s="2">
        <v>2.87</v>
      </c>
      <c r="M167" s="2" t="s">
        <v>22</v>
      </c>
      <c r="N167" s="2">
        <v>74.88</v>
      </c>
      <c r="O167" s="2" t="s">
        <v>23</v>
      </c>
      <c r="P167" s="2">
        <v>7.92</v>
      </c>
      <c r="Q167" s="2">
        <v>8.57</v>
      </c>
      <c r="R167" s="3">
        <f t="shared" si="10"/>
        <v>4219.6967999999997</v>
      </c>
      <c r="S167" s="3">
        <f t="shared" si="11"/>
        <v>4566.0102999999999</v>
      </c>
      <c r="T167" s="3">
        <f t="shared" si="12"/>
        <v>346.3135000000002</v>
      </c>
      <c r="U167" s="4">
        <f t="shared" si="13"/>
        <v>7.5845974329054891E-2</v>
      </c>
      <c r="V167" s="5">
        <f t="shared" si="14"/>
        <v>15.291072999999999</v>
      </c>
    </row>
    <row r="168" spans="1:22" x14ac:dyDescent="0.25">
      <c r="A168" s="2" t="s">
        <v>202</v>
      </c>
      <c r="B168" s="2" t="s">
        <v>26</v>
      </c>
      <c r="C168" s="2" t="s">
        <v>27</v>
      </c>
      <c r="D168" s="2" t="s">
        <v>20</v>
      </c>
      <c r="E168" s="2">
        <v>508.59</v>
      </c>
      <c r="F168" s="2">
        <v>14.4</v>
      </c>
      <c r="G168" s="2">
        <v>37.659999999999997</v>
      </c>
      <c r="H168" s="2">
        <v>1</v>
      </c>
      <c r="I168" s="2">
        <v>0.3</v>
      </c>
      <c r="J168" s="2">
        <v>3</v>
      </c>
      <c r="K168" s="2" t="s">
        <v>29</v>
      </c>
      <c r="L168" s="2">
        <v>3.51</v>
      </c>
      <c r="M168" s="2" t="s">
        <v>22</v>
      </c>
      <c r="N168" s="2">
        <v>92.51</v>
      </c>
      <c r="O168" s="2" t="s">
        <v>23</v>
      </c>
      <c r="P168" s="2">
        <v>7.56</v>
      </c>
      <c r="Q168" s="2">
        <v>11.95</v>
      </c>
      <c r="R168" s="3">
        <f t="shared" si="10"/>
        <v>3844.9403999999995</v>
      </c>
      <c r="S168" s="3">
        <f t="shared" si="11"/>
        <v>6077.6504999999997</v>
      </c>
      <c r="T168" s="3">
        <f t="shared" si="12"/>
        <v>2232.7101000000002</v>
      </c>
      <c r="U168" s="4">
        <f t="shared" si="13"/>
        <v>0.36736401673640173</v>
      </c>
      <c r="V168" s="5">
        <f t="shared" si="14"/>
        <v>17.851509</v>
      </c>
    </row>
    <row r="169" spans="1:22" x14ac:dyDescent="0.25">
      <c r="A169" s="2" t="s">
        <v>203</v>
      </c>
      <c r="B169" s="2" t="s">
        <v>18</v>
      </c>
      <c r="C169" s="2" t="s">
        <v>19</v>
      </c>
      <c r="D169" s="2" t="s">
        <v>20</v>
      </c>
      <c r="E169" s="2">
        <v>278.07</v>
      </c>
      <c r="F169" s="2">
        <v>11.14</v>
      </c>
      <c r="G169" s="2">
        <v>30.56</v>
      </c>
      <c r="H169" s="2">
        <v>0.3</v>
      </c>
      <c r="I169" s="2">
        <v>2.4</v>
      </c>
      <c r="J169" s="2">
        <v>4</v>
      </c>
      <c r="K169" s="2" t="s">
        <v>21</v>
      </c>
      <c r="L169" s="2">
        <v>9.65</v>
      </c>
      <c r="M169" s="2" t="s">
        <v>22</v>
      </c>
      <c r="N169" s="2">
        <v>62.35</v>
      </c>
      <c r="O169" s="2" t="s">
        <v>23</v>
      </c>
      <c r="P169" s="2">
        <v>3.64</v>
      </c>
      <c r="Q169" s="2">
        <v>11.49</v>
      </c>
      <c r="R169" s="3">
        <f t="shared" si="10"/>
        <v>1012.1748</v>
      </c>
      <c r="S169" s="3">
        <f t="shared" si="11"/>
        <v>3195.0243</v>
      </c>
      <c r="T169" s="3">
        <f t="shared" si="12"/>
        <v>2182.8495000000003</v>
      </c>
      <c r="U169" s="4">
        <f t="shared" si="13"/>
        <v>0.68320278503046139</v>
      </c>
      <c r="V169" s="5">
        <f t="shared" si="14"/>
        <v>26.833755</v>
      </c>
    </row>
    <row r="170" spans="1:22" x14ac:dyDescent="0.25">
      <c r="A170" s="2" t="s">
        <v>204</v>
      </c>
      <c r="B170" s="2" t="s">
        <v>18</v>
      </c>
      <c r="C170" s="2" t="s">
        <v>33</v>
      </c>
      <c r="D170" s="2" t="s">
        <v>28</v>
      </c>
      <c r="E170" s="2">
        <v>477.02</v>
      </c>
      <c r="F170" s="2">
        <v>17.579999999999998</v>
      </c>
      <c r="G170" s="2">
        <v>30.35</v>
      </c>
      <c r="H170" s="2">
        <v>1</v>
      </c>
      <c r="I170" s="2">
        <v>0</v>
      </c>
      <c r="J170" s="2">
        <v>29</v>
      </c>
      <c r="K170" s="2" t="s">
        <v>29</v>
      </c>
      <c r="L170" s="2">
        <v>8.1999999999999993</v>
      </c>
      <c r="M170" s="2" t="s">
        <v>40</v>
      </c>
      <c r="N170" s="2">
        <v>58.76</v>
      </c>
      <c r="O170" s="2" t="s">
        <v>30</v>
      </c>
      <c r="P170" s="2">
        <v>7.04</v>
      </c>
      <c r="Q170" s="2">
        <v>11.7</v>
      </c>
      <c r="R170" s="3">
        <f t="shared" si="10"/>
        <v>3358.2208000000001</v>
      </c>
      <c r="S170" s="3">
        <f t="shared" si="11"/>
        <v>5581.1339999999991</v>
      </c>
      <c r="T170" s="3">
        <f t="shared" si="12"/>
        <v>2222.9131999999991</v>
      </c>
      <c r="U170" s="4">
        <f t="shared" si="13"/>
        <v>0.39829059829059821</v>
      </c>
      <c r="V170" s="5">
        <f t="shared" si="14"/>
        <v>39.115639999999992</v>
      </c>
    </row>
    <row r="171" spans="1:22" x14ac:dyDescent="0.25">
      <c r="A171" s="2" t="s">
        <v>205</v>
      </c>
      <c r="B171" s="2" t="s">
        <v>45</v>
      </c>
      <c r="C171" s="2" t="s">
        <v>27</v>
      </c>
      <c r="D171" s="2" t="s">
        <v>20</v>
      </c>
      <c r="E171" s="2">
        <v>414.86</v>
      </c>
      <c r="F171" s="2">
        <v>8.33</v>
      </c>
      <c r="G171" s="2">
        <v>31.56</v>
      </c>
      <c r="H171" s="2">
        <v>1.7</v>
      </c>
      <c r="I171" s="2">
        <v>0.2</v>
      </c>
      <c r="J171" s="2">
        <v>27</v>
      </c>
      <c r="K171" s="2" t="s">
        <v>21</v>
      </c>
      <c r="L171" s="2">
        <v>0.63</v>
      </c>
      <c r="M171" s="2" t="s">
        <v>37</v>
      </c>
      <c r="N171" s="2">
        <v>92.47</v>
      </c>
      <c r="O171" s="2" t="s">
        <v>24</v>
      </c>
      <c r="P171" s="2">
        <v>4.03</v>
      </c>
      <c r="Q171" s="2">
        <v>11.45</v>
      </c>
      <c r="R171" s="3">
        <f t="shared" si="10"/>
        <v>1671.8858000000002</v>
      </c>
      <c r="S171" s="3">
        <f t="shared" si="11"/>
        <v>4750.1469999999999</v>
      </c>
      <c r="T171" s="3">
        <f t="shared" si="12"/>
        <v>3078.2611999999999</v>
      </c>
      <c r="U171" s="4">
        <f t="shared" si="13"/>
        <v>0.64803493449781657</v>
      </c>
      <c r="V171" s="5">
        <f t="shared" si="14"/>
        <v>2.6136180000000002</v>
      </c>
    </row>
    <row r="172" spans="1:22" x14ac:dyDescent="0.25">
      <c r="A172" s="2" t="s">
        <v>206</v>
      </c>
      <c r="B172" s="2" t="s">
        <v>26</v>
      </c>
      <c r="C172" s="2" t="s">
        <v>19</v>
      </c>
      <c r="D172" s="2" t="s">
        <v>20</v>
      </c>
      <c r="E172" s="2">
        <v>517.52</v>
      </c>
      <c r="F172" s="2">
        <v>13.8</v>
      </c>
      <c r="G172" s="2">
        <v>34.99</v>
      </c>
      <c r="H172" s="2">
        <v>5.9</v>
      </c>
      <c r="I172" s="2">
        <v>0.4</v>
      </c>
      <c r="J172" s="2">
        <v>10</v>
      </c>
      <c r="K172" s="2" t="s">
        <v>29</v>
      </c>
      <c r="L172" s="2">
        <v>9.11</v>
      </c>
      <c r="M172" s="2" t="s">
        <v>37</v>
      </c>
      <c r="N172" s="2">
        <v>60.65</v>
      </c>
      <c r="O172" s="2" t="s">
        <v>30</v>
      </c>
      <c r="P172" s="2">
        <v>4.7699999999999996</v>
      </c>
      <c r="Q172" s="2">
        <v>7.22</v>
      </c>
      <c r="R172" s="3">
        <f t="shared" si="10"/>
        <v>2468.5703999999996</v>
      </c>
      <c r="S172" s="3">
        <f t="shared" si="11"/>
        <v>3736.4943999999996</v>
      </c>
      <c r="T172" s="3">
        <f t="shared" si="12"/>
        <v>1267.924</v>
      </c>
      <c r="U172" s="4">
        <f t="shared" si="13"/>
        <v>0.3393351800554017</v>
      </c>
      <c r="V172" s="5">
        <f t="shared" si="14"/>
        <v>47.146071999999997</v>
      </c>
    </row>
    <row r="173" spans="1:22" x14ac:dyDescent="0.25">
      <c r="A173" s="2" t="s">
        <v>207</v>
      </c>
      <c r="B173" s="2" t="s">
        <v>32</v>
      </c>
      <c r="C173" s="2" t="s">
        <v>33</v>
      </c>
      <c r="D173" s="2" t="s">
        <v>28</v>
      </c>
      <c r="E173" s="2">
        <v>798.53</v>
      </c>
      <c r="F173" s="2">
        <v>9.67</v>
      </c>
      <c r="G173" s="2">
        <v>39.29</v>
      </c>
      <c r="H173" s="2">
        <v>0.1</v>
      </c>
      <c r="I173" s="2">
        <v>1</v>
      </c>
      <c r="J173" s="2">
        <v>19</v>
      </c>
      <c r="K173" s="2" t="s">
        <v>29</v>
      </c>
      <c r="L173" s="2">
        <v>2.65</v>
      </c>
      <c r="M173" s="2" t="s">
        <v>40</v>
      </c>
      <c r="N173" s="2">
        <v>87.31</v>
      </c>
      <c r="O173" s="2" t="s">
        <v>24</v>
      </c>
      <c r="P173" s="2">
        <v>6.21</v>
      </c>
      <c r="Q173" s="2">
        <v>6.44</v>
      </c>
      <c r="R173" s="3">
        <f t="shared" si="10"/>
        <v>4958.8712999999998</v>
      </c>
      <c r="S173" s="3">
        <f t="shared" si="11"/>
        <v>5142.5331999999999</v>
      </c>
      <c r="T173" s="3">
        <f t="shared" si="12"/>
        <v>183.66190000000006</v>
      </c>
      <c r="U173" s="4">
        <f t="shared" si="13"/>
        <v>3.5714285714285726E-2</v>
      </c>
      <c r="V173" s="5">
        <f t="shared" si="14"/>
        <v>21.161044999999998</v>
      </c>
    </row>
    <row r="174" spans="1:22" x14ac:dyDescent="0.25">
      <c r="A174" s="2" t="s">
        <v>208</v>
      </c>
      <c r="B174" s="2" t="s">
        <v>18</v>
      </c>
      <c r="C174" s="2" t="s">
        <v>43</v>
      </c>
      <c r="D174" s="2" t="s">
        <v>20</v>
      </c>
      <c r="E174" s="2">
        <v>536.75</v>
      </c>
      <c r="F174" s="2">
        <v>15.12</v>
      </c>
      <c r="G174" s="2">
        <v>21.47</v>
      </c>
      <c r="H174" s="2">
        <v>1.4</v>
      </c>
      <c r="I174" s="2">
        <v>0.8</v>
      </c>
      <c r="J174" s="2">
        <v>29</v>
      </c>
      <c r="K174" s="2" t="s">
        <v>34</v>
      </c>
      <c r="L174" s="2">
        <v>7.21</v>
      </c>
      <c r="M174" s="2" t="s">
        <v>22</v>
      </c>
      <c r="N174" s="2">
        <v>67.23</v>
      </c>
      <c r="O174" s="2" t="s">
        <v>30</v>
      </c>
      <c r="P174" s="2">
        <v>3.77</v>
      </c>
      <c r="Q174" s="2">
        <v>14.79</v>
      </c>
      <c r="R174" s="3">
        <f t="shared" si="10"/>
        <v>2023.5474999999999</v>
      </c>
      <c r="S174" s="3">
        <f t="shared" si="11"/>
        <v>7938.5324999999993</v>
      </c>
      <c r="T174" s="3">
        <f t="shared" si="12"/>
        <v>5914.9849999999997</v>
      </c>
      <c r="U174" s="4">
        <f t="shared" si="13"/>
        <v>0.74509803921568629</v>
      </c>
      <c r="V174" s="5">
        <f t="shared" si="14"/>
        <v>38.699674999999999</v>
      </c>
    </row>
    <row r="175" spans="1:22" x14ac:dyDescent="0.25">
      <c r="A175" s="2" t="s">
        <v>209</v>
      </c>
      <c r="B175" s="2" t="s">
        <v>26</v>
      </c>
      <c r="C175" s="2" t="s">
        <v>33</v>
      </c>
      <c r="D175" s="2" t="s">
        <v>28</v>
      </c>
      <c r="E175" s="2">
        <v>468.65</v>
      </c>
      <c r="F175" s="2">
        <v>9.76</v>
      </c>
      <c r="G175" s="2">
        <v>21.07</v>
      </c>
      <c r="H175" s="2">
        <v>0.8</v>
      </c>
      <c r="I175" s="2">
        <v>0.2</v>
      </c>
      <c r="J175" s="2">
        <v>6</v>
      </c>
      <c r="K175" s="2" t="s">
        <v>29</v>
      </c>
      <c r="L175" s="2">
        <v>5.75</v>
      </c>
      <c r="M175" s="2" t="s">
        <v>37</v>
      </c>
      <c r="N175" s="2">
        <v>87.41</v>
      </c>
      <c r="O175" s="2" t="s">
        <v>30</v>
      </c>
      <c r="P175" s="2">
        <v>9.9600000000000009</v>
      </c>
      <c r="Q175" s="2">
        <v>5.45</v>
      </c>
      <c r="R175" s="3">
        <f t="shared" si="10"/>
        <v>4667.7539999999999</v>
      </c>
      <c r="S175" s="3">
        <f t="shared" si="11"/>
        <v>2554.1424999999999</v>
      </c>
      <c r="T175" s="3">
        <f t="shared" si="12"/>
        <v>-2113.6115</v>
      </c>
      <c r="U175" s="4">
        <f t="shared" si="13"/>
        <v>-0.8275229357798165</v>
      </c>
      <c r="V175" s="5">
        <f t="shared" si="14"/>
        <v>26.947374999999997</v>
      </c>
    </row>
    <row r="176" spans="1:22" x14ac:dyDescent="0.25">
      <c r="A176" s="2" t="s">
        <v>210</v>
      </c>
      <c r="B176" s="2" t="s">
        <v>26</v>
      </c>
      <c r="C176" s="2" t="s">
        <v>43</v>
      </c>
      <c r="D176" s="2" t="s">
        <v>20</v>
      </c>
      <c r="E176" s="2">
        <v>592.17999999999995</v>
      </c>
      <c r="F176" s="2">
        <v>10.35</v>
      </c>
      <c r="G176" s="2">
        <v>38.75</v>
      </c>
      <c r="H176" s="2">
        <v>1.4</v>
      </c>
      <c r="I176" s="2">
        <v>0.2</v>
      </c>
      <c r="J176" s="2">
        <v>1</v>
      </c>
      <c r="K176" s="2" t="s">
        <v>34</v>
      </c>
      <c r="L176" s="2">
        <v>5.6</v>
      </c>
      <c r="M176" s="2" t="s">
        <v>40</v>
      </c>
      <c r="N176" s="2">
        <v>95.38</v>
      </c>
      <c r="O176" s="2" t="s">
        <v>30</v>
      </c>
      <c r="P176" s="2">
        <v>4.16</v>
      </c>
      <c r="Q176" s="2">
        <v>9.68</v>
      </c>
      <c r="R176" s="3">
        <f t="shared" si="10"/>
        <v>2463.4688000000001</v>
      </c>
      <c r="S176" s="3">
        <f t="shared" si="11"/>
        <v>5732.3023999999996</v>
      </c>
      <c r="T176" s="3">
        <f t="shared" si="12"/>
        <v>3268.8335999999995</v>
      </c>
      <c r="U176" s="4">
        <f t="shared" si="13"/>
        <v>0.57024793388429751</v>
      </c>
      <c r="V176" s="5">
        <f t="shared" si="14"/>
        <v>33.162079999999996</v>
      </c>
    </row>
    <row r="177" spans="1:22" x14ac:dyDescent="0.25">
      <c r="A177" s="2" t="s">
        <v>211</v>
      </c>
      <c r="B177" s="2" t="s">
        <v>45</v>
      </c>
      <c r="C177" s="2" t="s">
        <v>19</v>
      </c>
      <c r="D177" s="2" t="s">
        <v>28</v>
      </c>
      <c r="E177" s="2">
        <v>548.27</v>
      </c>
      <c r="F177" s="2">
        <v>12.94</v>
      </c>
      <c r="G177" s="2">
        <v>30.6</v>
      </c>
      <c r="H177" s="2">
        <v>0</v>
      </c>
      <c r="I177" s="2">
        <v>0.3</v>
      </c>
      <c r="J177" s="2">
        <v>8</v>
      </c>
      <c r="K177" s="2" t="s">
        <v>34</v>
      </c>
      <c r="L177" s="2">
        <v>7.32</v>
      </c>
      <c r="M177" s="2" t="s">
        <v>22</v>
      </c>
      <c r="N177" s="2">
        <v>99.08</v>
      </c>
      <c r="O177" s="2" t="s">
        <v>23</v>
      </c>
      <c r="P177" s="2">
        <v>8.4700000000000006</v>
      </c>
      <c r="Q177" s="2">
        <v>9.25</v>
      </c>
      <c r="R177" s="3">
        <f t="shared" si="10"/>
        <v>4643.8469000000005</v>
      </c>
      <c r="S177" s="3">
        <f t="shared" si="11"/>
        <v>5071.4974999999995</v>
      </c>
      <c r="T177" s="3">
        <f t="shared" si="12"/>
        <v>427.65059999999903</v>
      </c>
      <c r="U177" s="4">
        <f t="shared" si="13"/>
        <v>8.4324324324324143E-2</v>
      </c>
      <c r="V177" s="5">
        <f t="shared" si="14"/>
        <v>40.133364</v>
      </c>
    </row>
    <row r="178" spans="1:22" x14ac:dyDescent="0.25">
      <c r="A178" s="2" t="s">
        <v>212</v>
      </c>
      <c r="B178" s="2" t="s">
        <v>18</v>
      </c>
      <c r="C178" s="2" t="s">
        <v>27</v>
      </c>
      <c r="D178" s="2" t="s">
        <v>28</v>
      </c>
      <c r="E178" s="2">
        <v>542.01</v>
      </c>
      <c r="F178" s="2">
        <v>17.149999999999999</v>
      </c>
      <c r="G178" s="2">
        <v>32.299999999999997</v>
      </c>
      <c r="H178" s="2">
        <v>0.8</v>
      </c>
      <c r="I178" s="2">
        <v>0.7</v>
      </c>
      <c r="J178" s="2">
        <v>8</v>
      </c>
      <c r="K178" s="2" t="s">
        <v>34</v>
      </c>
      <c r="L178" s="2">
        <v>2.4700000000000002</v>
      </c>
      <c r="M178" s="2" t="s">
        <v>37</v>
      </c>
      <c r="N178" s="2">
        <v>67.989999999999995</v>
      </c>
      <c r="O178" s="2" t="s">
        <v>23</v>
      </c>
      <c r="P178" s="2">
        <v>8.81</v>
      </c>
      <c r="Q178" s="2">
        <v>8.6</v>
      </c>
      <c r="R178" s="3">
        <f t="shared" si="10"/>
        <v>4775.1081000000004</v>
      </c>
      <c r="S178" s="3">
        <f t="shared" si="11"/>
        <v>4661.2860000000001</v>
      </c>
      <c r="T178" s="3">
        <f t="shared" si="12"/>
        <v>-113.82210000000032</v>
      </c>
      <c r="U178" s="4">
        <f t="shared" si="13"/>
        <v>-2.441860465116286E-2</v>
      </c>
      <c r="V178" s="5">
        <f t="shared" si="14"/>
        <v>13.387647000000001</v>
      </c>
    </row>
    <row r="179" spans="1:22" x14ac:dyDescent="0.25">
      <c r="A179" s="2" t="s">
        <v>213</v>
      </c>
      <c r="B179" s="2" t="s">
        <v>18</v>
      </c>
      <c r="C179" s="2" t="s">
        <v>27</v>
      </c>
      <c r="D179" s="2" t="s">
        <v>28</v>
      </c>
      <c r="E179" s="2">
        <v>560.69000000000005</v>
      </c>
      <c r="F179" s="2">
        <v>10.119999999999999</v>
      </c>
      <c r="G179" s="2">
        <v>29.65</v>
      </c>
      <c r="H179" s="2">
        <v>3.4</v>
      </c>
      <c r="I179" s="2">
        <v>0.3</v>
      </c>
      <c r="J179" s="2">
        <v>25</v>
      </c>
      <c r="K179" s="2" t="s">
        <v>29</v>
      </c>
      <c r="L179" s="2">
        <v>2.0099999999999998</v>
      </c>
      <c r="M179" s="2" t="s">
        <v>22</v>
      </c>
      <c r="N179" s="2">
        <v>68.38</v>
      </c>
      <c r="O179" s="2" t="s">
        <v>30</v>
      </c>
      <c r="P179" s="2">
        <v>9.9600000000000009</v>
      </c>
      <c r="Q179" s="2">
        <v>12.82</v>
      </c>
      <c r="R179" s="3">
        <f t="shared" si="10"/>
        <v>5584.4724000000015</v>
      </c>
      <c r="S179" s="3">
        <f t="shared" si="11"/>
        <v>7188.0458000000008</v>
      </c>
      <c r="T179" s="3">
        <f t="shared" si="12"/>
        <v>1603.5733999999993</v>
      </c>
      <c r="U179" s="4">
        <f t="shared" si="13"/>
        <v>0.22308892355694215</v>
      </c>
      <c r="V179" s="5">
        <f t="shared" si="14"/>
        <v>11.269868999999998</v>
      </c>
    </row>
    <row r="180" spans="1:22" x14ac:dyDescent="0.25">
      <c r="A180" s="2" t="s">
        <v>214</v>
      </c>
      <c r="B180" s="2" t="s">
        <v>32</v>
      </c>
      <c r="C180" s="2" t="s">
        <v>19</v>
      </c>
      <c r="D180" s="2" t="s">
        <v>20</v>
      </c>
      <c r="E180" s="2">
        <v>705.65</v>
      </c>
      <c r="F180" s="2">
        <v>9.44</v>
      </c>
      <c r="G180" s="2">
        <v>21.87</v>
      </c>
      <c r="H180" s="2">
        <v>1.6</v>
      </c>
      <c r="I180" s="2">
        <v>2.9</v>
      </c>
      <c r="J180" s="2">
        <v>6</v>
      </c>
      <c r="K180" s="2" t="s">
        <v>34</v>
      </c>
      <c r="L180" s="2">
        <v>6.69</v>
      </c>
      <c r="M180" s="2" t="s">
        <v>40</v>
      </c>
      <c r="N180" s="2">
        <v>99.07</v>
      </c>
      <c r="O180" s="2" t="s">
        <v>24</v>
      </c>
      <c r="P180" s="2">
        <v>6</v>
      </c>
      <c r="Q180" s="2">
        <v>12.45</v>
      </c>
      <c r="R180" s="3">
        <f t="shared" si="10"/>
        <v>4233.8999999999996</v>
      </c>
      <c r="S180" s="3">
        <f t="shared" si="11"/>
        <v>8785.3424999999988</v>
      </c>
      <c r="T180" s="3">
        <f t="shared" si="12"/>
        <v>4551.4424999999992</v>
      </c>
      <c r="U180" s="4">
        <f t="shared" si="13"/>
        <v>0.51807228915662651</v>
      </c>
      <c r="V180" s="5">
        <f t="shared" si="14"/>
        <v>47.207985000000001</v>
      </c>
    </row>
    <row r="181" spans="1:22" x14ac:dyDescent="0.25">
      <c r="A181" s="2" t="s">
        <v>215</v>
      </c>
      <c r="B181" s="2" t="s">
        <v>18</v>
      </c>
      <c r="C181" s="2" t="s">
        <v>27</v>
      </c>
      <c r="D181" s="2" t="s">
        <v>28</v>
      </c>
      <c r="E181" s="2">
        <v>386.91</v>
      </c>
      <c r="F181" s="2">
        <v>15.59</v>
      </c>
      <c r="G181" s="2">
        <v>35.36</v>
      </c>
      <c r="H181" s="2">
        <v>1.2</v>
      </c>
      <c r="I181" s="2">
        <v>0.6</v>
      </c>
      <c r="J181" s="2">
        <v>17</v>
      </c>
      <c r="K181" s="2" t="s">
        <v>21</v>
      </c>
      <c r="L181" s="2">
        <v>3.26</v>
      </c>
      <c r="M181" s="2" t="s">
        <v>37</v>
      </c>
      <c r="N181" s="2">
        <v>93.08</v>
      </c>
      <c r="O181" s="2" t="s">
        <v>24</v>
      </c>
      <c r="P181" s="2">
        <v>9.1199999999999992</v>
      </c>
      <c r="Q181" s="2">
        <v>14.05</v>
      </c>
      <c r="R181" s="3">
        <f t="shared" si="10"/>
        <v>3528.6192000000001</v>
      </c>
      <c r="S181" s="3">
        <f t="shared" si="11"/>
        <v>5436.085500000001</v>
      </c>
      <c r="T181" s="3">
        <f t="shared" si="12"/>
        <v>1907.466300000001</v>
      </c>
      <c r="U181" s="4">
        <f t="shared" si="13"/>
        <v>0.3508896797153026</v>
      </c>
      <c r="V181" s="5">
        <f t="shared" si="14"/>
        <v>12.613266000000001</v>
      </c>
    </row>
    <row r="182" spans="1:22" x14ac:dyDescent="0.25">
      <c r="A182" s="2" t="s">
        <v>216</v>
      </c>
      <c r="B182" s="2" t="s">
        <v>32</v>
      </c>
      <c r="C182" s="2" t="s">
        <v>27</v>
      </c>
      <c r="D182" s="2" t="s">
        <v>28</v>
      </c>
      <c r="E182" s="2">
        <v>547.36</v>
      </c>
      <c r="F182" s="2">
        <v>13.01</v>
      </c>
      <c r="G182" s="2">
        <v>34.94</v>
      </c>
      <c r="H182" s="2">
        <v>0.7</v>
      </c>
      <c r="I182" s="2">
        <v>0.1</v>
      </c>
      <c r="J182" s="2">
        <v>19</v>
      </c>
      <c r="K182" s="2" t="s">
        <v>21</v>
      </c>
      <c r="L182" s="2">
        <v>9.75</v>
      </c>
      <c r="M182" s="2" t="s">
        <v>22</v>
      </c>
      <c r="N182" s="2">
        <v>52.25</v>
      </c>
      <c r="O182" s="2" t="s">
        <v>23</v>
      </c>
      <c r="P182" s="2">
        <v>9.6999999999999993</v>
      </c>
      <c r="Q182" s="2">
        <v>8.9499999999999993</v>
      </c>
      <c r="R182" s="3">
        <f t="shared" si="10"/>
        <v>5309.3919999999998</v>
      </c>
      <c r="S182" s="3">
        <f t="shared" si="11"/>
        <v>4898.8719999999994</v>
      </c>
      <c r="T182" s="3">
        <f t="shared" si="12"/>
        <v>-410.52000000000044</v>
      </c>
      <c r="U182" s="4">
        <f t="shared" si="13"/>
        <v>-8.3798882681564352E-2</v>
      </c>
      <c r="V182" s="5">
        <f t="shared" si="14"/>
        <v>53.367600000000003</v>
      </c>
    </row>
    <row r="183" spans="1:22" x14ac:dyDescent="0.25">
      <c r="A183" s="2" t="s">
        <v>217</v>
      </c>
      <c r="B183" s="2" t="s">
        <v>18</v>
      </c>
      <c r="C183" s="2" t="s">
        <v>43</v>
      </c>
      <c r="D183" s="2" t="s">
        <v>28</v>
      </c>
      <c r="E183" s="2">
        <v>407.36</v>
      </c>
      <c r="F183" s="2">
        <v>17.12</v>
      </c>
      <c r="G183" s="2">
        <v>26.23</v>
      </c>
      <c r="H183" s="2">
        <v>0.7</v>
      </c>
      <c r="I183" s="2">
        <v>1.3</v>
      </c>
      <c r="J183" s="2">
        <v>1</v>
      </c>
      <c r="K183" s="2" t="s">
        <v>29</v>
      </c>
      <c r="L183" s="2">
        <v>4.79</v>
      </c>
      <c r="M183" s="2" t="s">
        <v>22</v>
      </c>
      <c r="N183" s="2">
        <v>78.67</v>
      </c>
      <c r="O183" s="2" t="s">
        <v>30</v>
      </c>
      <c r="P183" s="2">
        <v>4.21</v>
      </c>
      <c r="Q183" s="2">
        <v>10.64</v>
      </c>
      <c r="R183" s="3">
        <f t="shared" si="10"/>
        <v>1714.9856</v>
      </c>
      <c r="S183" s="3">
        <f t="shared" si="11"/>
        <v>4334.3104000000003</v>
      </c>
      <c r="T183" s="3">
        <f t="shared" si="12"/>
        <v>2619.3248000000003</v>
      </c>
      <c r="U183" s="4">
        <f t="shared" si="13"/>
        <v>0.60432330827067671</v>
      </c>
      <c r="V183" s="5">
        <f t="shared" si="14"/>
        <v>19.512544000000002</v>
      </c>
    </row>
    <row r="184" spans="1:22" x14ac:dyDescent="0.25">
      <c r="A184" s="2" t="s">
        <v>218</v>
      </c>
      <c r="B184" s="2" t="s">
        <v>45</v>
      </c>
      <c r="C184" s="2" t="s">
        <v>19</v>
      </c>
      <c r="D184" s="2" t="s">
        <v>28</v>
      </c>
      <c r="E184" s="2">
        <v>555.54999999999995</v>
      </c>
      <c r="F184" s="2">
        <v>9.4700000000000006</v>
      </c>
      <c r="G184" s="2">
        <v>26.12</v>
      </c>
      <c r="H184" s="2">
        <v>1</v>
      </c>
      <c r="I184" s="2">
        <v>0.4</v>
      </c>
      <c r="J184" s="2">
        <v>15</v>
      </c>
      <c r="K184" s="2" t="s">
        <v>34</v>
      </c>
      <c r="L184" s="2">
        <v>1.56</v>
      </c>
      <c r="M184" s="2" t="s">
        <v>22</v>
      </c>
      <c r="N184" s="2">
        <v>59.06</v>
      </c>
      <c r="O184" s="2" t="s">
        <v>23</v>
      </c>
      <c r="P184" s="2">
        <v>6.36</v>
      </c>
      <c r="Q184" s="2">
        <v>13.92</v>
      </c>
      <c r="R184" s="3">
        <f t="shared" si="10"/>
        <v>3533.2979999999998</v>
      </c>
      <c r="S184" s="3">
        <f t="shared" si="11"/>
        <v>7733.2559999999994</v>
      </c>
      <c r="T184" s="3">
        <f t="shared" si="12"/>
        <v>4199.9579999999996</v>
      </c>
      <c r="U184" s="4">
        <f t="shared" si="13"/>
        <v>0.5431034482758621</v>
      </c>
      <c r="V184" s="5">
        <f t="shared" si="14"/>
        <v>8.6665799999999997</v>
      </c>
    </row>
    <row r="185" spans="1:22" x14ac:dyDescent="0.25">
      <c r="A185" s="2" t="s">
        <v>219</v>
      </c>
      <c r="B185" s="2" t="s">
        <v>18</v>
      </c>
      <c r="C185" s="2" t="s">
        <v>33</v>
      </c>
      <c r="D185" s="2" t="s">
        <v>28</v>
      </c>
      <c r="E185" s="2">
        <v>408.13</v>
      </c>
      <c r="F185" s="2">
        <v>14.46</v>
      </c>
      <c r="G185" s="2">
        <v>36.76</v>
      </c>
      <c r="H185" s="2">
        <v>3.6</v>
      </c>
      <c r="I185" s="2">
        <v>1.1000000000000001</v>
      </c>
      <c r="J185" s="2">
        <v>13</v>
      </c>
      <c r="K185" s="2" t="s">
        <v>21</v>
      </c>
      <c r="L185" s="2">
        <v>7.02</v>
      </c>
      <c r="M185" s="2" t="s">
        <v>40</v>
      </c>
      <c r="N185" s="2">
        <v>99.7</v>
      </c>
      <c r="O185" s="2" t="s">
        <v>23</v>
      </c>
      <c r="P185" s="2">
        <v>3.42</v>
      </c>
      <c r="Q185" s="2">
        <v>14.94</v>
      </c>
      <c r="R185" s="3">
        <f t="shared" si="10"/>
        <v>1395.8045999999999</v>
      </c>
      <c r="S185" s="3">
        <f t="shared" si="11"/>
        <v>6097.4621999999999</v>
      </c>
      <c r="T185" s="3">
        <f t="shared" si="12"/>
        <v>4701.6576000000005</v>
      </c>
      <c r="U185" s="4">
        <f t="shared" si="13"/>
        <v>0.77108433734939763</v>
      </c>
      <c r="V185" s="5">
        <f t="shared" si="14"/>
        <v>28.650725999999999</v>
      </c>
    </row>
    <row r="186" spans="1:22" x14ac:dyDescent="0.25">
      <c r="A186" s="2" t="s">
        <v>220</v>
      </c>
      <c r="B186" s="2" t="s">
        <v>32</v>
      </c>
      <c r="C186" s="2" t="s">
        <v>43</v>
      </c>
      <c r="D186" s="2" t="s">
        <v>20</v>
      </c>
      <c r="E186" s="2">
        <v>458.26</v>
      </c>
      <c r="F186" s="2">
        <v>10.33</v>
      </c>
      <c r="G186" s="2">
        <v>21.45</v>
      </c>
      <c r="H186" s="2">
        <v>6.8</v>
      </c>
      <c r="I186" s="2">
        <v>0.3</v>
      </c>
      <c r="J186" s="2">
        <v>21</v>
      </c>
      <c r="K186" s="2" t="s">
        <v>29</v>
      </c>
      <c r="L186" s="2">
        <v>3.41</v>
      </c>
      <c r="M186" s="2" t="s">
        <v>22</v>
      </c>
      <c r="N186" s="2">
        <v>56.95</v>
      </c>
      <c r="O186" s="2" t="s">
        <v>23</v>
      </c>
      <c r="P186" s="2">
        <v>7.35</v>
      </c>
      <c r="Q186" s="2">
        <v>14.69</v>
      </c>
      <c r="R186" s="3">
        <f t="shared" si="10"/>
        <v>3368.2109999999998</v>
      </c>
      <c r="S186" s="3">
        <f t="shared" si="11"/>
        <v>6731.8393999999998</v>
      </c>
      <c r="T186" s="3">
        <f t="shared" si="12"/>
        <v>3363.6284000000001</v>
      </c>
      <c r="U186" s="4">
        <f t="shared" si="13"/>
        <v>0.49965963240299527</v>
      </c>
      <c r="V186" s="5">
        <f t="shared" si="14"/>
        <v>15.626666</v>
      </c>
    </row>
    <row r="187" spans="1:22" x14ac:dyDescent="0.25">
      <c r="A187" s="2" t="s">
        <v>221</v>
      </c>
      <c r="B187" s="2" t="s">
        <v>32</v>
      </c>
      <c r="C187" s="2" t="s">
        <v>19</v>
      </c>
      <c r="D187" s="2" t="s">
        <v>20</v>
      </c>
      <c r="E187" s="2">
        <v>470.49</v>
      </c>
      <c r="F187" s="2">
        <v>9.57</v>
      </c>
      <c r="G187" s="2">
        <v>37.619999999999997</v>
      </c>
      <c r="H187" s="2">
        <v>1.2</v>
      </c>
      <c r="I187" s="2">
        <v>0.8</v>
      </c>
      <c r="J187" s="2">
        <v>3</v>
      </c>
      <c r="K187" s="2" t="s">
        <v>29</v>
      </c>
      <c r="L187" s="2">
        <v>1.91</v>
      </c>
      <c r="M187" s="2" t="s">
        <v>37</v>
      </c>
      <c r="N187" s="2">
        <v>77.97</v>
      </c>
      <c r="O187" s="2" t="s">
        <v>30</v>
      </c>
      <c r="P187" s="2">
        <v>7.07</v>
      </c>
      <c r="Q187" s="2">
        <v>12.18</v>
      </c>
      <c r="R187" s="3">
        <f t="shared" si="10"/>
        <v>3326.3643000000002</v>
      </c>
      <c r="S187" s="3">
        <f t="shared" si="11"/>
        <v>5730.5681999999997</v>
      </c>
      <c r="T187" s="3">
        <f t="shared" si="12"/>
        <v>2404.2038999999995</v>
      </c>
      <c r="U187" s="4">
        <f t="shared" si="13"/>
        <v>0.4195402298850574</v>
      </c>
      <c r="V187" s="5">
        <f t="shared" si="14"/>
        <v>8.9863590000000002</v>
      </c>
    </row>
    <row r="188" spans="1:22" x14ac:dyDescent="0.25">
      <c r="A188" s="2" t="s">
        <v>222</v>
      </c>
      <c r="B188" s="2" t="s">
        <v>45</v>
      </c>
      <c r="C188" s="2" t="s">
        <v>43</v>
      </c>
      <c r="D188" s="2" t="s">
        <v>20</v>
      </c>
      <c r="E188" s="2">
        <v>597.58000000000004</v>
      </c>
      <c r="F188" s="2">
        <v>14.83</v>
      </c>
      <c r="G188" s="2">
        <v>25.13</v>
      </c>
      <c r="H188" s="2">
        <v>1</v>
      </c>
      <c r="I188" s="2">
        <v>1.5</v>
      </c>
      <c r="J188" s="2">
        <v>2</v>
      </c>
      <c r="K188" s="2" t="s">
        <v>29</v>
      </c>
      <c r="L188" s="2">
        <v>4.5199999999999996</v>
      </c>
      <c r="M188" s="2" t="s">
        <v>37</v>
      </c>
      <c r="N188" s="2">
        <v>83.26</v>
      </c>
      <c r="O188" s="2" t="s">
        <v>30</v>
      </c>
      <c r="P188" s="2">
        <v>4.43</v>
      </c>
      <c r="Q188" s="2">
        <v>6.43</v>
      </c>
      <c r="R188" s="3">
        <f t="shared" si="10"/>
        <v>2647.2793999999999</v>
      </c>
      <c r="S188" s="3">
        <f t="shared" si="11"/>
        <v>3842.4394000000002</v>
      </c>
      <c r="T188" s="3">
        <f t="shared" si="12"/>
        <v>1195.1600000000003</v>
      </c>
      <c r="U188" s="4">
        <f t="shared" si="13"/>
        <v>0.31104199066874033</v>
      </c>
      <c r="V188" s="5">
        <f t="shared" si="14"/>
        <v>27.010615999999999</v>
      </c>
    </row>
    <row r="189" spans="1:22" x14ac:dyDescent="0.25">
      <c r="A189" s="2" t="s">
        <v>223</v>
      </c>
      <c r="B189" s="2" t="s">
        <v>18</v>
      </c>
      <c r="C189" s="2" t="s">
        <v>33</v>
      </c>
      <c r="D189" s="2" t="s">
        <v>20</v>
      </c>
      <c r="E189" s="2">
        <v>591.85</v>
      </c>
      <c r="F189" s="2">
        <v>13.94</v>
      </c>
      <c r="G189" s="2">
        <v>31.86</v>
      </c>
      <c r="H189" s="2">
        <v>3.7</v>
      </c>
      <c r="I189" s="2">
        <v>2.6</v>
      </c>
      <c r="J189" s="2">
        <v>3</v>
      </c>
      <c r="K189" s="2" t="s">
        <v>29</v>
      </c>
      <c r="L189" s="2">
        <v>9.66</v>
      </c>
      <c r="M189" s="2" t="s">
        <v>22</v>
      </c>
      <c r="N189" s="2">
        <v>96.85</v>
      </c>
      <c r="O189" s="2" t="s">
        <v>23</v>
      </c>
      <c r="P189" s="2">
        <v>8.59</v>
      </c>
      <c r="Q189" s="2">
        <v>5.23</v>
      </c>
      <c r="R189" s="3">
        <f t="shared" si="10"/>
        <v>5083.9915000000001</v>
      </c>
      <c r="S189" s="3">
        <f t="shared" si="11"/>
        <v>3095.3755000000006</v>
      </c>
      <c r="T189" s="3">
        <f t="shared" si="12"/>
        <v>-1988.6159999999995</v>
      </c>
      <c r="U189" s="4">
        <f t="shared" si="13"/>
        <v>-0.64244741873804945</v>
      </c>
      <c r="V189" s="5">
        <f t="shared" si="14"/>
        <v>57.172710000000009</v>
      </c>
    </row>
    <row r="190" spans="1:22" x14ac:dyDescent="0.25">
      <c r="A190" s="2" t="s">
        <v>224</v>
      </c>
      <c r="B190" s="2" t="s">
        <v>18</v>
      </c>
      <c r="C190" s="2" t="s">
        <v>33</v>
      </c>
      <c r="D190" s="2" t="s">
        <v>20</v>
      </c>
      <c r="E190" s="2">
        <v>375.43</v>
      </c>
      <c r="F190" s="2">
        <v>15.55</v>
      </c>
      <c r="G190" s="2">
        <v>38.72</v>
      </c>
      <c r="H190" s="2">
        <v>1.1000000000000001</v>
      </c>
      <c r="I190" s="2">
        <v>0.3</v>
      </c>
      <c r="J190" s="2">
        <v>9</v>
      </c>
      <c r="K190" s="2" t="s">
        <v>29</v>
      </c>
      <c r="L190" s="2">
        <v>4.41</v>
      </c>
      <c r="M190" s="2" t="s">
        <v>40</v>
      </c>
      <c r="N190" s="2">
        <v>92.36</v>
      </c>
      <c r="O190" s="2" t="s">
        <v>30</v>
      </c>
      <c r="P190" s="2">
        <v>3.26</v>
      </c>
      <c r="Q190" s="2">
        <v>13.25</v>
      </c>
      <c r="R190" s="3">
        <f t="shared" si="10"/>
        <v>1223.9017999999999</v>
      </c>
      <c r="S190" s="3">
        <f t="shared" si="11"/>
        <v>4974.4475000000002</v>
      </c>
      <c r="T190" s="3">
        <f t="shared" si="12"/>
        <v>3750.5457000000006</v>
      </c>
      <c r="U190" s="4">
        <f t="shared" si="13"/>
        <v>0.75396226415094347</v>
      </c>
      <c r="V190" s="5">
        <f t="shared" si="14"/>
        <v>16.556463000000001</v>
      </c>
    </row>
    <row r="191" spans="1:22" x14ac:dyDescent="0.25">
      <c r="A191" s="2" t="s">
        <v>225</v>
      </c>
      <c r="B191" s="2" t="s">
        <v>45</v>
      </c>
      <c r="C191" s="2" t="s">
        <v>19</v>
      </c>
      <c r="D191" s="2" t="s">
        <v>20</v>
      </c>
      <c r="E191" s="2">
        <v>505.49</v>
      </c>
      <c r="F191" s="2">
        <v>11.09</v>
      </c>
      <c r="G191" s="2">
        <v>33.56</v>
      </c>
      <c r="H191" s="2">
        <v>1.6</v>
      </c>
      <c r="I191" s="2">
        <v>0.4</v>
      </c>
      <c r="J191" s="2">
        <v>27</v>
      </c>
      <c r="K191" s="2" t="s">
        <v>34</v>
      </c>
      <c r="L191" s="2">
        <v>3.8</v>
      </c>
      <c r="M191" s="2" t="s">
        <v>37</v>
      </c>
      <c r="N191" s="2">
        <v>62.29</v>
      </c>
      <c r="O191" s="2" t="s">
        <v>24</v>
      </c>
      <c r="P191" s="2">
        <v>8.64</v>
      </c>
      <c r="Q191" s="2">
        <v>13.41</v>
      </c>
      <c r="R191" s="3">
        <f t="shared" si="10"/>
        <v>4367.4336000000003</v>
      </c>
      <c r="S191" s="3">
        <f t="shared" si="11"/>
        <v>6778.6208999999999</v>
      </c>
      <c r="T191" s="3">
        <f t="shared" si="12"/>
        <v>2411.1872999999996</v>
      </c>
      <c r="U191" s="4">
        <f t="shared" si="13"/>
        <v>0.35570469798657711</v>
      </c>
      <c r="V191" s="5">
        <f t="shared" si="14"/>
        <v>19.20862</v>
      </c>
    </row>
    <row r="192" spans="1:22" x14ac:dyDescent="0.25">
      <c r="A192" s="2" t="s">
        <v>226</v>
      </c>
      <c r="B192" s="2" t="s">
        <v>18</v>
      </c>
      <c r="C192" s="2" t="s">
        <v>33</v>
      </c>
      <c r="D192" s="2" t="s">
        <v>20</v>
      </c>
      <c r="E192" s="2">
        <v>429.04</v>
      </c>
      <c r="F192" s="2">
        <v>12.48</v>
      </c>
      <c r="G192" s="2">
        <v>28.29</v>
      </c>
      <c r="H192" s="2">
        <v>0.5</v>
      </c>
      <c r="I192" s="2">
        <v>0.6</v>
      </c>
      <c r="J192" s="2">
        <v>16</v>
      </c>
      <c r="K192" s="2" t="s">
        <v>34</v>
      </c>
      <c r="L192" s="2">
        <v>4.72</v>
      </c>
      <c r="M192" s="2" t="s">
        <v>37</v>
      </c>
      <c r="N192" s="2">
        <v>78.63</v>
      </c>
      <c r="O192" s="2" t="s">
        <v>24</v>
      </c>
      <c r="P192" s="2">
        <v>3.19</v>
      </c>
      <c r="Q192" s="2">
        <v>12.46</v>
      </c>
      <c r="R192" s="3">
        <f t="shared" si="10"/>
        <v>1368.6376</v>
      </c>
      <c r="S192" s="3">
        <f t="shared" si="11"/>
        <v>5345.8384000000005</v>
      </c>
      <c r="T192" s="3">
        <f t="shared" si="12"/>
        <v>3977.2008000000005</v>
      </c>
      <c r="U192" s="4">
        <f t="shared" si="13"/>
        <v>0.74398073836276091</v>
      </c>
      <c r="V192" s="5">
        <f t="shared" si="14"/>
        <v>20.250688</v>
      </c>
    </row>
    <row r="193" spans="1:22" x14ac:dyDescent="0.25">
      <c r="A193" s="2" t="s">
        <v>227</v>
      </c>
      <c r="B193" s="2" t="s">
        <v>18</v>
      </c>
      <c r="C193" s="2" t="s">
        <v>43</v>
      </c>
      <c r="D193" s="2" t="s">
        <v>28</v>
      </c>
      <c r="E193" s="2">
        <v>374.15</v>
      </c>
      <c r="F193" s="2">
        <v>12.05</v>
      </c>
      <c r="G193" s="2">
        <v>33.79</v>
      </c>
      <c r="H193" s="2">
        <v>2.7</v>
      </c>
      <c r="I193" s="2">
        <v>2.6</v>
      </c>
      <c r="J193" s="2">
        <v>24</v>
      </c>
      <c r="K193" s="2" t="s">
        <v>34</v>
      </c>
      <c r="L193" s="2">
        <v>0.62</v>
      </c>
      <c r="M193" s="2" t="s">
        <v>37</v>
      </c>
      <c r="N193" s="2">
        <v>97.68</v>
      </c>
      <c r="O193" s="2" t="s">
        <v>23</v>
      </c>
      <c r="P193" s="2">
        <v>7.6</v>
      </c>
      <c r="Q193" s="2">
        <v>7.8</v>
      </c>
      <c r="R193" s="3">
        <f t="shared" si="10"/>
        <v>2843.5399999999995</v>
      </c>
      <c r="S193" s="3">
        <f t="shared" si="11"/>
        <v>2918.37</v>
      </c>
      <c r="T193" s="3">
        <f t="shared" si="12"/>
        <v>74.830000000000382</v>
      </c>
      <c r="U193" s="4">
        <f t="shared" si="13"/>
        <v>2.5641025641025772E-2</v>
      </c>
      <c r="V193" s="5">
        <f t="shared" si="14"/>
        <v>2.3197299999999998</v>
      </c>
    </row>
    <row r="194" spans="1:22" x14ac:dyDescent="0.25">
      <c r="A194" s="2" t="s">
        <v>228</v>
      </c>
      <c r="B194" s="2" t="s">
        <v>32</v>
      </c>
      <c r="C194" s="2" t="s">
        <v>33</v>
      </c>
      <c r="D194" s="2" t="s">
        <v>20</v>
      </c>
      <c r="E194" s="2">
        <v>478.3</v>
      </c>
      <c r="F194" s="2">
        <v>17.84</v>
      </c>
      <c r="G194" s="2">
        <v>26.88</v>
      </c>
      <c r="H194" s="2">
        <v>1.5</v>
      </c>
      <c r="I194" s="2">
        <v>2.2999999999999998</v>
      </c>
      <c r="J194" s="2">
        <v>13</v>
      </c>
      <c r="K194" s="2" t="s">
        <v>34</v>
      </c>
      <c r="L194" s="2">
        <v>1.76</v>
      </c>
      <c r="M194" s="2" t="s">
        <v>22</v>
      </c>
      <c r="N194" s="2">
        <v>86.79</v>
      </c>
      <c r="O194" s="2" t="s">
        <v>24</v>
      </c>
      <c r="P194" s="2">
        <v>3.55</v>
      </c>
      <c r="Q194" s="2">
        <v>11.4</v>
      </c>
      <c r="R194" s="3">
        <f t="shared" si="10"/>
        <v>1697.9649999999999</v>
      </c>
      <c r="S194" s="3">
        <f t="shared" si="11"/>
        <v>5452.62</v>
      </c>
      <c r="T194" s="3">
        <f t="shared" si="12"/>
        <v>3754.6549999999997</v>
      </c>
      <c r="U194" s="4">
        <f t="shared" si="13"/>
        <v>0.6885964912280701</v>
      </c>
      <c r="V194" s="5">
        <f t="shared" si="14"/>
        <v>8.4180799999999998</v>
      </c>
    </row>
    <row r="195" spans="1:22" x14ac:dyDescent="0.25">
      <c r="A195" s="2" t="s">
        <v>229</v>
      </c>
      <c r="B195" s="2" t="s">
        <v>18</v>
      </c>
      <c r="C195" s="2" t="s">
        <v>43</v>
      </c>
      <c r="D195" s="2" t="s">
        <v>28</v>
      </c>
      <c r="E195" s="2">
        <v>469.15</v>
      </c>
      <c r="F195" s="2">
        <v>10.92</v>
      </c>
      <c r="G195" s="2">
        <v>25.55</v>
      </c>
      <c r="H195" s="2">
        <v>3.3</v>
      </c>
      <c r="I195" s="2">
        <v>0.1</v>
      </c>
      <c r="J195" s="2">
        <v>19</v>
      </c>
      <c r="K195" s="2" t="s">
        <v>29</v>
      </c>
      <c r="L195" s="2">
        <v>8.57</v>
      </c>
      <c r="M195" s="2" t="s">
        <v>37</v>
      </c>
      <c r="N195" s="2">
        <v>84.42</v>
      </c>
      <c r="O195" s="2" t="s">
        <v>23</v>
      </c>
      <c r="P195" s="2">
        <v>4.76</v>
      </c>
      <c r="Q195" s="2">
        <v>8.16</v>
      </c>
      <c r="R195" s="3">
        <f t="shared" ref="R195:R258" si="15">E195*P195</f>
        <v>2233.154</v>
      </c>
      <c r="S195" s="3">
        <f t="shared" ref="S195:S258" si="16">E195*Q195</f>
        <v>3828.2639999999997</v>
      </c>
      <c r="T195" s="3">
        <f t="shared" ref="T195:T258" si="17">S195-R195</f>
        <v>1595.1099999999997</v>
      </c>
      <c r="U195" s="4">
        <f t="shared" ref="U195:U258" si="18">T195/S195</f>
        <v>0.41666666666666663</v>
      </c>
      <c r="V195" s="5">
        <f t="shared" ref="V195:V258" si="19">E195*L195/100</f>
        <v>40.206154999999995</v>
      </c>
    </row>
    <row r="196" spans="1:22" x14ac:dyDescent="0.25">
      <c r="A196" s="2" t="s">
        <v>230</v>
      </c>
      <c r="B196" s="2" t="s">
        <v>18</v>
      </c>
      <c r="C196" s="2" t="s">
        <v>43</v>
      </c>
      <c r="D196" s="2" t="s">
        <v>28</v>
      </c>
      <c r="E196" s="2">
        <v>742.67</v>
      </c>
      <c r="F196" s="2">
        <v>10.95</v>
      </c>
      <c r="G196" s="2">
        <v>39.93</v>
      </c>
      <c r="H196" s="2">
        <v>3</v>
      </c>
      <c r="I196" s="2">
        <v>0.1</v>
      </c>
      <c r="J196" s="2">
        <v>27</v>
      </c>
      <c r="K196" s="2" t="s">
        <v>29</v>
      </c>
      <c r="L196" s="2">
        <v>9.7899999999999991</v>
      </c>
      <c r="M196" s="2" t="s">
        <v>22</v>
      </c>
      <c r="N196" s="2">
        <v>87.75</v>
      </c>
      <c r="O196" s="2" t="s">
        <v>23</v>
      </c>
      <c r="P196" s="2">
        <v>8.0500000000000007</v>
      </c>
      <c r="Q196" s="2">
        <v>9.51</v>
      </c>
      <c r="R196" s="3">
        <f t="shared" si="15"/>
        <v>5978.4935000000005</v>
      </c>
      <c r="S196" s="3">
        <f t="shared" si="16"/>
        <v>7062.7916999999998</v>
      </c>
      <c r="T196" s="3">
        <f t="shared" si="17"/>
        <v>1084.2981999999993</v>
      </c>
      <c r="U196" s="4">
        <f t="shared" si="18"/>
        <v>0.15352260778128277</v>
      </c>
      <c r="V196" s="5">
        <f t="shared" si="19"/>
        <v>72.707392999999996</v>
      </c>
    </row>
    <row r="197" spans="1:22" x14ac:dyDescent="0.25">
      <c r="A197" s="2" t="s">
        <v>231</v>
      </c>
      <c r="B197" s="2" t="s">
        <v>45</v>
      </c>
      <c r="C197" s="2" t="s">
        <v>33</v>
      </c>
      <c r="D197" s="2" t="s">
        <v>20</v>
      </c>
      <c r="E197" s="2">
        <v>543.29999999999995</v>
      </c>
      <c r="F197" s="2">
        <v>11.55</v>
      </c>
      <c r="G197" s="2">
        <v>35.020000000000003</v>
      </c>
      <c r="H197" s="2">
        <v>0.5</v>
      </c>
      <c r="I197" s="2">
        <v>0.7</v>
      </c>
      <c r="J197" s="2">
        <v>18</v>
      </c>
      <c r="K197" s="2" t="s">
        <v>21</v>
      </c>
      <c r="L197" s="2">
        <v>2</v>
      </c>
      <c r="M197" s="2" t="s">
        <v>22</v>
      </c>
      <c r="N197" s="2">
        <v>66.13</v>
      </c>
      <c r="O197" s="2" t="s">
        <v>23</v>
      </c>
      <c r="P197" s="2">
        <v>4.96</v>
      </c>
      <c r="Q197" s="2">
        <v>8.82</v>
      </c>
      <c r="R197" s="3">
        <f t="shared" si="15"/>
        <v>2694.7679999999996</v>
      </c>
      <c r="S197" s="3">
        <f t="shared" si="16"/>
        <v>4791.9059999999999</v>
      </c>
      <c r="T197" s="3">
        <f t="shared" si="17"/>
        <v>2097.1380000000004</v>
      </c>
      <c r="U197" s="4">
        <f t="shared" si="18"/>
        <v>0.43764172335600915</v>
      </c>
      <c r="V197" s="5">
        <f t="shared" si="19"/>
        <v>10.866</v>
      </c>
    </row>
    <row r="198" spans="1:22" x14ac:dyDescent="0.25">
      <c r="A198" s="2" t="s">
        <v>232</v>
      </c>
      <c r="B198" s="2" t="s">
        <v>45</v>
      </c>
      <c r="C198" s="2" t="s">
        <v>19</v>
      </c>
      <c r="D198" s="2" t="s">
        <v>28</v>
      </c>
      <c r="E198" s="2">
        <v>362.24</v>
      </c>
      <c r="F198" s="2">
        <v>13.65</v>
      </c>
      <c r="G198" s="2">
        <v>32.89</v>
      </c>
      <c r="H198" s="2">
        <v>2.5</v>
      </c>
      <c r="I198" s="2">
        <v>0.1</v>
      </c>
      <c r="J198" s="2">
        <v>21</v>
      </c>
      <c r="K198" s="2" t="s">
        <v>21</v>
      </c>
      <c r="L198" s="2">
        <v>5.59</v>
      </c>
      <c r="M198" s="2" t="s">
        <v>22</v>
      </c>
      <c r="N198" s="2">
        <v>86.46</v>
      </c>
      <c r="O198" s="2" t="s">
        <v>30</v>
      </c>
      <c r="P198" s="2">
        <v>6.58</v>
      </c>
      <c r="Q198" s="2">
        <v>14.14</v>
      </c>
      <c r="R198" s="3">
        <f t="shared" si="15"/>
        <v>2383.5392000000002</v>
      </c>
      <c r="S198" s="3">
        <f t="shared" si="16"/>
        <v>5122.0736000000006</v>
      </c>
      <c r="T198" s="3">
        <f t="shared" si="17"/>
        <v>2738.5344000000005</v>
      </c>
      <c r="U198" s="4">
        <f t="shared" si="18"/>
        <v>0.53465346534653468</v>
      </c>
      <c r="V198" s="5">
        <f t="shared" si="19"/>
        <v>20.249216000000001</v>
      </c>
    </row>
    <row r="199" spans="1:22" x14ac:dyDescent="0.25">
      <c r="A199" s="2" t="s">
        <v>233</v>
      </c>
      <c r="B199" s="2" t="s">
        <v>26</v>
      </c>
      <c r="C199" s="2" t="s">
        <v>27</v>
      </c>
      <c r="D199" s="2" t="s">
        <v>28</v>
      </c>
      <c r="E199" s="2">
        <v>443.52</v>
      </c>
      <c r="F199" s="2">
        <v>10.52</v>
      </c>
      <c r="G199" s="2">
        <v>27.11</v>
      </c>
      <c r="H199" s="2">
        <v>3.2</v>
      </c>
      <c r="I199" s="2">
        <v>0.4</v>
      </c>
      <c r="J199" s="2">
        <v>12</v>
      </c>
      <c r="K199" s="2" t="s">
        <v>34</v>
      </c>
      <c r="L199" s="2">
        <v>9.68</v>
      </c>
      <c r="M199" s="2" t="s">
        <v>22</v>
      </c>
      <c r="N199" s="2">
        <v>61.64</v>
      </c>
      <c r="O199" s="2" t="s">
        <v>30</v>
      </c>
      <c r="P199" s="2">
        <v>9.41</v>
      </c>
      <c r="Q199" s="2">
        <v>7.34</v>
      </c>
      <c r="R199" s="3">
        <f t="shared" si="15"/>
        <v>4173.5231999999996</v>
      </c>
      <c r="S199" s="3">
        <f t="shared" si="16"/>
        <v>3255.4367999999999</v>
      </c>
      <c r="T199" s="3">
        <f t="shared" si="17"/>
        <v>-918.08639999999968</v>
      </c>
      <c r="U199" s="4">
        <f t="shared" si="18"/>
        <v>-0.28201634877384185</v>
      </c>
      <c r="V199" s="5">
        <f t="shared" si="19"/>
        <v>42.932735999999998</v>
      </c>
    </row>
    <row r="200" spans="1:22" x14ac:dyDescent="0.25">
      <c r="A200" s="2" t="s">
        <v>234</v>
      </c>
      <c r="B200" s="2" t="s">
        <v>32</v>
      </c>
      <c r="C200" s="2" t="s">
        <v>33</v>
      </c>
      <c r="D200" s="2" t="s">
        <v>28</v>
      </c>
      <c r="E200" s="2">
        <v>602.14</v>
      </c>
      <c r="F200" s="2">
        <v>17.149999999999999</v>
      </c>
      <c r="G200" s="2">
        <v>20.98</v>
      </c>
      <c r="H200" s="2">
        <v>0.8</v>
      </c>
      <c r="I200" s="2">
        <v>0.2</v>
      </c>
      <c r="J200" s="2">
        <v>28</v>
      </c>
      <c r="K200" s="2" t="s">
        <v>29</v>
      </c>
      <c r="L200" s="2">
        <v>1.99</v>
      </c>
      <c r="M200" s="2" t="s">
        <v>22</v>
      </c>
      <c r="N200" s="2">
        <v>71.41</v>
      </c>
      <c r="O200" s="2" t="s">
        <v>30</v>
      </c>
      <c r="P200" s="2">
        <v>3.35</v>
      </c>
      <c r="Q200" s="2">
        <v>10.78</v>
      </c>
      <c r="R200" s="3">
        <f t="shared" si="15"/>
        <v>2017.1690000000001</v>
      </c>
      <c r="S200" s="3">
        <f t="shared" si="16"/>
        <v>6491.0691999999999</v>
      </c>
      <c r="T200" s="3">
        <f t="shared" si="17"/>
        <v>4473.9002</v>
      </c>
      <c r="U200" s="4">
        <f t="shared" si="18"/>
        <v>0.68923933209647492</v>
      </c>
      <c r="V200" s="5">
        <f t="shared" si="19"/>
        <v>11.982586</v>
      </c>
    </row>
    <row r="201" spans="1:22" x14ac:dyDescent="0.25">
      <c r="A201" s="2" t="s">
        <v>235</v>
      </c>
      <c r="B201" s="2" t="s">
        <v>18</v>
      </c>
      <c r="C201" s="2" t="s">
        <v>43</v>
      </c>
      <c r="D201" s="2" t="s">
        <v>28</v>
      </c>
      <c r="E201" s="2">
        <v>708.84</v>
      </c>
      <c r="F201" s="2">
        <v>10.66</v>
      </c>
      <c r="G201" s="2">
        <v>20.62</v>
      </c>
      <c r="H201" s="2">
        <v>0.4</v>
      </c>
      <c r="I201" s="2">
        <v>1</v>
      </c>
      <c r="J201" s="2">
        <v>29</v>
      </c>
      <c r="K201" s="2" t="s">
        <v>21</v>
      </c>
      <c r="L201" s="2">
        <v>2.27</v>
      </c>
      <c r="M201" s="2" t="s">
        <v>37</v>
      </c>
      <c r="N201" s="2">
        <v>94.5</v>
      </c>
      <c r="O201" s="2" t="s">
        <v>30</v>
      </c>
      <c r="P201" s="2">
        <v>8.68</v>
      </c>
      <c r="Q201" s="2">
        <v>8.61</v>
      </c>
      <c r="R201" s="3">
        <f t="shared" si="15"/>
        <v>6152.7312000000002</v>
      </c>
      <c r="S201" s="3">
        <f t="shared" si="16"/>
        <v>6103.1124</v>
      </c>
      <c r="T201" s="3">
        <f t="shared" si="17"/>
        <v>-49.618800000000192</v>
      </c>
      <c r="U201" s="4">
        <f t="shared" si="18"/>
        <v>-8.1300813008130402E-3</v>
      </c>
      <c r="V201" s="5">
        <f t="shared" si="19"/>
        <v>16.090668000000001</v>
      </c>
    </row>
    <row r="202" spans="1:22" x14ac:dyDescent="0.25">
      <c r="A202" s="2" t="s">
        <v>236</v>
      </c>
      <c r="B202" s="2" t="s">
        <v>18</v>
      </c>
      <c r="C202" s="2" t="s">
        <v>43</v>
      </c>
      <c r="D202" s="2" t="s">
        <v>20</v>
      </c>
      <c r="E202" s="2">
        <v>341.4</v>
      </c>
      <c r="F202" s="2">
        <v>16.96</v>
      </c>
      <c r="G202" s="2">
        <v>31.08</v>
      </c>
      <c r="H202" s="2">
        <v>0</v>
      </c>
      <c r="I202" s="2">
        <v>3</v>
      </c>
      <c r="J202" s="2">
        <v>12</v>
      </c>
      <c r="K202" s="2" t="s">
        <v>21</v>
      </c>
      <c r="L202" s="2">
        <v>9.3000000000000007</v>
      </c>
      <c r="M202" s="2" t="s">
        <v>22</v>
      </c>
      <c r="N202" s="2">
        <v>50.95</v>
      </c>
      <c r="O202" s="2" t="s">
        <v>23</v>
      </c>
      <c r="P202" s="2">
        <v>3.46</v>
      </c>
      <c r="Q202" s="2">
        <v>11.63</v>
      </c>
      <c r="R202" s="3">
        <f t="shared" si="15"/>
        <v>1181.2439999999999</v>
      </c>
      <c r="S202" s="3">
        <f t="shared" si="16"/>
        <v>3970.482</v>
      </c>
      <c r="T202" s="3">
        <f t="shared" si="17"/>
        <v>2789.2380000000003</v>
      </c>
      <c r="U202" s="4">
        <f t="shared" si="18"/>
        <v>0.70249355116079115</v>
      </c>
      <c r="V202" s="5">
        <f t="shared" si="19"/>
        <v>31.7502</v>
      </c>
    </row>
    <row r="203" spans="1:22" x14ac:dyDescent="0.25">
      <c r="A203" s="2" t="s">
        <v>237</v>
      </c>
      <c r="B203" s="2" t="s">
        <v>26</v>
      </c>
      <c r="C203" s="2" t="s">
        <v>33</v>
      </c>
      <c r="D203" s="2" t="s">
        <v>20</v>
      </c>
      <c r="E203" s="2">
        <v>312.01</v>
      </c>
      <c r="F203" s="2">
        <v>9.0299999999999994</v>
      </c>
      <c r="G203" s="2">
        <v>35.24</v>
      </c>
      <c r="H203" s="2">
        <v>1.2</v>
      </c>
      <c r="I203" s="2">
        <v>5.7</v>
      </c>
      <c r="J203" s="2">
        <v>1</v>
      </c>
      <c r="K203" s="2" t="s">
        <v>21</v>
      </c>
      <c r="L203" s="2">
        <v>7.2</v>
      </c>
      <c r="M203" s="2" t="s">
        <v>22</v>
      </c>
      <c r="N203" s="2">
        <v>70.72</v>
      </c>
      <c r="O203" s="2" t="s">
        <v>30</v>
      </c>
      <c r="P203" s="2">
        <v>3.89</v>
      </c>
      <c r="Q203" s="2">
        <v>10.65</v>
      </c>
      <c r="R203" s="3">
        <f t="shared" si="15"/>
        <v>1213.7189000000001</v>
      </c>
      <c r="S203" s="3">
        <f t="shared" si="16"/>
        <v>3322.9065000000001</v>
      </c>
      <c r="T203" s="3">
        <f t="shared" si="17"/>
        <v>2109.1876000000002</v>
      </c>
      <c r="U203" s="4">
        <f t="shared" si="18"/>
        <v>0.63474178403755876</v>
      </c>
      <c r="V203" s="5">
        <f t="shared" si="19"/>
        <v>22.464720000000003</v>
      </c>
    </row>
    <row r="204" spans="1:22" x14ac:dyDescent="0.25">
      <c r="A204" s="2" t="s">
        <v>238</v>
      </c>
      <c r="B204" s="2" t="s">
        <v>18</v>
      </c>
      <c r="C204" s="2" t="s">
        <v>19</v>
      </c>
      <c r="D204" s="2" t="s">
        <v>20</v>
      </c>
      <c r="E204" s="2">
        <v>687.1</v>
      </c>
      <c r="F204" s="2">
        <v>14.57</v>
      </c>
      <c r="G204" s="2">
        <v>30.75</v>
      </c>
      <c r="H204" s="2">
        <v>0.9</v>
      </c>
      <c r="I204" s="2">
        <v>0.5</v>
      </c>
      <c r="J204" s="2">
        <v>20</v>
      </c>
      <c r="K204" s="2" t="s">
        <v>21</v>
      </c>
      <c r="L204" s="2">
        <v>1.94</v>
      </c>
      <c r="M204" s="2" t="s">
        <v>22</v>
      </c>
      <c r="N204" s="2">
        <v>63.34</v>
      </c>
      <c r="O204" s="2" t="s">
        <v>24</v>
      </c>
      <c r="P204" s="2">
        <v>3.84</v>
      </c>
      <c r="Q204" s="2">
        <v>14.24</v>
      </c>
      <c r="R204" s="3">
        <f t="shared" si="15"/>
        <v>2638.4639999999999</v>
      </c>
      <c r="S204" s="3">
        <f t="shared" si="16"/>
        <v>9784.3040000000001</v>
      </c>
      <c r="T204" s="3">
        <f t="shared" si="17"/>
        <v>7145.84</v>
      </c>
      <c r="U204" s="4">
        <f t="shared" si="18"/>
        <v>0.7303370786516854</v>
      </c>
      <c r="V204" s="5">
        <f t="shared" si="19"/>
        <v>13.329739999999999</v>
      </c>
    </row>
    <row r="205" spans="1:22" x14ac:dyDescent="0.25">
      <c r="A205" s="2" t="s">
        <v>239</v>
      </c>
      <c r="B205" s="2" t="s">
        <v>32</v>
      </c>
      <c r="C205" s="2" t="s">
        <v>19</v>
      </c>
      <c r="D205" s="2" t="s">
        <v>20</v>
      </c>
      <c r="E205" s="2">
        <v>538.96</v>
      </c>
      <c r="F205" s="2">
        <v>17.07</v>
      </c>
      <c r="G205" s="2">
        <v>36.82</v>
      </c>
      <c r="H205" s="2">
        <v>1.6</v>
      </c>
      <c r="I205" s="2">
        <v>0.9</v>
      </c>
      <c r="J205" s="2">
        <v>8</v>
      </c>
      <c r="K205" s="2" t="s">
        <v>34</v>
      </c>
      <c r="L205" s="2">
        <v>4.24</v>
      </c>
      <c r="M205" s="2" t="s">
        <v>22</v>
      </c>
      <c r="N205" s="2">
        <v>59.93</v>
      </c>
      <c r="O205" s="2" t="s">
        <v>24</v>
      </c>
      <c r="P205" s="2">
        <v>9.9600000000000009</v>
      </c>
      <c r="Q205" s="2">
        <v>6.02</v>
      </c>
      <c r="R205" s="3">
        <f t="shared" si="15"/>
        <v>5368.0416000000005</v>
      </c>
      <c r="S205" s="3">
        <f t="shared" si="16"/>
        <v>3244.5392000000002</v>
      </c>
      <c r="T205" s="3">
        <f t="shared" si="17"/>
        <v>-2123.5024000000003</v>
      </c>
      <c r="U205" s="4">
        <f t="shared" si="18"/>
        <v>-0.65448504983388711</v>
      </c>
      <c r="V205" s="5">
        <f t="shared" si="19"/>
        <v>22.851904000000005</v>
      </c>
    </row>
    <row r="206" spans="1:22" x14ac:dyDescent="0.25">
      <c r="A206" s="2" t="s">
        <v>240</v>
      </c>
      <c r="B206" s="2" t="s">
        <v>26</v>
      </c>
      <c r="C206" s="2" t="s">
        <v>43</v>
      </c>
      <c r="D206" s="2" t="s">
        <v>20</v>
      </c>
      <c r="E206" s="2">
        <v>413.17</v>
      </c>
      <c r="F206" s="2">
        <v>9.69</v>
      </c>
      <c r="G206" s="2">
        <v>20.67</v>
      </c>
      <c r="H206" s="2">
        <v>0.4</v>
      </c>
      <c r="I206" s="2">
        <v>1.9</v>
      </c>
      <c r="J206" s="2">
        <v>17</v>
      </c>
      <c r="K206" s="2" t="s">
        <v>29</v>
      </c>
      <c r="L206" s="2">
        <v>1.03</v>
      </c>
      <c r="M206" s="2" t="s">
        <v>22</v>
      </c>
      <c r="N206" s="2">
        <v>91.93</v>
      </c>
      <c r="O206" s="2" t="s">
        <v>30</v>
      </c>
      <c r="P206" s="2">
        <v>4.26</v>
      </c>
      <c r="Q206" s="2">
        <v>7.21</v>
      </c>
      <c r="R206" s="3">
        <f t="shared" si="15"/>
        <v>1760.1042</v>
      </c>
      <c r="S206" s="3">
        <f t="shared" si="16"/>
        <v>2978.9557</v>
      </c>
      <c r="T206" s="3">
        <f t="shared" si="17"/>
        <v>1218.8515</v>
      </c>
      <c r="U206" s="4">
        <f t="shared" si="18"/>
        <v>0.40915395284327322</v>
      </c>
      <c r="V206" s="5">
        <f t="shared" si="19"/>
        <v>4.2556510000000003</v>
      </c>
    </row>
    <row r="207" spans="1:22" x14ac:dyDescent="0.25">
      <c r="A207" s="2" t="s">
        <v>241</v>
      </c>
      <c r="B207" s="2" t="s">
        <v>32</v>
      </c>
      <c r="C207" s="2" t="s">
        <v>43</v>
      </c>
      <c r="D207" s="2" t="s">
        <v>20</v>
      </c>
      <c r="E207" s="2">
        <v>553.46</v>
      </c>
      <c r="F207" s="2">
        <v>17.68</v>
      </c>
      <c r="G207" s="2">
        <v>27.34</v>
      </c>
      <c r="H207" s="2">
        <v>3.9</v>
      </c>
      <c r="I207" s="2">
        <v>0.1</v>
      </c>
      <c r="J207" s="2">
        <v>21</v>
      </c>
      <c r="K207" s="2" t="s">
        <v>34</v>
      </c>
      <c r="L207" s="2">
        <v>4.6100000000000003</v>
      </c>
      <c r="M207" s="2" t="s">
        <v>22</v>
      </c>
      <c r="N207" s="2">
        <v>84.82</v>
      </c>
      <c r="O207" s="2" t="s">
        <v>24</v>
      </c>
      <c r="P207" s="2">
        <v>9.2799999999999994</v>
      </c>
      <c r="Q207" s="2">
        <v>12.66</v>
      </c>
      <c r="R207" s="3">
        <f t="shared" si="15"/>
        <v>5136.1088</v>
      </c>
      <c r="S207" s="3">
        <f t="shared" si="16"/>
        <v>7006.8036000000002</v>
      </c>
      <c r="T207" s="3">
        <f t="shared" si="17"/>
        <v>1870.6948000000002</v>
      </c>
      <c r="U207" s="4">
        <f t="shared" si="18"/>
        <v>0.26698262243285942</v>
      </c>
      <c r="V207" s="5">
        <f t="shared" si="19"/>
        <v>25.514506000000001</v>
      </c>
    </row>
    <row r="208" spans="1:22" x14ac:dyDescent="0.25">
      <c r="A208" s="2" t="s">
        <v>242</v>
      </c>
      <c r="B208" s="2" t="s">
        <v>26</v>
      </c>
      <c r="C208" s="2" t="s">
        <v>19</v>
      </c>
      <c r="D208" s="2" t="s">
        <v>20</v>
      </c>
      <c r="E208" s="2">
        <v>236.43</v>
      </c>
      <c r="F208" s="2">
        <v>12.53</v>
      </c>
      <c r="G208" s="2">
        <v>24.74</v>
      </c>
      <c r="H208" s="2">
        <v>0.6</v>
      </c>
      <c r="I208" s="2">
        <v>1.2</v>
      </c>
      <c r="J208" s="2">
        <v>28</v>
      </c>
      <c r="K208" s="2" t="s">
        <v>21</v>
      </c>
      <c r="L208" s="2">
        <v>7.89</v>
      </c>
      <c r="M208" s="2" t="s">
        <v>37</v>
      </c>
      <c r="N208" s="2">
        <v>55.63</v>
      </c>
      <c r="O208" s="2" t="s">
        <v>24</v>
      </c>
      <c r="P208" s="2">
        <v>9.94</v>
      </c>
      <c r="Q208" s="2">
        <v>8.69</v>
      </c>
      <c r="R208" s="3">
        <f t="shared" si="15"/>
        <v>2350.1142</v>
      </c>
      <c r="S208" s="3">
        <f t="shared" si="16"/>
        <v>2054.5767000000001</v>
      </c>
      <c r="T208" s="3">
        <f t="shared" si="17"/>
        <v>-295.53749999999991</v>
      </c>
      <c r="U208" s="4">
        <f t="shared" si="18"/>
        <v>-0.14384349827387796</v>
      </c>
      <c r="V208" s="5">
        <f t="shared" si="19"/>
        <v>18.654327000000002</v>
      </c>
    </row>
    <row r="209" spans="1:22" x14ac:dyDescent="0.25">
      <c r="A209" s="2" t="s">
        <v>243</v>
      </c>
      <c r="B209" s="2" t="s">
        <v>26</v>
      </c>
      <c r="C209" s="2" t="s">
        <v>27</v>
      </c>
      <c r="D209" s="2" t="s">
        <v>20</v>
      </c>
      <c r="E209" s="2">
        <v>500.34</v>
      </c>
      <c r="F209" s="2">
        <v>17.46</v>
      </c>
      <c r="G209" s="2">
        <v>28.95</v>
      </c>
      <c r="H209" s="2">
        <v>0.5</v>
      </c>
      <c r="I209" s="2">
        <v>0.5</v>
      </c>
      <c r="J209" s="2">
        <v>20</v>
      </c>
      <c r="K209" s="2" t="s">
        <v>21</v>
      </c>
      <c r="L209" s="2">
        <v>5.76</v>
      </c>
      <c r="M209" s="2" t="s">
        <v>22</v>
      </c>
      <c r="N209" s="2">
        <v>74.72</v>
      </c>
      <c r="O209" s="2" t="s">
        <v>30</v>
      </c>
      <c r="P209" s="2">
        <v>5.69</v>
      </c>
      <c r="Q209" s="2">
        <v>6.66</v>
      </c>
      <c r="R209" s="3">
        <f t="shared" si="15"/>
        <v>2846.9346</v>
      </c>
      <c r="S209" s="3">
        <f t="shared" si="16"/>
        <v>3332.2644</v>
      </c>
      <c r="T209" s="3">
        <f t="shared" si="17"/>
        <v>485.32979999999998</v>
      </c>
      <c r="U209" s="4">
        <f t="shared" si="18"/>
        <v>0.14564564564564564</v>
      </c>
      <c r="V209" s="5">
        <f t="shared" si="19"/>
        <v>28.819583999999995</v>
      </c>
    </row>
    <row r="210" spans="1:22" x14ac:dyDescent="0.25">
      <c r="A210" s="2" t="s">
        <v>244</v>
      </c>
      <c r="B210" s="2" t="s">
        <v>45</v>
      </c>
      <c r="C210" s="2" t="s">
        <v>33</v>
      </c>
      <c r="D210" s="2" t="s">
        <v>20</v>
      </c>
      <c r="E210" s="2">
        <v>532.78</v>
      </c>
      <c r="F210" s="2">
        <v>14.77</v>
      </c>
      <c r="G210" s="2">
        <v>21.45</v>
      </c>
      <c r="H210" s="2">
        <v>1.3</v>
      </c>
      <c r="I210" s="2">
        <v>0.2</v>
      </c>
      <c r="J210" s="2">
        <v>22</v>
      </c>
      <c r="K210" s="2" t="s">
        <v>29</v>
      </c>
      <c r="L210" s="2">
        <v>6.65</v>
      </c>
      <c r="M210" s="2" t="s">
        <v>22</v>
      </c>
      <c r="N210" s="2">
        <v>73.349999999999994</v>
      </c>
      <c r="O210" s="2" t="s">
        <v>23</v>
      </c>
      <c r="P210" s="2">
        <v>7.42</v>
      </c>
      <c r="Q210" s="2">
        <v>10.029999999999999</v>
      </c>
      <c r="R210" s="3">
        <f t="shared" si="15"/>
        <v>3953.2275999999997</v>
      </c>
      <c r="S210" s="3">
        <f t="shared" si="16"/>
        <v>5343.7833999999993</v>
      </c>
      <c r="T210" s="3">
        <f t="shared" si="17"/>
        <v>1390.5557999999996</v>
      </c>
      <c r="U210" s="4">
        <f t="shared" si="18"/>
        <v>0.26021934197407776</v>
      </c>
      <c r="V210" s="5">
        <f t="shared" si="19"/>
        <v>35.429870000000001</v>
      </c>
    </row>
    <row r="211" spans="1:22" x14ac:dyDescent="0.25">
      <c r="A211" s="2" t="s">
        <v>245</v>
      </c>
      <c r="B211" s="2" t="s">
        <v>32</v>
      </c>
      <c r="C211" s="2" t="s">
        <v>43</v>
      </c>
      <c r="D211" s="2" t="s">
        <v>20</v>
      </c>
      <c r="E211" s="2">
        <v>592.42999999999995</v>
      </c>
      <c r="F211" s="2">
        <v>11.02</v>
      </c>
      <c r="G211" s="2">
        <v>39.08</v>
      </c>
      <c r="H211" s="2">
        <v>1.4</v>
      </c>
      <c r="I211" s="2">
        <v>0.5</v>
      </c>
      <c r="J211" s="2">
        <v>7</v>
      </c>
      <c r="K211" s="2" t="s">
        <v>29</v>
      </c>
      <c r="L211" s="2">
        <v>3.6</v>
      </c>
      <c r="M211" s="2" t="s">
        <v>37</v>
      </c>
      <c r="N211" s="2">
        <v>57.13</v>
      </c>
      <c r="O211" s="2" t="s">
        <v>23</v>
      </c>
      <c r="P211" s="2">
        <v>8.4499999999999993</v>
      </c>
      <c r="Q211" s="2">
        <v>11.52</v>
      </c>
      <c r="R211" s="3">
        <f t="shared" si="15"/>
        <v>5006.0334999999995</v>
      </c>
      <c r="S211" s="3">
        <f t="shared" si="16"/>
        <v>6824.7935999999991</v>
      </c>
      <c r="T211" s="3">
        <f t="shared" si="17"/>
        <v>1818.7600999999995</v>
      </c>
      <c r="U211" s="4">
        <f t="shared" si="18"/>
        <v>0.26649305555555552</v>
      </c>
      <c r="V211" s="5">
        <f t="shared" si="19"/>
        <v>21.327480000000001</v>
      </c>
    </row>
    <row r="212" spans="1:22" x14ac:dyDescent="0.25">
      <c r="A212" s="2" t="s">
        <v>246</v>
      </c>
      <c r="B212" s="2" t="s">
        <v>18</v>
      </c>
      <c r="C212" s="2" t="s">
        <v>43</v>
      </c>
      <c r="D212" s="2" t="s">
        <v>28</v>
      </c>
      <c r="E212" s="2">
        <v>398.61</v>
      </c>
      <c r="F212" s="2">
        <v>9.8800000000000008</v>
      </c>
      <c r="G212" s="2">
        <v>24.47</v>
      </c>
      <c r="H212" s="2">
        <v>0.5</v>
      </c>
      <c r="I212" s="2">
        <v>0.1</v>
      </c>
      <c r="J212" s="2">
        <v>9</v>
      </c>
      <c r="K212" s="2" t="s">
        <v>34</v>
      </c>
      <c r="L212" s="2">
        <v>2.0299999999999998</v>
      </c>
      <c r="M212" s="2" t="s">
        <v>37</v>
      </c>
      <c r="N212" s="2">
        <v>89.99</v>
      </c>
      <c r="O212" s="2" t="s">
        <v>23</v>
      </c>
      <c r="P212" s="2">
        <v>5.75</v>
      </c>
      <c r="Q212" s="2">
        <v>5.45</v>
      </c>
      <c r="R212" s="3">
        <f t="shared" si="15"/>
        <v>2292.0075000000002</v>
      </c>
      <c r="S212" s="3">
        <f t="shared" si="16"/>
        <v>2172.4245000000001</v>
      </c>
      <c r="T212" s="3">
        <f t="shared" si="17"/>
        <v>-119.58300000000008</v>
      </c>
      <c r="U212" s="4">
        <f t="shared" si="18"/>
        <v>-5.5045871559633065E-2</v>
      </c>
      <c r="V212" s="5">
        <f t="shared" si="19"/>
        <v>8.0917829999999995</v>
      </c>
    </row>
    <row r="213" spans="1:22" x14ac:dyDescent="0.25">
      <c r="A213" s="2" t="s">
        <v>247</v>
      </c>
      <c r="B213" s="2" t="s">
        <v>18</v>
      </c>
      <c r="C213" s="2" t="s">
        <v>19</v>
      </c>
      <c r="D213" s="2" t="s">
        <v>20</v>
      </c>
      <c r="E213" s="2">
        <v>508.57</v>
      </c>
      <c r="F213" s="2">
        <v>11.04</v>
      </c>
      <c r="G213" s="2">
        <v>38.450000000000003</v>
      </c>
      <c r="H213" s="2">
        <v>0.6</v>
      </c>
      <c r="I213" s="2">
        <v>1.2</v>
      </c>
      <c r="J213" s="2">
        <v>17</v>
      </c>
      <c r="K213" s="2" t="s">
        <v>29</v>
      </c>
      <c r="L213" s="2">
        <v>0.62</v>
      </c>
      <c r="M213" s="2" t="s">
        <v>40</v>
      </c>
      <c r="N213" s="2">
        <v>68.33</v>
      </c>
      <c r="O213" s="2" t="s">
        <v>30</v>
      </c>
      <c r="P213" s="2">
        <v>4.13</v>
      </c>
      <c r="Q213" s="2">
        <v>7.92</v>
      </c>
      <c r="R213" s="3">
        <f t="shared" si="15"/>
        <v>2100.3941</v>
      </c>
      <c r="S213" s="3">
        <f t="shared" si="16"/>
        <v>4027.8743999999997</v>
      </c>
      <c r="T213" s="3">
        <f t="shared" si="17"/>
        <v>1927.4802999999997</v>
      </c>
      <c r="U213" s="4">
        <f t="shared" si="18"/>
        <v>0.47853535353535348</v>
      </c>
      <c r="V213" s="5">
        <f t="shared" si="19"/>
        <v>3.1531340000000001</v>
      </c>
    </row>
    <row r="214" spans="1:22" x14ac:dyDescent="0.25">
      <c r="A214" s="2" t="s">
        <v>248</v>
      </c>
      <c r="B214" s="2" t="s">
        <v>32</v>
      </c>
      <c r="C214" s="2" t="s">
        <v>33</v>
      </c>
      <c r="D214" s="2" t="s">
        <v>28</v>
      </c>
      <c r="E214" s="2">
        <v>407.46</v>
      </c>
      <c r="F214" s="2">
        <v>8.93</v>
      </c>
      <c r="G214" s="2">
        <v>28.52</v>
      </c>
      <c r="H214" s="2">
        <v>0.4</v>
      </c>
      <c r="I214" s="2">
        <v>0.3</v>
      </c>
      <c r="J214" s="2">
        <v>27</v>
      </c>
      <c r="K214" s="2" t="s">
        <v>34</v>
      </c>
      <c r="L214" s="2">
        <v>8.3000000000000007</v>
      </c>
      <c r="M214" s="2" t="s">
        <v>37</v>
      </c>
      <c r="N214" s="2">
        <v>88.1</v>
      </c>
      <c r="O214" s="2" t="s">
        <v>23</v>
      </c>
      <c r="P214" s="2">
        <v>6.04</v>
      </c>
      <c r="Q214" s="2">
        <v>13.09</v>
      </c>
      <c r="R214" s="3">
        <f t="shared" si="15"/>
        <v>2461.0583999999999</v>
      </c>
      <c r="S214" s="3">
        <f t="shared" si="16"/>
        <v>5333.6513999999997</v>
      </c>
      <c r="T214" s="3">
        <f t="shared" si="17"/>
        <v>2872.5929999999998</v>
      </c>
      <c r="U214" s="4">
        <f t="shared" si="18"/>
        <v>0.53857906799083266</v>
      </c>
      <c r="V214" s="5">
        <f t="shared" si="19"/>
        <v>33.819180000000003</v>
      </c>
    </row>
    <row r="215" spans="1:22" x14ac:dyDescent="0.25">
      <c r="A215" s="2" t="s">
        <v>249</v>
      </c>
      <c r="B215" s="2" t="s">
        <v>18</v>
      </c>
      <c r="C215" s="2" t="s">
        <v>19</v>
      </c>
      <c r="D215" s="2" t="s">
        <v>28</v>
      </c>
      <c r="E215" s="2">
        <v>525.54</v>
      </c>
      <c r="F215" s="2">
        <v>9.44</v>
      </c>
      <c r="G215" s="2">
        <v>39.71</v>
      </c>
      <c r="H215" s="2">
        <v>2.5</v>
      </c>
      <c r="I215" s="2">
        <v>0.4</v>
      </c>
      <c r="J215" s="2">
        <v>10</v>
      </c>
      <c r="K215" s="2" t="s">
        <v>34</v>
      </c>
      <c r="L215" s="2">
        <v>6.55</v>
      </c>
      <c r="M215" s="2" t="s">
        <v>37</v>
      </c>
      <c r="N215" s="2">
        <v>59.6</v>
      </c>
      <c r="O215" s="2" t="s">
        <v>23</v>
      </c>
      <c r="P215" s="2">
        <v>8.4</v>
      </c>
      <c r="Q215" s="2">
        <v>10.199999999999999</v>
      </c>
      <c r="R215" s="3">
        <f t="shared" si="15"/>
        <v>4414.5360000000001</v>
      </c>
      <c r="S215" s="3">
        <f t="shared" si="16"/>
        <v>5360.5079999999989</v>
      </c>
      <c r="T215" s="3">
        <f t="shared" si="17"/>
        <v>945.97199999999884</v>
      </c>
      <c r="U215" s="4">
        <f t="shared" si="18"/>
        <v>0.17647058823529393</v>
      </c>
      <c r="V215" s="5">
        <f t="shared" si="19"/>
        <v>34.422869999999996</v>
      </c>
    </row>
    <row r="216" spans="1:22" x14ac:dyDescent="0.25">
      <c r="A216" s="2" t="s">
        <v>250</v>
      </c>
      <c r="B216" s="2" t="s">
        <v>18</v>
      </c>
      <c r="C216" s="2" t="s">
        <v>33</v>
      </c>
      <c r="D216" s="2" t="s">
        <v>28</v>
      </c>
      <c r="E216" s="2">
        <v>410.47</v>
      </c>
      <c r="F216" s="2">
        <v>9.0500000000000007</v>
      </c>
      <c r="G216" s="2">
        <v>31.08</v>
      </c>
      <c r="H216" s="2">
        <v>2.9</v>
      </c>
      <c r="I216" s="2">
        <v>0.1</v>
      </c>
      <c r="J216" s="2">
        <v>4</v>
      </c>
      <c r="K216" s="2" t="s">
        <v>21</v>
      </c>
      <c r="L216" s="2">
        <v>2.68</v>
      </c>
      <c r="M216" s="2" t="s">
        <v>22</v>
      </c>
      <c r="N216" s="2">
        <v>65.75</v>
      </c>
      <c r="O216" s="2" t="s">
        <v>24</v>
      </c>
      <c r="P216" s="2">
        <v>8.4700000000000006</v>
      </c>
      <c r="Q216" s="2">
        <v>5.35</v>
      </c>
      <c r="R216" s="3">
        <f t="shared" si="15"/>
        <v>3476.6809000000003</v>
      </c>
      <c r="S216" s="3">
        <f t="shared" si="16"/>
        <v>2196.0145000000002</v>
      </c>
      <c r="T216" s="3">
        <f t="shared" si="17"/>
        <v>-1280.6664000000001</v>
      </c>
      <c r="U216" s="4">
        <f t="shared" si="18"/>
        <v>-0.58317757009345794</v>
      </c>
      <c r="V216" s="5">
        <f t="shared" si="19"/>
        <v>11.000596</v>
      </c>
    </row>
    <row r="217" spans="1:22" x14ac:dyDescent="0.25">
      <c r="A217" s="2" t="s">
        <v>251</v>
      </c>
      <c r="B217" s="2" t="s">
        <v>32</v>
      </c>
      <c r="C217" s="2" t="s">
        <v>33</v>
      </c>
      <c r="D217" s="2" t="s">
        <v>28</v>
      </c>
      <c r="E217" s="2">
        <v>459.19</v>
      </c>
      <c r="F217" s="2">
        <v>12.23</v>
      </c>
      <c r="G217" s="2">
        <v>38.619999999999997</v>
      </c>
      <c r="H217" s="2">
        <v>1.2</v>
      </c>
      <c r="I217" s="2">
        <v>2</v>
      </c>
      <c r="J217" s="2">
        <v>22</v>
      </c>
      <c r="K217" s="2" t="s">
        <v>34</v>
      </c>
      <c r="L217" s="2">
        <v>4.4800000000000004</v>
      </c>
      <c r="M217" s="2" t="s">
        <v>40</v>
      </c>
      <c r="N217" s="2">
        <v>54.76</v>
      </c>
      <c r="O217" s="2" t="s">
        <v>23</v>
      </c>
      <c r="P217" s="2">
        <v>4.6100000000000003</v>
      </c>
      <c r="Q217" s="2">
        <v>7.82</v>
      </c>
      <c r="R217" s="3">
        <f t="shared" si="15"/>
        <v>2116.8659000000002</v>
      </c>
      <c r="S217" s="3">
        <f t="shared" si="16"/>
        <v>3590.8658</v>
      </c>
      <c r="T217" s="3">
        <f t="shared" si="17"/>
        <v>1473.9998999999998</v>
      </c>
      <c r="U217" s="4">
        <f t="shared" si="18"/>
        <v>0.41048593350383628</v>
      </c>
      <c r="V217" s="5">
        <f t="shared" si="19"/>
        <v>20.571712000000002</v>
      </c>
    </row>
    <row r="218" spans="1:22" x14ac:dyDescent="0.25">
      <c r="A218" s="2" t="s">
        <v>252</v>
      </c>
      <c r="B218" s="2" t="s">
        <v>26</v>
      </c>
      <c r="C218" s="2" t="s">
        <v>33</v>
      </c>
      <c r="D218" s="2" t="s">
        <v>20</v>
      </c>
      <c r="E218" s="2">
        <v>400.42</v>
      </c>
      <c r="F218" s="2">
        <v>15.96</v>
      </c>
      <c r="G218" s="2">
        <v>20.11</v>
      </c>
      <c r="H218" s="2">
        <v>2.5</v>
      </c>
      <c r="I218" s="2">
        <v>0.7</v>
      </c>
      <c r="J218" s="2">
        <v>26</v>
      </c>
      <c r="K218" s="2" t="s">
        <v>21</v>
      </c>
      <c r="L218" s="2">
        <v>8.11</v>
      </c>
      <c r="M218" s="2" t="s">
        <v>22</v>
      </c>
      <c r="N218" s="2">
        <v>57.17</v>
      </c>
      <c r="O218" s="2" t="s">
        <v>30</v>
      </c>
      <c r="P218" s="2">
        <v>4.22</v>
      </c>
      <c r="Q218" s="2">
        <v>11.39</v>
      </c>
      <c r="R218" s="3">
        <f t="shared" si="15"/>
        <v>1689.7724000000001</v>
      </c>
      <c r="S218" s="3">
        <f t="shared" si="16"/>
        <v>4560.7838000000002</v>
      </c>
      <c r="T218" s="3">
        <f t="shared" si="17"/>
        <v>2871.0114000000003</v>
      </c>
      <c r="U218" s="4">
        <f t="shared" si="18"/>
        <v>0.62949956101843729</v>
      </c>
      <c r="V218" s="5">
        <f t="shared" si="19"/>
        <v>32.474061999999996</v>
      </c>
    </row>
    <row r="219" spans="1:22" x14ac:dyDescent="0.25">
      <c r="A219" s="2" t="s">
        <v>253</v>
      </c>
      <c r="B219" s="2" t="s">
        <v>32</v>
      </c>
      <c r="C219" s="2" t="s">
        <v>43</v>
      </c>
      <c r="D219" s="2" t="s">
        <v>28</v>
      </c>
      <c r="E219" s="2">
        <v>565.11</v>
      </c>
      <c r="F219" s="2">
        <v>9.41</v>
      </c>
      <c r="G219" s="2">
        <v>34.96</v>
      </c>
      <c r="H219" s="2">
        <v>2.7</v>
      </c>
      <c r="I219" s="2">
        <v>0.8</v>
      </c>
      <c r="J219" s="2">
        <v>7</v>
      </c>
      <c r="K219" s="2" t="s">
        <v>34</v>
      </c>
      <c r="L219" s="2">
        <v>5.62</v>
      </c>
      <c r="M219" s="2" t="s">
        <v>40</v>
      </c>
      <c r="N219" s="2">
        <v>94.16</v>
      </c>
      <c r="O219" s="2" t="s">
        <v>23</v>
      </c>
      <c r="P219" s="2">
        <v>9.44</v>
      </c>
      <c r="Q219" s="2">
        <v>6.99</v>
      </c>
      <c r="R219" s="3">
        <f t="shared" si="15"/>
        <v>5334.6383999999998</v>
      </c>
      <c r="S219" s="3">
        <f t="shared" si="16"/>
        <v>3950.1189000000004</v>
      </c>
      <c r="T219" s="3">
        <f t="shared" si="17"/>
        <v>-1384.5194999999994</v>
      </c>
      <c r="U219" s="4">
        <f t="shared" si="18"/>
        <v>-0.35050071530758209</v>
      </c>
      <c r="V219" s="5">
        <f t="shared" si="19"/>
        <v>31.759181999999999</v>
      </c>
    </row>
    <row r="220" spans="1:22" x14ac:dyDescent="0.25">
      <c r="A220" s="2" t="s">
        <v>254</v>
      </c>
      <c r="B220" s="2" t="s">
        <v>26</v>
      </c>
      <c r="C220" s="2" t="s">
        <v>27</v>
      </c>
      <c r="D220" s="2" t="s">
        <v>20</v>
      </c>
      <c r="E220" s="2">
        <v>585.85</v>
      </c>
      <c r="F220" s="2">
        <v>9.3000000000000007</v>
      </c>
      <c r="G220" s="2">
        <v>38.06</v>
      </c>
      <c r="H220" s="2">
        <v>0.3</v>
      </c>
      <c r="I220" s="2">
        <v>0.8</v>
      </c>
      <c r="J220" s="2">
        <v>7</v>
      </c>
      <c r="K220" s="2" t="s">
        <v>34</v>
      </c>
      <c r="L220" s="2">
        <v>3.35</v>
      </c>
      <c r="M220" s="2" t="s">
        <v>22</v>
      </c>
      <c r="N220" s="2">
        <v>55.46</v>
      </c>
      <c r="O220" s="2" t="s">
        <v>24</v>
      </c>
      <c r="P220" s="2">
        <v>3.31</v>
      </c>
      <c r="Q220" s="2">
        <v>13.27</v>
      </c>
      <c r="R220" s="3">
        <f t="shared" si="15"/>
        <v>1939.1635000000001</v>
      </c>
      <c r="S220" s="3">
        <f t="shared" si="16"/>
        <v>7774.2295000000004</v>
      </c>
      <c r="T220" s="3">
        <f t="shared" si="17"/>
        <v>5835.0660000000007</v>
      </c>
      <c r="U220" s="4">
        <f t="shared" si="18"/>
        <v>0.75056518462697819</v>
      </c>
      <c r="V220" s="5">
        <f t="shared" si="19"/>
        <v>19.625975</v>
      </c>
    </row>
    <row r="221" spans="1:22" x14ac:dyDescent="0.25">
      <c r="A221" s="2" t="s">
        <v>255</v>
      </c>
      <c r="B221" s="2" t="s">
        <v>18</v>
      </c>
      <c r="C221" s="2" t="s">
        <v>19</v>
      </c>
      <c r="D221" s="2" t="s">
        <v>20</v>
      </c>
      <c r="E221" s="2">
        <v>476.54</v>
      </c>
      <c r="F221" s="2">
        <v>14.43</v>
      </c>
      <c r="G221" s="2">
        <v>22.79</v>
      </c>
      <c r="H221" s="2">
        <v>6.8</v>
      </c>
      <c r="I221" s="2">
        <v>0.5</v>
      </c>
      <c r="J221" s="2">
        <v>8</v>
      </c>
      <c r="K221" s="2" t="s">
        <v>29</v>
      </c>
      <c r="L221" s="2">
        <v>3.04</v>
      </c>
      <c r="M221" s="2" t="s">
        <v>37</v>
      </c>
      <c r="N221" s="2">
        <v>54.79</v>
      </c>
      <c r="O221" s="2" t="s">
        <v>24</v>
      </c>
      <c r="P221" s="2">
        <v>8.14</v>
      </c>
      <c r="Q221" s="2">
        <v>11.77</v>
      </c>
      <c r="R221" s="3">
        <f t="shared" si="15"/>
        <v>3879.0356000000006</v>
      </c>
      <c r="S221" s="3">
        <f t="shared" si="16"/>
        <v>5608.8757999999998</v>
      </c>
      <c r="T221" s="3">
        <f t="shared" si="17"/>
        <v>1729.8401999999992</v>
      </c>
      <c r="U221" s="4">
        <f t="shared" si="18"/>
        <v>0.3084112149532709</v>
      </c>
      <c r="V221" s="5">
        <f t="shared" si="19"/>
        <v>14.486816000000001</v>
      </c>
    </row>
    <row r="222" spans="1:22" x14ac:dyDescent="0.25">
      <c r="A222" s="2" t="s">
        <v>256</v>
      </c>
      <c r="B222" s="2" t="s">
        <v>18</v>
      </c>
      <c r="C222" s="2" t="s">
        <v>27</v>
      </c>
      <c r="D222" s="2" t="s">
        <v>28</v>
      </c>
      <c r="E222" s="2">
        <v>503.82</v>
      </c>
      <c r="F222" s="2">
        <v>9.9700000000000006</v>
      </c>
      <c r="G222" s="2">
        <v>21.92</v>
      </c>
      <c r="H222" s="2">
        <v>3.4</v>
      </c>
      <c r="I222" s="2">
        <v>0.2</v>
      </c>
      <c r="J222" s="2">
        <v>26</v>
      </c>
      <c r="K222" s="2" t="s">
        <v>29</v>
      </c>
      <c r="L222" s="2">
        <v>2.57</v>
      </c>
      <c r="M222" s="2" t="s">
        <v>37</v>
      </c>
      <c r="N222" s="2">
        <v>97.02</v>
      </c>
      <c r="O222" s="2" t="s">
        <v>24</v>
      </c>
      <c r="P222" s="2">
        <v>3.32</v>
      </c>
      <c r="Q222" s="2">
        <v>9.7100000000000009</v>
      </c>
      <c r="R222" s="3">
        <f t="shared" si="15"/>
        <v>1672.6823999999999</v>
      </c>
      <c r="S222" s="3">
        <f t="shared" si="16"/>
        <v>4892.0922</v>
      </c>
      <c r="T222" s="3">
        <f t="shared" si="17"/>
        <v>3219.4098000000004</v>
      </c>
      <c r="U222" s="4">
        <f t="shared" si="18"/>
        <v>0.65808444902162722</v>
      </c>
      <c r="V222" s="5">
        <f t="shared" si="19"/>
        <v>12.948174</v>
      </c>
    </row>
    <row r="223" spans="1:22" x14ac:dyDescent="0.25">
      <c r="A223" s="2" t="s">
        <v>257</v>
      </c>
      <c r="B223" s="2" t="s">
        <v>18</v>
      </c>
      <c r="C223" s="2" t="s">
        <v>19</v>
      </c>
      <c r="D223" s="2" t="s">
        <v>20</v>
      </c>
      <c r="E223" s="2">
        <v>355.14</v>
      </c>
      <c r="F223" s="2">
        <v>8.98</v>
      </c>
      <c r="G223" s="2">
        <v>28.49</v>
      </c>
      <c r="H223" s="2">
        <v>0.5</v>
      </c>
      <c r="I223" s="2">
        <v>1.4</v>
      </c>
      <c r="J223" s="2">
        <v>24</v>
      </c>
      <c r="K223" s="2" t="s">
        <v>21</v>
      </c>
      <c r="L223" s="2">
        <v>8.33</v>
      </c>
      <c r="M223" s="2" t="s">
        <v>40</v>
      </c>
      <c r="N223" s="2">
        <v>82.3</v>
      </c>
      <c r="O223" s="2" t="s">
        <v>24</v>
      </c>
      <c r="P223" s="2">
        <v>8.8699999999999992</v>
      </c>
      <c r="Q223" s="2">
        <v>14.16</v>
      </c>
      <c r="R223" s="3">
        <f t="shared" si="15"/>
        <v>3150.0917999999997</v>
      </c>
      <c r="S223" s="3">
        <f t="shared" si="16"/>
        <v>5028.7824000000001</v>
      </c>
      <c r="T223" s="3">
        <f t="shared" si="17"/>
        <v>1878.6906000000004</v>
      </c>
      <c r="U223" s="4">
        <f t="shared" si="18"/>
        <v>0.37358757062146897</v>
      </c>
      <c r="V223" s="5">
        <f t="shared" si="19"/>
        <v>29.583161999999998</v>
      </c>
    </row>
    <row r="224" spans="1:22" x14ac:dyDescent="0.25">
      <c r="A224" s="2" t="s">
        <v>258</v>
      </c>
      <c r="B224" s="2" t="s">
        <v>45</v>
      </c>
      <c r="C224" s="2" t="s">
        <v>33</v>
      </c>
      <c r="D224" s="2" t="s">
        <v>28</v>
      </c>
      <c r="E224" s="2">
        <v>470.03</v>
      </c>
      <c r="F224" s="2">
        <v>9.67</v>
      </c>
      <c r="G224" s="2">
        <v>38.67</v>
      </c>
      <c r="H224" s="2">
        <v>0.4</v>
      </c>
      <c r="I224" s="2">
        <v>0.1</v>
      </c>
      <c r="J224" s="2">
        <v>24</v>
      </c>
      <c r="K224" s="2" t="s">
        <v>29</v>
      </c>
      <c r="L224" s="2">
        <v>6.03</v>
      </c>
      <c r="M224" s="2" t="s">
        <v>22</v>
      </c>
      <c r="N224" s="2">
        <v>55.05</v>
      </c>
      <c r="O224" s="2" t="s">
        <v>23</v>
      </c>
      <c r="P224" s="2">
        <v>9.34</v>
      </c>
      <c r="Q224" s="2">
        <v>8.92</v>
      </c>
      <c r="R224" s="3">
        <f t="shared" si="15"/>
        <v>4390.0801999999994</v>
      </c>
      <c r="S224" s="3">
        <f t="shared" si="16"/>
        <v>4192.6675999999998</v>
      </c>
      <c r="T224" s="3">
        <f t="shared" si="17"/>
        <v>-197.41259999999966</v>
      </c>
      <c r="U224" s="4">
        <f t="shared" si="18"/>
        <v>-4.7085201793721894E-2</v>
      </c>
      <c r="V224" s="5">
        <f t="shared" si="19"/>
        <v>28.342808999999999</v>
      </c>
    </row>
    <row r="225" spans="1:22" x14ac:dyDescent="0.25">
      <c r="A225" s="2" t="s">
        <v>259</v>
      </c>
      <c r="B225" s="2" t="s">
        <v>26</v>
      </c>
      <c r="C225" s="2" t="s">
        <v>43</v>
      </c>
      <c r="D225" s="2" t="s">
        <v>28</v>
      </c>
      <c r="E225" s="2">
        <v>494.98</v>
      </c>
      <c r="F225" s="2">
        <v>17.239999999999998</v>
      </c>
      <c r="G225" s="2">
        <v>30.85</v>
      </c>
      <c r="H225" s="2">
        <v>0.3</v>
      </c>
      <c r="I225" s="2">
        <v>0.1</v>
      </c>
      <c r="J225" s="2">
        <v>8</v>
      </c>
      <c r="K225" s="2" t="s">
        <v>34</v>
      </c>
      <c r="L225" s="2">
        <v>7.24</v>
      </c>
      <c r="M225" s="2" t="s">
        <v>22</v>
      </c>
      <c r="N225" s="2">
        <v>98.59</v>
      </c>
      <c r="O225" s="2" t="s">
        <v>24</v>
      </c>
      <c r="P225" s="2">
        <v>5.08</v>
      </c>
      <c r="Q225" s="2">
        <v>7.35</v>
      </c>
      <c r="R225" s="3">
        <f t="shared" si="15"/>
        <v>2514.4983999999999</v>
      </c>
      <c r="S225" s="3">
        <f t="shared" si="16"/>
        <v>3638.1030000000001</v>
      </c>
      <c r="T225" s="3">
        <f t="shared" si="17"/>
        <v>1123.6046000000001</v>
      </c>
      <c r="U225" s="4">
        <f t="shared" si="18"/>
        <v>0.30884353741496601</v>
      </c>
      <c r="V225" s="5">
        <f t="shared" si="19"/>
        <v>35.836552000000005</v>
      </c>
    </row>
    <row r="226" spans="1:22" x14ac:dyDescent="0.25">
      <c r="A226" s="2" t="s">
        <v>260</v>
      </c>
      <c r="B226" s="2" t="s">
        <v>45</v>
      </c>
      <c r="C226" s="2" t="s">
        <v>27</v>
      </c>
      <c r="D226" s="2" t="s">
        <v>20</v>
      </c>
      <c r="E226" s="2">
        <v>762.08</v>
      </c>
      <c r="F226" s="2">
        <v>16.21</v>
      </c>
      <c r="G226" s="2">
        <v>30.55</v>
      </c>
      <c r="H226" s="2">
        <v>0.3</v>
      </c>
      <c r="I226" s="2">
        <v>1.2</v>
      </c>
      <c r="J226" s="2">
        <v>16</v>
      </c>
      <c r="K226" s="2" t="s">
        <v>21</v>
      </c>
      <c r="L226" s="2">
        <v>8.67</v>
      </c>
      <c r="M226" s="2" t="s">
        <v>37</v>
      </c>
      <c r="N226" s="2">
        <v>57.36</v>
      </c>
      <c r="O226" s="2" t="s">
        <v>24</v>
      </c>
      <c r="P226" s="2">
        <v>3.52</v>
      </c>
      <c r="Q226" s="2">
        <v>11.61</v>
      </c>
      <c r="R226" s="3">
        <f t="shared" si="15"/>
        <v>2682.5216</v>
      </c>
      <c r="S226" s="3">
        <f t="shared" si="16"/>
        <v>8847.7487999999994</v>
      </c>
      <c r="T226" s="3">
        <f t="shared" si="17"/>
        <v>6165.2271999999994</v>
      </c>
      <c r="U226" s="4">
        <f t="shared" si="18"/>
        <v>0.69681309216192933</v>
      </c>
      <c r="V226" s="5">
        <f t="shared" si="19"/>
        <v>66.072336000000007</v>
      </c>
    </row>
    <row r="227" spans="1:22" x14ac:dyDescent="0.25">
      <c r="A227" s="2" t="s">
        <v>261</v>
      </c>
      <c r="B227" s="2" t="s">
        <v>45</v>
      </c>
      <c r="C227" s="2" t="s">
        <v>43</v>
      </c>
      <c r="D227" s="2" t="s">
        <v>20</v>
      </c>
      <c r="E227" s="2">
        <v>388.8</v>
      </c>
      <c r="F227" s="2">
        <v>11.54</v>
      </c>
      <c r="G227" s="2">
        <v>22.82</v>
      </c>
      <c r="H227" s="2">
        <v>2.8</v>
      </c>
      <c r="I227" s="2">
        <v>0.2</v>
      </c>
      <c r="J227" s="2">
        <v>12</v>
      </c>
      <c r="K227" s="2" t="s">
        <v>21</v>
      </c>
      <c r="L227" s="2">
        <v>9.8800000000000008</v>
      </c>
      <c r="M227" s="2" t="s">
        <v>37</v>
      </c>
      <c r="N227" s="2">
        <v>88.32</v>
      </c>
      <c r="O227" s="2" t="s">
        <v>24</v>
      </c>
      <c r="P227" s="2">
        <v>6.36</v>
      </c>
      <c r="Q227" s="2">
        <v>10.73</v>
      </c>
      <c r="R227" s="3">
        <f t="shared" si="15"/>
        <v>2472.768</v>
      </c>
      <c r="S227" s="3">
        <f t="shared" si="16"/>
        <v>4171.8240000000005</v>
      </c>
      <c r="T227" s="3">
        <f t="shared" si="17"/>
        <v>1699.0560000000005</v>
      </c>
      <c r="U227" s="4">
        <f t="shared" si="18"/>
        <v>0.40726933830382112</v>
      </c>
      <c r="V227" s="5">
        <f t="shared" si="19"/>
        <v>38.413440000000008</v>
      </c>
    </row>
    <row r="228" spans="1:22" x14ac:dyDescent="0.25">
      <c r="A228" s="2" t="s">
        <v>262</v>
      </c>
      <c r="B228" s="2" t="s">
        <v>32</v>
      </c>
      <c r="C228" s="2" t="s">
        <v>19</v>
      </c>
      <c r="D228" s="2" t="s">
        <v>28</v>
      </c>
      <c r="E228" s="2">
        <v>646.41999999999996</v>
      </c>
      <c r="F228" s="2">
        <v>14.56</v>
      </c>
      <c r="G228" s="2">
        <v>20.02</v>
      </c>
      <c r="H228" s="2">
        <v>1.3</v>
      </c>
      <c r="I228" s="2">
        <v>0.4</v>
      </c>
      <c r="J228" s="2">
        <v>15</v>
      </c>
      <c r="K228" s="2" t="s">
        <v>21</v>
      </c>
      <c r="L228" s="2">
        <v>2.87</v>
      </c>
      <c r="M228" s="2" t="s">
        <v>40</v>
      </c>
      <c r="N228" s="2">
        <v>51.74</v>
      </c>
      <c r="O228" s="2" t="s">
        <v>23</v>
      </c>
      <c r="P228" s="2">
        <v>5.09</v>
      </c>
      <c r="Q228" s="2">
        <v>8.35</v>
      </c>
      <c r="R228" s="3">
        <f t="shared" si="15"/>
        <v>3290.2777999999998</v>
      </c>
      <c r="S228" s="3">
        <f t="shared" si="16"/>
        <v>5397.6069999999991</v>
      </c>
      <c r="T228" s="3">
        <f t="shared" si="17"/>
        <v>2107.3291999999992</v>
      </c>
      <c r="U228" s="4">
        <f t="shared" si="18"/>
        <v>0.39041916167664664</v>
      </c>
      <c r="V228" s="5">
        <f t="shared" si="19"/>
        <v>18.552254000000001</v>
      </c>
    </row>
    <row r="229" spans="1:22" x14ac:dyDescent="0.25">
      <c r="A229" s="2" t="s">
        <v>263</v>
      </c>
      <c r="B229" s="2" t="s">
        <v>45</v>
      </c>
      <c r="C229" s="2" t="s">
        <v>43</v>
      </c>
      <c r="D229" s="2" t="s">
        <v>20</v>
      </c>
      <c r="E229" s="2">
        <v>599.69000000000005</v>
      </c>
      <c r="F229" s="2">
        <v>13.37</v>
      </c>
      <c r="G229" s="2">
        <v>36.200000000000003</v>
      </c>
      <c r="H229" s="2">
        <v>3.1</v>
      </c>
      <c r="I229" s="2">
        <v>0.6</v>
      </c>
      <c r="J229" s="2">
        <v>8</v>
      </c>
      <c r="K229" s="2" t="s">
        <v>34</v>
      </c>
      <c r="L229" s="2">
        <v>2.2200000000000002</v>
      </c>
      <c r="M229" s="2" t="s">
        <v>37</v>
      </c>
      <c r="N229" s="2">
        <v>81.23</v>
      </c>
      <c r="O229" s="2" t="s">
        <v>30</v>
      </c>
      <c r="P229" s="2">
        <v>5.92</v>
      </c>
      <c r="Q229" s="2">
        <v>8.44</v>
      </c>
      <c r="R229" s="3">
        <f t="shared" si="15"/>
        <v>3550.1648000000005</v>
      </c>
      <c r="S229" s="3">
        <f t="shared" si="16"/>
        <v>5061.3836000000001</v>
      </c>
      <c r="T229" s="3">
        <f t="shared" si="17"/>
        <v>1511.2187999999996</v>
      </c>
      <c r="U229" s="4">
        <f t="shared" si="18"/>
        <v>0.29857819905213262</v>
      </c>
      <c r="V229" s="5">
        <f t="shared" si="19"/>
        <v>13.313118000000001</v>
      </c>
    </row>
    <row r="230" spans="1:22" x14ac:dyDescent="0.25">
      <c r="A230" s="2" t="s">
        <v>264</v>
      </c>
      <c r="B230" s="2" t="s">
        <v>32</v>
      </c>
      <c r="C230" s="2" t="s">
        <v>43</v>
      </c>
      <c r="D230" s="2" t="s">
        <v>20</v>
      </c>
      <c r="E230" s="2">
        <v>528.05999999999995</v>
      </c>
      <c r="F230" s="2">
        <v>14.77</v>
      </c>
      <c r="G230" s="2">
        <v>21.75</v>
      </c>
      <c r="H230" s="2">
        <v>2.7</v>
      </c>
      <c r="I230" s="2">
        <v>0.6</v>
      </c>
      <c r="J230" s="2">
        <v>22</v>
      </c>
      <c r="K230" s="2" t="s">
        <v>29</v>
      </c>
      <c r="L230" s="2">
        <v>4.8899999999999997</v>
      </c>
      <c r="M230" s="2" t="s">
        <v>40</v>
      </c>
      <c r="N230" s="2">
        <v>77.34</v>
      </c>
      <c r="O230" s="2" t="s">
        <v>24</v>
      </c>
      <c r="P230" s="2">
        <v>7.65</v>
      </c>
      <c r="Q230" s="2">
        <v>8.98</v>
      </c>
      <c r="R230" s="3">
        <f t="shared" si="15"/>
        <v>4039.6589999999997</v>
      </c>
      <c r="S230" s="3">
        <f t="shared" si="16"/>
        <v>4741.9787999999999</v>
      </c>
      <c r="T230" s="3">
        <f t="shared" si="17"/>
        <v>702.31980000000021</v>
      </c>
      <c r="U230" s="4">
        <f t="shared" si="18"/>
        <v>0.1481069042316259</v>
      </c>
      <c r="V230" s="5">
        <f t="shared" si="19"/>
        <v>25.822133999999995</v>
      </c>
    </row>
    <row r="231" spans="1:22" x14ac:dyDescent="0.25">
      <c r="A231" s="2" t="s">
        <v>265</v>
      </c>
      <c r="B231" s="2" t="s">
        <v>32</v>
      </c>
      <c r="C231" s="2" t="s">
        <v>27</v>
      </c>
      <c r="D231" s="2" t="s">
        <v>20</v>
      </c>
      <c r="E231" s="2">
        <v>675.86</v>
      </c>
      <c r="F231" s="2">
        <v>14.83</v>
      </c>
      <c r="G231" s="2">
        <v>32.68</v>
      </c>
      <c r="H231" s="2">
        <v>1.9</v>
      </c>
      <c r="I231" s="2">
        <v>1.2</v>
      </c>
      <c r="J231" s="2">
        <v>9</v>
      </c>
      <c r="K231" s="2" t="s">
        <v>21</v>
      </c>
      <c r="L231" s="2">
        <v>0.83</v>
      </c>
      <c r="M231" s="2" t="s">
        <v>40</v>
      </c>
      <c r="N231" s="2">
        <v>60.4</v>
      </c>
      <c r="O231" s="2" t="s">
        <v>24</v>
      </c>
      <c r="P231" s="2">
        <v>4.47</v>
      </c>
      <c r="Q231" s="2">
        <v>7.91</v>
      </c>
      <c r="R231" s="3">
        <f t="shared" si="15"/>
        <v>3021.0942</v>
      </c>
      <c r="S231" s="3">
        <f t="shared" si="16"/>
        <v>5346.0526</v>
      </c>
      <c r="T231" s="3">
        <f t="shared" si="17"/>
        <v>2324.9584</v>
      </c>
      <c r="U231" s="4">
        <f t="shared" si="18"/>
        <v>0.43489254108723135</v>
      </c>
      <c r="V231" s="5">
        <f t="shared" si="19"/>
        <v>5.6096380000000003</v>
      </c>
    </row>
    <row r="232" spans="1:22" x14ac:dyDescent="0.25">
      <c r="A232" s="2" t="s">
        <v>266</v>
      </c>
      <c r="B232" s="2" t="s">
        <v>45</v>
      </c>
      <c r="C232" s="2" t="s">
        <v>33</v>
      </c>
      <c r="D232" s="2" t="s">
        <v>28</v>
      </c>
      <c r="E232" s="2">
        <v>537.21</v>
      </c>
      <c r="F232" s="2">
        <v>14.29</v>
      </c>
      <c r="G232" s="2">
        <v>38.29</v>
      </c>
      <c r="H232" s="2">
        <v>2.2999999999999998</v>
      </c>
      <c r="I232" s="2">
        <v>1</v>
      </c>
      <c r="J232" s="2">
        <v>3</v>
      </c>
      <c r="K232" s="2" t="s">
        <v>34</v>
      </c>
      <c r="L232" s="2">
        <v>8.02</v>
      </c>
      <c r="M232" s="2" t="s">
        <v>40</v>
      </c>
      <c r="N232" s="2">
        <v>82.16</v>
      </c>
      <c r="O232" s="2" t="s">
        <v>24</v>
      </c>
      <c r="P232" s="2">
        <v>5.5</v>
      </c>
      <c r="Q232" s="2">
        <v>12.1</v>
      </c>
      <c r="R232" s="3">
        <f t="shared" si="15"/>
        <v>2954.6550000000002</v>
      </c>
      <c r="S232" s="3">
        <f t="shared" si="16"/>
        <v>6500.241</v>
      </c>
      <c r="T232" s="3">
        <f t="shared" si="17"/>
        <v>3545.5859999999998</v>
      </c>
      <c r="U232" s="4">
        <f t="shared" si="18"/>
        <v>0.54545454545454541</v>
      </c>
      <c r="V232" s="5">
        <f t="shared" si="19"/>
        <v>43.084242000000003</v>
      </c>
    </row>
    <row r="233" spans="1:22" x14ac:dyDescent="0.25">
      <c r="A233" s="2" t="s">
        <v>267</v>
      </c>
      <c r="B233" s="2" t="s">
        <v>26</v>
      </c>
      <c r="C233" s="2" t="s">
        <v>43</v>
      </c>
      <c r="D233" s="2" t="s">
        <v>28</v>
      </c>
      <c r="E233" s="2">
        <v>538.91999999999996</v>
      </c>
      <c r="F233" s="2">
        <v>10.66</v>
      </c>
      <c r="G233" s="2">
        <v>24.17</v>
      </c>
      <c r="H233" s="2">
        <v>0</v>
      </c>
      <c r="I233" s="2">
        <v>1</v>
      </c>
      <c r="J233" s="2">
        <v>22</v>
      </c>
      <c r="K233" s="2" t="s">
        <v>29</v>
      </c>
      <c r="L233" s="2">
        <v>8.9</v>
      </c>
      <c r="M233" s="2" t="s">
        <v>40</v>
      </c>
      <c r="N233" s="2">
        <v>80.849999999999994</v>
      </c>
      <c r="O233" s="2" t="s">
        <v>23</v>
      </c>
      <c r="P233" s="2">
        <v>8.48</v>
      </c>
      <c r="Q233" s="2">
        <v>11.51</v>
      </c>
      <c r="R233" s="3">
        <f t="shared" si="15"/>
        <v>4570.0415999999996</v>
      </c>
      <c r="S233" s="3">
        <f t="shared" si="16"/>
        <v>6202.9691999999995</v>
      </c>
      <c r="T233" s="3">
        <f t="shared" si="17"/>
        <v>1632.9276</v>
      </c>
      <c r="U233" s="4">
        <f t="shared" si="18"/>
        <v>0.26324934839270203</v>
      </c>
      <c r="V233" s="5">
        <f t="shared" si="19"/>
        <v>47.963879999999996</v>
      </c>
    </row>
    <row r="234" spans="1:22" x14ac:dyDescent="0.25">
      <c r="A234" s="2" t="s">
        <v>268</v>
      </c>
      <c r="B234" s="2" t="s">
        <v>26</v>
      </c>
      <c r="C234" s="2" t="s">
        <v>33</v>
      </c>
      <c r="D234" s="2" t="s">
        <v>20</v>
      </c>
      <c r="E234" s="2">
        <v>494.69</v>
      </c>
      <c r="F234" s="2">
        <v>8.39</v>
      </c>
      <c r="G234" s="2">
        <v>33.31</v>
      </c>
      <c r="H234" s="2">
        <v>0.7</v>
      </c>
      <c r="I234" s="2">
        <v>1.3</v>
      </c>
      <c r="J234" s="2">
        <v>21</v>
      </c>
      <c r="K234" s="2" t="s">
        <v>29</v>
      </c>
      <c r="L234" s="2">
        <v>7.02</v>
      </c>
      <c r="M234" s="2" t="s">
        <v>37</v>
      </c>
      <c r="N234" s="2">
        <v>89.92</v>
      </c>
      <c r="O234" s="2" t="s">
        <v>23</v>
      </c>
      <c r="P234" s="2">
        <v>7.51</v>
      </c>
      <c r="Q234" s="2">
        <v>9.41</v>
      </c>
      <c r="R234" s="3">
        <f t="shared" si="15"/>
        <v>3715.1219000000001</v>
      </c>
      <c r="S234" s="3">
        <f t="shared" si="16"/>
        <v>4655.0329000000002</v>
      </c>
      <c r="T234" s="3">
        <f t="shared" si="17"/>
        <v>939.91100000000006</v>
      </c>
      <c r="U234" s="4">
        <f t="shared" si="18"/>
        <v>0.20191285866099895</v>
      </c>
      <c r="V234" s="5">
        <f t="shared" si="19"/>
        <v>34.727238</v>
      </c>
    </row>
    <row r="235" spans="1:22" x14ac:dyDescent="0.25">
      <c r="A235" s="2" t="s">
        <v>269</v>
      </c>
      <c r="B235" s="2" t="s">
        <v>26</v>
      </c>
      <c r="C235" s="2" t="s">
        <v>19</v>
      </c>
      <c r="D235" s="2" t="s">
        <v>20</v>
      </c>
      <c r="E235" s="2">
        <v>622.36</v>
      </c>
      <c r="F235" s="2">
        <v>12.56</v>
      </c>
      <c r="G235" s="2">
        <v>21.57</v>
      </c>
      <c r="H235" s="2">
        <v>2</v>
      </c>
      <c r="I235" s="2">
        <v>0.3</v>
      </c>
      <c r="J235" s="2">
        <v>16</v>
      </c>
      <c r="K235" s="2" t="s">
        <v>21</v>
      </c>
      <c r="L235" s="2">
        <v>3.05</v>
      </c>
      <c r="M235" s="2" t="s">
        <v>40</v>
      </c>
      <c r="N235" s="2">
        <v>93.79</v>
      </c>
      <c r="O235" s="2" t="s">
        <v>24</v>
      </c>
      <c r="P235" s="2">
        <v>5.28</v>
      </c>
      <c r="Q235" s="2">
        <v>8.98</v>
      </c>
      <c r="R235" s="3">
        <f t="shared" si="15"/>
        <v>3286.0608000000002</v>
      </c>
      <c r="S235" s="3">
        <f t="shared" si="16"/>
        <v>5588.7928000000002</v>
      </c>
      <c r="T235" s="3">
        <f t="shared" si="17"/>
        <v>2302.732</v>
      </c>
      <c r="U235" s="4">
        <f t="shared" si="18"/>
        <v>0.41202672605790647</v>
      </c>
      <c r="V235" s="5">
        <f t="shared" si="19"/>
        <v>18.98198</v>
      </c>
    </row>
    <row r="236" spans="1:22" x14ac:dyDescent="0.25">
      <c r="A236" s="2" t="s">
        <v>270</v>
      </c>
      <c r="B236" s="2" t="s">
        <v>26</v>
      </c>
      <c r="C236" s="2" t="s">
        <v>43</v>
      </c>
      <c r="D236" s="2" t="s">
        <v>20</v>
      </c>
      <c r="E236" s="2">
        <v>609.65</v>
      </c>
      <c r="F236" s="2">
        <v>16.91</v>
      </c>
      <c r="G236" s="2">
        <v>32.08</v>
      </c>
      <c r="H236" s="2">
        <v>0</v>
      </c>
      <c r="I236" s="2">
        <v>0.4</v>
      </c>
      <c r="J236" s="2">
        <v>15</v>
      </c>
      <c r="K236" s="2" t="s">
        <v>34</v>
      </c>
      <c r="L236" s="2">
        <v>1.67</v>
      </c>
      <c r="M236" s="2" t="s">
        <v>37</v>
      </c>
      <c r="N236" s="2">
        <v>75.510000000000005</v>
      </c>
      <c r="O236" s="2" t="s">
        <v>30</v>
      </c>
      <c r="P236" s="2">
        <v>7.65</v>
      </c>
      <c r="Q236" s="2">
        <v>8.65</v>
      </c>
      <c r="R236" s="3">
        <f t="shared" si="15"/>
        <v>4663.8225000000002</v>
      </c>
      <c r="S236" s="3">
        <f t="shared" si="16"/>
        <v>5273.4724999999999</v>
      </c>
      <c r="T236" s="3">
        <f t="shared" si="17"/>
        <v>609.64999999999964</v>
      </c>
      <c r="U236" s="4">
        <f t="shared" si="18"/>
        <v>0.1156069364161849</v>
      </c>
      <c r="V236" s="5">
        <f t="shared" si="19"/>
        <v>10.181154999999999</v>
      </c>
    </row>
    <row r="237" spans="1:22" x14ac:dyDescent="0.25">
      <c r="A237" s="2" t="s">
        <v>271</v>
      </c>
      <c r="B237" s="2" t="s">
        <v>26</v>
      </c>
      <c r="C237" s="2" t="s">
        <v>27</v>
      </c>
      <c r="D237" s="2" t="s">
        <v>20</v>
      </c>
      <c r="E237" s="2">
        <v>437.43</v>
      </c>
      <c r="F237" s="2">
        <v>13.69</v>
      </c>
      <c r="G237" s="2">
        <v>23.28</v>
      </c>
      <c r="H237" s="2">
        <v>0.1</v>
      </c>
      <c r="I237" s="2">
        <v>0.6</v>
      </c>
      <c r="J237" s="2">
        <v>24</v>
      </c>
      <c r="K237" s="2" t="s">
        <v>29</v>
      </c>
      <c r="L237" s="2">
        <v>4.13</v>
      </c>
      <c r="M237" s="2" t="s">
        <v>40</v>
      </c>
      <c r="N237" s="2">
        <v>74.510000000000005</v>
      </c>
      <c r="O237" s="2" t="s">
        <v>24</v>
      </c>
      <c r="P237" s="2">
        <v>8.36</v>
      </c>
      <c r="Q237" s="2">
        <v>7.83</v>
      </c>
      <c r="R237" s="3">
        <f t="shared" si="15"/>
        <v>3656.9148</v>
      </c>
      <c r="S237" s="3">
        <f t="shared" si="16"/>
        <v>3425.0769</v>
      </c>
      <c r="T237" s="3">
        <f t="shared" si="17"/>
        <v>-231.83789999999999</v>
      </c>
      <c r="U237" s="4">
        <f t="shared" si="18"/>
        <v>-6.7688378033205612E-2</v>
      </c>
      <c r="V237" s="5">
        <f t="shared" si="19"/>
        <v>18.065859</v>
      </c>
    </row>
    <row r="238" spans="1:22" x14ac:dyDescent="0.25">
      <c r="A238" s="2" t="s">
        <v>272</v>
      </c>
      <c r="B238" s="2" t="s">
        <v>45</v>
      </c>
      <c r="C238" s="2" t="s">
        <v>19</v>
      </c>
      <c r="D238" s="2" t="s">
        <v>20</v>
      </c>
      <c r="E238" s="2">
        <v>368.08</v>
      </c>
      <c r="F238" s="2">
        <v>16.32</v>
      </c>
      <c r="G238" s="2">
        <v>34.72</v>
      </c>
      <c r="H238" s="2">
        <v>3.8</v>
      </c>
      <c r="I238" s="2">
        <v>0.4</v>
      </c>
      <c r="J238" s="2">
        <v>4</v>
      </c>
      <c r="K238" s="2" t="s">
        <v>34</v>
      </c>
      <c r="L238" s="2">
        <v>8.42</v>
      </c>
      <c r="M238" s="2" t="s">
        <v>37</v>
      </c>
      <c r="N238" s="2">
        <v>81.08</v>
      </c>
      <c r="O238" s="2" t="s">
        <v>30</v>
      </c>
      <c r="P238" s="2">
        <v>7.15</v>
      </c>
      <c r="Q238" s="2">
        <v>5.86</v>
      </c>
      <c r="R238" s="3">
        <f t="shared" si="15"/>
        <v>2631.7719999999999</v>
      </c>
      <c r="S238" s="3">
        <f t="shared" si="16"/>
        <v>2156.9488000000001</v>
      </c>
      <c r="T238" s="3">
        <f t="shared" si="17"/>
        <v>-474.82319999999982</v>
      </c>
      <c r="U238" s="4">
        <f t="shared" si="18"/>
        <v>-0.22013651877133095</v>
      </c>
      <c r="V238" s="5">
        <f t="shared" si="19"/>
        <v>30.992336000000002</v>
      </c>
    </row>
    <row r="239" spans="1:22" x14ac:dyDescent="0.25">
      <c r="A239" s="2" t="s">
        <v>273</v>
      </c>
      <c r="B239" s="2" t="s">
        <v>45</v>
      </c>
      <c r="C239" s="2" t="s">
        <v>19</v>
      </c>
      <c r="D239" s="2" t="s">
        <v>28</v>
      </c>
      <c r="E239" s="2">
        <v>479.7</v>
      </c>
      <c r="F239" s="2">
        <v>17.920000000000002</v>
      </c>
      <c r="G239" s="2">
        <v>26.02</v>
      </c>
      <c r="H239" s="2">
        <v>2.2999999999999998</v>
      </c>
      <c r="I239" s="2">
        <v>4.2</v>
      </c>
      <c r="J239" s="2">
        <v>20</v>
      </c>
      <c r="K239" s="2" t="s">
        <v>29</v>
      </c>
      <c r="L239" s="2">
        <v>3.8</v>
      </c>
      <c r="M239" s="2" t="s">
        <v>40</v>
      </c>
      <c r="N239" s="2">
        <v>86.46</v>
      </c>
      <c r="O239" s="2" t="s">
        <v>30</v>
      </c>
      <c r="P239" s="2">
        <v>4.68</v>
      </c>
      <c r="Q239" s="2">
        <v>7.68</v>
      </c>
      <c r="R239" s="3">
        <f t="shared" si="15"/>
        <v>2244.9959999999996</v>
      </c>
      <c r="S239" s="3">
        <f t="shared" si="16"/>
        <v>3684.0959999999995</v>
      </c>
      <c r="T239" s="3">
        <f t="shared" si="17"/>
        <v>1439.1</v>
      </c>
      <c r="U239" s="4">
        <f t="shared" si="18"/>
        <v>0.390625</v>
      </c>
      <c r="V239" s="5">
        <f t="shared" si="19"/>
        <v>18.2286</v>
      </c>
    </row>
    <row r="240" spans="1:22" x14ac:dyDescent="0.25">
      <c r="A240" s="2" t="s">
        <v>274</v>
      </c>
      <c r="B240" s="2" t="s">
        <v>18</v>
      </c>
      <c r="C240" s="2" t="s">
        <v>27</v>
      </c>
      <c r="D240" s="2" t="s">
        <v>20</v>
      </c>
      <c r="E240" s="2">
        <v>420</v>
      </c>
      <c r="F240" s="2">
        <v>9.64</v>
      </c>
      <c r="G240" s="2">
        <v>29.27</v>
      </c>
      <c r="H240" s="2">
        <v>0.6</v>
      </c>
      <c r="I240" s="2">
        <v>1.7</v>
      </c>
      <c r="J240" s="2">
        <v>29</v>
      </c>
      <c r="K240" s="2" t="s">
        <v>21</v>
      </c>
      <c r="L240" s="2">
        <v>0.83</v>
      </c>
      <c r="M240" s="2" t="s">
        <v>37</v>
      </c>
      <c r="N240" s="2">
        <v>67.81</v>
      </c>
      <c r="O240" s="2" t="s">
        <v>23</v>
      </c>
      <c r="P240" s="2">
        <v>3</v>
      </c>
      <c r="Q240" s="2">
        <v>8.2100000000000009</v>
      </c>
      <c r="R240" s="3">
        <f t="shared" si="15"/>
        <v>1260</v>
      </c>
      <c r="S240" s="3">
        <f t="shared" si="16"/>
        <v>3448.2000000000003</v>
      </c>
      <c r="T240" s="3">
        <f t="shared" si="17"/>
        <v>2188.2000000000003</v>
      </c>
      <c r="U240" s="4">
        <f t="shared" si="18"/>
        <v>0.63459196102314253</v>
      </c>
      <c r="V240" s="5">
        <f t="shared" si="19"/>
        <v>3.4859999999999998</v>
      </c>
    </row>
    <row r="241" spans="1:22" x14ac:dyDescent="0.25">
      <c r="A241" s="2" t="s">
        <v>275</v>
      </c>
      <c r="B241" s="2" t="s">
        <v>26</v>
      </c>
      <c r="C241" s="2" t="s">
        <v>43</v>
      </c>
      <c r="D241" s="2" t="s">
        <v>28</v>
      </c>
      <c r="E241" s="2">
        <v>493.65</v>
      </c>
      <c r="F241" s="2">
        <v>14.92</v>
      </c>
      <c r="G241" s="2">
        <v>31.99</v>
      </c>
      <c r="H241" s="2">
        <v>2.2999999999999998</v>
      </c>
      <c r="I241" s="2">
        <v>0.2</v>
      </c>
      <c r="J241" s="2">
        <v>16</v>
      </c>
      <c r="K241" s="2" t="s">
        <v>21</v>
      </c>
      <c r="L241" s="2">
        <v>3.11</v>
      </c>
      <c r="M241" s="2" t="s">
        <v>22</v>
      </c>
      <c r="N241" s="2">
        <v>75.23</v>
      </c>
      <c r="O241" s="2" t="s">
        <v>23</v>
      </c>
      <c r="P241" s="2">
        <v>8.6199999999999992</v>
      </c>
      <c r="Q241" s="2">
        <v>10.48</v>
      </c>
      <c r="R241" s="3">
        <f t="shared" si="15"/>
        <v>4255.262999999999</v>
      </c>
      <c r="S241" s="3">
        <f t="shared" si="16"/>
        <v>5173.4520000000002</v>
      </c>
      <c r="T241" s="3">
        <f t="shared" si="17"/>
        <v>918.18900000000122</v>
      </c>
      <c r="U241" s="4">
        <f t="shared" si="18"/>
        <v>0.17748091603053459</v>
      </c>
      <c r="V241" s="5">
        <f t="shared" si="19"/>
        <v>15.352514999999999</v>
      </c>
    </row>
    <row r="242" spans="1:22" x14ac:dyDescent="0.25">
      <c r="A242" s="2" t="s">
        <v>276</v>
      </c>
      <c r="B242" s="2" t="s">
        <v>45</v>
      </c>
      <c r="C242" s="2" t="s">
        <v>43</v>
      </c>
      <c r="D242" s="2" t="s">
        <v>20</v>
      </c>
      <c r="E242" s="2">
        <v>623.74</v>
      </c>
      <c r="F242" s="2">
        <v>14.74</v>
      </c>
      <c r="G242" s="2">
        <v>23.43</v>
      </c>
      <c r="H242" s="2">
        <v>3.1</v>
      </c>
      <c r="I242" s="2">
        <v>0</v>
      </c>
      <c r="J242" s="2">
        <v>10</v>
      </c>
      <c r="K242" s="2" t="s">
        <v>29</v>
      </c>
      <c r="L242" s="2">
        <v>9.9</v>
      </c>
      <c r="M242" s="2" t="s">
        <v>40</v>
      </c>
      <c r="N242" s="2">
        <v>79.260000000000005</v>
      </c>
      <c r="O242" s="2" t="s">
        <v>23</v>
      </c>
      <c r="P242" s="2">
        <v>8.76</v>
      </c>
      <c r="Q242" s="2">
        <v>12.74</v>
      </c>
      <c r="R242" s="3">
        <f t="shared" si="15"/>
        <v>5463.9624000000003</v>
      </c>
      <c r="S242" s="3">
        <f t="shared" si="16"/>
        <v>7946.4476000000004</v>
      </c>
      <c r="T242" s="3">
        <f t="shared" si="17"/>
        <v>2482.4852000000001</v>
      </c>
      <c r="U242" s="4">
        <f t="shared" si="18"/>
        <v>0.31240188383045525</v>
      </c>
      <c r="V242" s="5">
        <f t="shared" si="19"/>
        <v>61.750260000000004</v>
      </c>
    </row>
    <row r="243" spans="1:22" x14ac:dyDescent="0.25">
      <c r="A243" s="2" t="s">
        <v>277</v>
      </c>
      <c r="B243" s="2" t="s">
        <v>18</v>
      </c>
      <c r="C243" s="2" t="s">
        <v>19</v>
      </c>
      <c r="D243" s="2" t="s">
        <v>28</v>
      </c>
      <c r="E243" s="2">
        <v>454.27</v>
      </c>
      <c r="F243" s="2">
        <v>17.8</v>
      </c>
      <c r="G243" s="2">
        <v>34.83</v>
      </c>
      <c r="H243" s="2">
        <v>0.7</v>
      </c>
      <c r="I243" s="2">
        <v>0</v>
      </c>
      <c r="J243" s="2">
        <v>11</v>
      </c>
      <c r="K243" s="2" t="s">
        <v>34</v>
      </c>
      <c r="L243" s="2">
        <v>6.93</v>
      </c>
      <c r="M243" s="2" t="s">
        <v>40</v>
      </c>
      <c r="N243" s="2">
        <v>99.42</v>
      </c>
      <c r="O243" s="2" t="s">
        <v>30</v>
      </c>
      <c r="P243" s="2">
        <v>7.88</v>
      </c>
      <c r="Q243" s="2">
        <v>8.9600000000000009</v>
      </c>
      <c r="R243" s="3">
        <f t="shared" si="15"/>
        <v>3579.6475999999998</v>
      </c>
      <c r="S243" s="3">
        <f t="shared" si="16"/>
        <v>4070.2592000000004</v>
      </c>
      <c r="T243" s="3">
        <f t="shared" si="17"/>
        <v>490.61160000000064</v>
      </c>
      <c r="U243" s="4">
        <f t="shared" si="18"/>
        <v>0.12053571428571443</v>
      </c>
      <c r="V243" s="5">
        <f t="shared" si="19"/>
        <v>31.480910999999995</v>
      </c>
    </row>
    <row r="244" spans="1:22" x14ac:dyDescent="0.25">
      <c r="A244" s="2" t="s">
        <v>278</v>
      </c>
      <c r="B244" s="2" t="s">
        <v>26</v>
      </c>
      <c r="C244" s="2" t="s">
        <v>43</v>
      </c>
      <c r="D244" s="2" t="s">
        <v>20</v>
      </c>
      <c r="E244" s="2">
        <v>495.72</v>
      </c>
      <c r="F244" s="2">
        <v>17.86</v>
      </c>
      <c r="G244" s="2">
        <v>26.05</v>
      </c>
      <c r="H244" s="2">
        <v>0.1</v>
      </c>
      <c r="I244" s="2">
        <v>0.3</v>
      </c>
      <c r="J244" s="2">
        <v>26</v>
      </c>
      <c r="K244" s="2" t="s">
        <v>29</v>
      </c>
      <c r="L244" s="2">
        <v>9.06</v>
      </c>
      <c r="M244" s="2" t="s">
        <v>22</v>
      </c>
      <c r="N244" s="2">
        <v>79.39</v>
      </c>
      <c r="O244" s="2" t="s">
        <v>30</v>
      </c>
      <c r="P244" s="2">
        <v>3.54</v>
      </c>
      <c r="Q244" s="2">
        <v>14.45</v>
      </c>
      <c r="R244" s="3">
        <f t="shared" si="15"/>
        <v>1754.8488000000002</v>
      </c>
      <c r="S244" s="3">
        <f t="shared" si="16"/>
        <v>7163.1540000000005</v>
      </c>
      <c r="T244" s="3">
        <f t="shared" si="17"/>
        <v>5408.3052000000007</v>
      </c>
      <c r="U244" s="4">
        <f t="shared" si="18"/>
        <v>0.75501730103806231</v>
      </c>
      <c r="V244" s="5">
        <f t="shared" si="19"/>
        <v>44.912232000000003</v>
      </c>
    </row>
    <row r="245" spans="1:22" x14ac:dyDescent="0.25">
      <c r="A245" s="2" t="s">
        <v>279</v>
      </c>
      <c r="B245" s="2" t="s">
        <v>32</v>
      </c>
      <c r="C245" s="2" t="s">
        <v>33</v>
      </c>
      <c r="D245" s="2" t="s">
        <v>28</v>
      </c>
      <c r="E245" s="2">
        <v>505.8</v>
      </c>
      <c r="F245" s="2">
        <v>14.87</v>
      </c>
      <c r="G245" s="2">
        <v>33.25</v>
      </c>
      <c r="H245" s="2">
        <v>5.4</v>
      </c>
      <c r="I245" s="2">
        <v>0.1</v>
      </c>
      <c r="J245" s="2">
        <v>29</v>
      </c>
      <c r="K245" s="2" t="s">
        <v>34</v>
      </c>
      <c r="L245" s="2">
        <v>7.86</v>
      </c>
      <c r="M245" s="2" t="s">
        <v>22</v>
      </c>
      <c r="N245" s="2">
        <v>61.21</v>
      </c>
      <c r="O245" s="2" t="s">
        <v>30</v>
      </c>
      <c r="P245" s="2">
        <v>7.1</v>
      </c>
      <c r="Q245" s="2">
        <v>13.27</v>
      </c>
      <c r="R245" s="3">
        <f t="shared" si="15"/>
        <v>3591.18</v>
      </c>
      <c r="S245" s="3">
        <f t="shared" si="16"/>
        <v>6711.9660000000003</v>
      </c>
      <c r="T245" s="3">
        <f t="shared" si="17"/>
        <v>3120.7860000000005</v>
      </c>
      <c r="U245" s="4">
        <f t="shared" si="18"/>
        <v>0.46495855312735501</v>
      </c>
      <c r="V245" s="5">
        <f t="shared" si="19"/>
        <v>39.755880000000005</v>
      </c>
    </row>
    <row r="246" spans="1:22" x14ac:dyDescent="0.25">
      <c r="A246" s="2" t="s">
        <v>280</v>
      </c>
      <c r="B246" s="2" t="s">
        <v>18</v>
      </c>
      <c r="C246" s="2" t="s">
        <v>27</v>
      </c>
      <c r="D246" s="2" t="s">
        <v>20</v>
      </c>
      <c r="E246" s="2">
        <v>584.84</v>
      </c>
      <c r="F246" s="2">
        <v>10.44</v>
      </c>
      <c r="G246" s="2">
        <v>23.17</v>
      </c>
      <c r="H246" s="2">
        <v>0.8</v>
      </c>
      <c r="I246" s="2">
        <v>0.8</v>
      </c>
      <c r="J246" s="2">
        <v>5</v>
      </c>
      <c r="K246" s="2" t="s">
        <v>29</v>
      </c>
      <c r="L246" s="2">
        <v>5.63</v>
      </c>
      <c r="M246" s="2" t="s">
        <v>40</v>
      </c>
      <c r="N246" s="2">
        <v>79.400000000000006</v>
      </c>
      <c r="O246" s="2" t="s">
        <v>23</v>
      </c>
      <c r="P246" s="2">
        <v>8.75</v>
      </c>
      <c r="Q246" s="2">
        <v>14.85</v>
      </c>
      <c r="R246" s="3">
        <f t="shared" si="15"/>
        <v>5117.3500000000004</v>
      </c>
      <c r="S246" s="3">
        <f t="shared" si="16"/>
        <v>8684.8739999999998</v>
      </c>
      <c r="T246" s="3">
        <f t="shared" si="17"/>
        <v>3567.5239999999994</v>
      </c>
      <c r="U246" s="4">
        <f t="shared" si="18"/>
        <v>0.41077441077441074</v>
      </c>
      <c r="V246" s="5">
        <f t="shared" si="19"/>
        <v>32.926492000000003</v>
      </c>
    </row>
    <row r="247" spans="1:22" x14ac:dyDescent="0.25">
      <c r="A247" s="2" t="s">
        <v>281</v>
      </c>
      <c r="B247" s="2" t="s">
        <v>45</v>
      </c>
      <c r="C247" s="2" t="s">
        <v>33</v>
      </c>
      <c r="D247" s="2" t="s">
        <v>28</v>
      </c>
      <c r="E247" s="2">
        <v>275.31</v>
      </c>
      <c r="F247" s="2">
        <v>15.99</v>
      </c>
      <c r="G247" s="2">
        <v>33.76</v>
      </c>
      <c r="H247" s="2">
        <v>0.2</v>
      </c>
      <c r="I247" s="2">
        <v>2</v>
      </c>
      <c r="J247" s="2">
        <v>11</v>
      </c>
      <c r="K247" s="2" t="s">
        <v>21</v>
      </c>
      <c r="L247" s="2">
        <v>1.91</v>
      </c>
      <c r="M247" s="2" t="s">
        <v>37</v>
      </c>
      <c r="N247" s="2">
        <v>90.97</v>
      </c>
      <c r="O247" s="2" t="s">
        <v>23</v>
      </c>
      <c r="P247" s="2">
        <v>5.73</v>
      </c>
      <c r="Q247" s="2">
        <v>13.76</v>
      </c>
      <c r="R247" s="3">
        <f t="shared" si="15"/>
        <v>1577.5263000000002</v>
      </c>
      <c r="S247" s="3">
        <f t="shared" si="16"/>
        <v>3788.2656000000002</v>
      </c>
      <c r="T247" s="3">
        <f t="shared" si="17"/>
        <v>2210.7393000000002</v>
      </c>
      <c r="U247" s="4">
        <f t="shared" si="18"/>
        <v>0.58357558139534882</v>
      </c>
      <c r="V247" s="5">
        <f t="shared" si="19"/>
        <v>5.2584209999999993</v>
      </c>
    </row>
    <row r="248" spans="1:22" x14ac:dyDescent="0.25">
      <c r="A248" s="2" t="s">
        <v>282</v>
      </c>
      <c r="B248" s="2" t="s">
        <v>32</v>
      </c>
      <c r="C248" s="2" t="s">
        <v>43</v>
      </c>
      <c r="D248" s="2" t="s">
        <v>28</v>
      </c>
      <c r="E248" s="2">
        <v>439.33</v>
      </c>
      <c r="F248" s="2">
        <v>9.07</v>
      </c>
      <c r="G248" s="2">
        <v>22.56</v>
      </c>
      <c r="H248" s="2">
        <v>1.4</v>
      </c>
      <c r="I248" s="2">
        <v>1.3</v>
      </c>
      <c r="J248" s="2">
        <v>29</v>
      </c>
      <c r="K248" s="2" t="s">
        <v>34</v>
      </c>
      <c r="L248" s="2">
        <v>3.81</v>
      </c>
      <c r="M248" s="2" t="s">
        <v>40</v>
      </c>
      <c r="N248" s="2">
        <v>92.87</v>
      </c>
      <c r="O248" s="2" t="s">
        <v>23</v>
      </c>
      <c r="P248" s="2">
        <v>4.3899999999999997</v>
      </c>
      <c r="Q248" s="2">
        <v>11.17</v>
      </c>
      <c r="R248" s="3">
        <f t="shared" si="15"/>
        <v>1928.6586999999997</v>
      </c>
      <c r="S248" s="3">
        <f t="shared" si="16"/>
        <v>4907.3161</v>
      </c>
      <c r="T248" s="3">
        <f t="shared" si="17"/>
        <v>2978.6574000000001</v>
      </c>
      <c r="U248" s="4">
        <f t="shared" si="18"/>
        <v>0.60698299015219337</v>
      </c>
      <c r="V248" s="5">
        <f t="shared" si="19"/>
        <v>16.738472999999999</v>
      </c>
    </row>
    <row r="249" spans="1:22" x14ac:dyDescent="0.25">
      <c r="A249" s="2" t="s">
        <v>283</v>
      </c>
      <c r="B249" s="2" t="s">
        <v>32</v>
      </c>
      <c r="C249" s="2" t="s">
        <v>19</v>
      </c>
      <c r="D249" s="2" t="s">
        <v>28</v>
      </c>
      <c r="E249" s="2">
        <v>521.13</v>
      </c>
      <c r="F249" s="2">
        <v>15.81</v>
      </c>
      <c r="G249" s="2">
        <v>28.51</v>
      </c>
      <c r="H249" s="2">
        <v>2.9</v>
      </c>
      <c r="I249" s="2">
        <v>0.2</v>
      </c>
      <c r="J249" s="2">
        <v>13</v>
      </c>
      <c r="K249" s="2" t="s">
        <v>21</v>
      </c>
      <c r="L249" s="2">
        <v>6.05</v>
      </c>
      <c r="M249" s="2" t="s">
        <v>37</v>
      </c>
      <c r="N249" s="2">
        <v>90.01</v>
      </c>
      <c r="O249" s="2" t="s">
        <v>24</v>
      </c>
      <c r="P249" s="2">
        <v>7.11</v>
      </c>
      <c r="Q249" s="2">
        <v>10.98</v>
      </c>
      <c r="R249" s="3">
        <f t="shared" si="15"/>
        <v>3705.2343000000001</v>
      </c>
      <c r="S249" s="3">
        <f t="shared" si="16"/>
        <v>5722.0074000000004</v>
      </c>
      <c r="T249" s="3">
        <f t="shared" si="17"/>
        <v>2016.7731000000003</v>
      </c>
      <c r="U249" s="4">
        <f t="shared" si="18"/>
        <v>0.35245901639344268</v>
      </c>
      <c r="V249" s="5">
        <f t="shared" si="19"/>
        <v>31.528364999999997</v>
      </c>
    </row>
    <row r="250" spans="1:22" x14ac:dyDescent="0.25">
      <c r="A250" s="2" t="s">
        <v>284</v>
      </c>
      <c r="B250" s="2" t="s">
        <v>32</v>
      </c>
      <c r="C250" s="2" t="s">
        <v>27</v>
      </c>
      <c r="D250" s="2" t="s">
        <v>28</v>
      </c>
      <c r="E250" s="2">
        <v>620.01</v>
      </c>
      <c r="F250" s="2">
        <v>17.100000000000001</v>
      </c>
      <c r="G250" s="2">
        <v>24.94</v>
      </c>
      <c r="H250" s="2">
        <v>0.5</v>
      </c>
      <c r="I250" s="2">
        <v>0.5</v>
      </c>
      <c r="J250" s="2">
        <v>15</v>
      </c>
      <c r="K250" s="2" t="s">
        <v>34</v>
      </c>
      <c r="L250" s="2">
        <v>8.77</v>
      </c>
      <c r="M250" s="2" t="s">
        <v>22</v>
      </c>
      <c r="N250" s="2">
        <v>94.41</v>
      </c>
      <c r="O250" s="2" t="s">
        <v>30</v>
      </c>
      <c r="P250" s="2">
        <v>8.7799999999999994</v>
      </c>
      <c r="Q250" s="2">
        <v>6.3</v>
      </c>
      <c r="R250" s="3">
        <f t="shared" si="15"/>
        <v>5443.6877999999997</v>
      </c>
      <c r="S250" s="3">
        <f t="shared" si="16"/>
        <v>3906.0629999999996</v>
      </c>
      <c r="T250" s="3">
        <f t="shared" si="17"/>
        <v>-1537.6248000000001</v>
      </c>
      <c r="U250" s="4">
        <f t="shared" si="18"/>
        <v>-0.3936507936507937</v>
      </c>
      <c r="V250" s="5">
        <f t="shared" si="19"/>
        <v>54.374876999999998</v>
      </c>
    </row>
    <row r="251" spans="1:22" x14ac:dyDescent="0.25">
      <c r="A251" s="2" t="s">
        <v>285</v>
      </c>
      <c r="B251" s="2" t="s">
        <v>18</v>
      </c>
      <c r="C251" s="2" t="s">
        <v>43</v>
      </c>
      <c r="D251" s="2" t="s">
        <v>28</v>
      </c>
      <c r="E251" s="2">
        <v>450.81</v>
      </c>
      <c r="F251" s="2">
        <v>11.83</v>
      </c>
      <c r="G251" s="2">
        <v>34.97</v>
      </c>
      <c r="H251" s="2">
        <v>0.6</v>
      </c>
      <c r="I251" s="2">
        <v>0.7</v>
      </c>
      <c r="J251" s="2">
        <v>6</v>
      </c>
      <c r="K251" s="2" t="s">
        <v>29</v>
      </c>
      <c r="L251" s="2">
        <v>3.05</v>
      </c>
      <c r="M251" s="2" t="s">
        <v>37</v>
      </c>
      <c r="N251" s="2">
        <v>66.739999999999995</v>
      </c>
      <c r="O251" s="2" t="s">
        <v>30</v>
      </c>
      <c r="P251" s="2">
        <v>3.34</v>
      </c>
      <c r="Q251" s="2">
        <v>12.22</v>
      </c>
      <c r="R251" s="3">
        <f t="shared" si="15"/>
        <v>1505.7054000000001</v>
      </c>
      <c r="S251" s="3">
        <f t="shared" si="16"/>
        <v>5508.8982000000005</v>
      </c>
      <c r="T251" s="3">
        <f t="shared" si="17"/>
        <v>4003.1928000000007</v>
      </c>
      <c r="U251" s="4">
        <f t="shared" si="18"/>
        <v>0.72667757774140762</v>
      </c>
      <c r="V251" s="5">
        <f t="shared" si="19"/>
        <v>13.749704999999999</v>
      </c>
    </row>
    <row r="252" spans="1:22" x14ac:dyDescent="0.25">
      <c r="A252" s="2" t="s">
        <v>286</v>
      </c>
      <c r="B252" s="2" t="s">
        <v>45</v>
      </c>
      <c r="C252" s="2" t="s">
        <v>43</v>
      </c>
      <c r="D252" s="2" t="s">
        <v>28</v>
      </c>
      <c r="E252" s="2">
        <v>312.33999999999997</v>
      </c>
      <c r="F252" s="2">
        <v>14.31</v>
      </c>
      <c r="G252" s="2">
        <v>25.24</v>
      </c>
      <c r="H252" s="2">
        <v>0.6</v>
      </c>
      <c r="I252" s="2">
        <v>1.7</v>
      </c>
      <c r="J252" s="2">
        <v>16</v>
      </c>
      <c r="K252" s="2" t="s">
        <v>21</v>
      </c>
      <c r="L252" s="2">
        <v>1.65</v>
      </c>
      <c r="M252" s="2" t="s">
        <v>40</v>
      </c>
      <c r="N252" s="2">
        <v>75.38</v>
      </c>
      <c r="O252" s="2" t="s">
        <v>24</v>
      </c>
      <c r="P252" s="2">
        <v>7.18</v>
      </c>
      <c r="Q252" s="2">
        <v>11</v>
      </c>
      <c r="R252" s="3">
        <f t="shared" si="15"/>
        <v>2242.6011999999996</v>
      </c>
      <c r="S252" s="3">
        <f t="shared" si="16"/>
        <v>3435.74</v>
      </c>
      <c r="T252" s="3">
        <f t="shared" si="17"/>
        <v>1193.1388000000002</v>
      </c>
      <c r="U252" s="4">
        <f t="shared" si="18"/>
        <v>0.34727272727272734</v>
      </c>
      <c r="V252" s="5">
        <f t="shared" si="19"/>
        <v>5.1536099999999987</v>
      </c>
    </row>
    <row r="253" spans="1:22" x14ac:dyDescent="0.25">
      <c r="A253" s="2" t="s">
        <v>287</v>
      </c>
      <c r="B253" s="2" t="s">
        <v>32</v>
      </c>
      <c r="C253" s="2" t="s">
        <v>19</v>
      </c>
      <c r="D253" s="2" t="s">
        <v>20</v>
      </c>
      <c r="E253" s="2">
        <v>561.97</v>
      </c>
      <c r="F253" s="2">
        <v>12.3</v>
      </c>
      <c r="G253" s="2">
        <v>37.630000000000003</v>
      </c>
      <c r="H253" s="2">
        <v>9.6</v>
      </c>
      <c r="I253" s="2">
        <v>1.8</v>
      </c>
      <c r="J253" s="2">
        <v>15</v>
      </c>
      <c r="K253" s="2" t="s">
        <v>21</v>
      </c>
      <c r="L253" s="2">
        <v>5.81</v>
      </c>
      <c r="M253" s="2" t="s">
        <v>22</v>
      </c>
      <c r="N253" s="2">
        <v>88.98</v>
      </c>
      <c r="O253" s="2" t="s">
        <v>30</v>
      </c>
      <c r="P253" s="2">
        <v>7.5</v>
      </c>
      <c r="Q253" s="2">
        <v>10.07</v>
      </c>
      <c r="R253" s="3">
        <f t="shared" si="15"/>
        <v>4214.7750000000005</v>
      </c>
      <c r="S253" s="3">
        <f t="shared" si="16"/>
        <v>5659.0379000000003</v>
      </c>
      <c r="T253" s="3">
        <f t="shared" si="17"/>
        <v>1444.2628999999997</v>
      </c>
      <c r="U253" s="4">
        <f t="shared" si="18"/>
        <v>0.25521350546176758</v>
      </c>
      <c r="V253" s="5">
        <f t="shared" si="19"/>
        <v>32.650457000000003</v>
      </c>
    </row>
    <row r="254" spans="1:22" x14ac:dyDescent="0.25">
      <c r="A254" s="2" t="s">
        <v>288</v>
      </c>
      <c r="B254" s="2" t="s">
        <v>26</v>
      </c>
      <c r="C254" s="2" t="s">
        <v>19</v>
      </c>
      <c r="D254" s="2" t="s">
        <v>28</v>
      </c>
      <c r="E254" s="2">
        <v>436.46</v>
      </c>
      <c r="F254" s="2">
        <v>12.38</v>
      </c>
      <c r="G254" s="2">
        <v>37.840000000000003</v>
      </c>
      <c r="H254" s="2">
        <v>0.4</v>
      </c>
      <c r="I254" s="2">
        <v>2.4</v>
      </c>
      <c r="J254" s="2">
        <v>11</v>
      </c>
      <c r="K254" s="2" t="s">
        <v>34</v>
      </c>
      <c r="L254" s="2">
        <v>2.1800000000000002</v>
      </c>
      <c r="M254" s="2" t="s">
        <v>22</v>
      </c>
      <c r="N254" s="2">
        <v>63.22</v>
      </c>
      <c r="O254" s="2" t="s">
        <v>30</v>
      </c>
      <c r="P254" s="2">
        <v>7.22</v>
      </c>
      <c r="Q254" s="2">
        <v>11.93</v>
      </c>
      <c r="R254" s="3">
        <f t="shared" si="15"/>
        <v>3151.2411999999999</v>
      </c>
      <c r="S254" s="3">
        <f t="shared" si="16"/>
        <v>5206.9677999999994</v>
      </c>
      <c r="T254" s="3">
        <f t="shared" si="17"/>
        <v>2055.7265999999995</v>
      </c>
      <c r="U254" s="4">
        <f t="shared" si="18"/>
        <v>0.39480301760268227</v>
      </c>
      <c r="V254" s="5">
        <f t="shared" si="19"/>
        <v>9.5148279999999996</v>
      </c>
    </row>
    <row r="255" spans="1:22" x14ac:dyDescent="0.25">
      <c r="A255" s="2" t="s">
        <v>289</v>
      </c>
      <c r="B255" s="2" t="s">
        <v>32</v>
      </c>
      <c r="C255" s="2" t="s">
        <v>33</v>
      </c>
      <c r="D255" s="2" t="s">
        <v>20</v>
      </c>
      <c r="E255" s="2">
        <v>381.03</v>
      </c>
      <c r="F255" s="2">
        <v>11.1</v>
      </c>
      <c r="G255" s="2">
        <v>23.93</v>
      </c>
      <c r="H255" s="2">
        <v>1.7</v>
      </c>
      <c r="I255" s="2">
        <v>0.7</v>
      </c>
      <c r="J255" s="2">
        <v>20</v>
      </c>
      <c r="K255" s="2" t="s">
        <v>34</v>
      </c>
      <c r="L255" s="2">
        <v>6.3</v>
      </c>
      <c r="M255" s="2" t="s">
        <v>40</v>
      </c>
      <c r="N255" s="2">
        <v>68.58</v>
      </c>
      <c r="O255" s="2" t="s">
        <v>24</v>
      </c>
      <c r="P255" s="2">
        <v>7.55</v>
      </c>
      <c r="Q255" s="2">
        <v>9.44</v>
      </c>
      <c r="R255" s="3">
        <f t="shared" si="15"/>
        <v>2876.7764999999999</v>
      </c>
      <c r="S255" s="3">
        <f t="shared" si="16"/>
        <v>3596.9231999999997</v>
      </c>
      <c r="T255" s="3">
        <f t="shared" si="17"/>
        <v>720.14669999999978</v>
      </c>
      <c r="U255" s="4">
        <f t="shared" si="18"/>
        <v>0.20021186440677963</v>
      </c>
      <c r="V255" s="5">
        <f t="shared" si="19"/>
        <v>24.004889999999996</v>
      </c>
    </row>
    <row r="256" spans="1:22" x14ac:dyDescent="0.25">
      <c r="A256" s="2" t="s">
        <v>290</v>
      </c>
      <c r="B256" s="2" t="s">
        <v>32</v>
      </c>
      <c r="C256" s="2" t="s">
        <v>27</v>
      </c>
      <c r="D256" s="2" t="s">
        <v>20</v>
      </c>
      <c r="E256" s="2">
        <v>437.57</v>
      </c>
      <c r="F256" s="2">
        <v>15.62</v>
      </c>
      <c r="G256" s="2">
        <v>32.28</v>
      </c>
      <c r="H256" s="2">
        <v>5.2</v>
      </c>
      <c r="I256" s="2">
        <v>1.2</v>
      </c>
      <c r="J256" s="2">
        <v>2</v>
      </c>
      <c r="K256" s="2" t="s">
        <v>34</v>
      </c>
      <c r="L256" s="2">
        <v>3</v>
      </c>
      <c r="M256" s="2" t="s">
        <v>40</v>
      </c>
      <c r="N256" s="2">
        <v>91.56</v>
      </c>
      <c r="O256" s="2" t="s">
        <v>30</v>
      </c>
      <c r="P256" s="2">
        <v>7.42</v>
      </c>
      <c r="Q256" s="2">
        <v>10.24</v>
      </c>
      <c r="R256" s="3">
        <f t="shared" si="15"/>
        <v>3246.7694000000001</v>
      </c>
      <c r="S256" s="3">
        <f t="shared" si="16"/>
        <v>4480.7168000000001</v>
      </c>
      <c r="T256" s="3">
        <f t="shared" si="17"/>
        <v>1233.9474</v>
      </c>
      <c r="U256" s="4">
        <f t="shared" si="18"/>
        <v>0.275390625</v>
      </c>
      <c r="V256" s="5">
        <f t="shared" si="19"/>
        <v>13.1271</v>
      </c>
    </row>
    <row r="257" spans="1:22" x14ac:dyDescent="0.25">
      <c r="A257" s="2" t="s">
        <v>291</v>
      </c>
      <c r="B257" s="2" t="s">
        <v>18</v>
      </c>
      <c r="C257" s="2" t="s">
        <v>27</v>
      </c>
      <c r="D257" s="2" t="s">
        <v>20</v>
      </c>
      <c r="E257" s="2">
        <v>481.55</v>
      </c>
      <c r="F257" s="2">
        <v>17.36</v>
      </c>
      <c r="G257" s="2">
        <v>21.75</v>
      </c>
      <c r="H257" s="2">
        <v>0.3</v>
      </c>
      <c r="I257" s="2">
        <v>0.1</v>
      </c>
      <c r="J257" s="2">
        <v>28</v>
      </c>
      <c r="K257" s="2" t="s">
        <v>21</v>
      </c>
      <c r="L257" s="2">
        <v>2.69</v>
      </c>
      <c r="M257" s="2" t="s">
        <v>22</v>
      </c>
      <c r="N257" s="2">
        <v>88.5</v>
      </c>
      <c r="O257" s="2" t="s">
        <v>23</v>
      </c>
      <c r="P257" s="2">
        <v>3.91</v>
      </c>
      <c r="Q257" s="2">
        <v>8.98</v>
      </c>
      <c r="R257" s="3">
        <f t="shared" si="15"/>
        <v>1882.8605</v>
      </c>
      <c r="S257" s="3">
        <f t="shared" si="16"/>
        <v>4324.3190000000004</v>
      </c>
      <c r="T257" s="3">
        <f t="shared" si="17"/>
        <v>2441.4585000000006</v>
      </c>
      <c r="U257" s="4">
        <f t="shared" si="18"/>
        <v>0.56458797327394217</v>
      </c>
      <c r="V257" s="5">
        <f t="shared" si="19"/>
        <v>12.953695</v>
      </c>
    </row>
    <row r="258" spans="1:22" x14ac:dyDescent="0.25">
      <c r="A258" s="2" t="s">
        <v>292</v>
      </c>
      <c r="B258" s="2" t="s">
        <v>18</v>
      </c>
      <c r="C258" s="2" t="s">
        <v>19</v>
      </c>
      <c r="D258" s="2" t="s">
        <v>20</v>
      </c>
      <c r="E258" s="2">
        <v>439.53</v>
      </c>
      <c r="F258" s="2">
        <v>17.41</v>
      </c>
      <c r="G258" s="2">
        <v>27.83</v>
      </c>
      <c r="H258" s="2">
        <v>7.1</v>
      </c>
      <c r="I258" s="2">
        <v>0.8</v>
      </c>
      <c r="J258" s="2">
        <v>28</v>
      </c>
      <c r="K258" s="2" t="s">
        <v>29</v>
      </c>
      <c r="L258" s="2">
        <v>4.29</v>
      </c>
      <c r="M258" s="2" t="s">
        <v>37</v>
      </c>
      <c r="N258" s="2">
        <v>98.56</v>
      </c>
      <c r="O258" s="2" t="s">
        <v>24</v>
      </c>
      <c r="P258" s="2">
        <v>4.6399999999999997</v>
      </c>
      <c r="Q258" s="2">
        <v>12.17</v>
      </c>
      <c r="R258" s="3">
        <f t="shared" si="15"/>
        <v>2039.4191999999998</v>
      </c>
      <c r="S258" s="3">
        <f t="shared" si="16"/>
        <v>5349.0800999999992</v>
      </c>
      <c r="T258" s="3">
        <f t="shared" si="17"/>
        <v>3309.6608999999994</v>
      </c>
      <c r="U258" s="4">
        <f t="shared" si="18"/>
        <v>0.61873459326211999</v>
      </c>
      <c r="V258" s="5">
        <f t="shared" si="19"/>
        <v>18.855836999999998</v>
      </c>
    </row>
    <row r="259" spans="1:22" x14ac:dyDescent="0.25">
      <c r="A259" s="2" t="s">
        <v>293</v>
      </c>
      <c r="B259" s="2" t="s">
        <v>45</v>
      </c>
      <c r="C259" s="2" t="s">
        <v>33</v>
      </c>
      <c r="D259" s="2" t="s">
        <v>20</v>
      </c>
      <c r="E259" s="2">
        <v>279.44</v>
      </c>
      <c r="F259" s="2">
        <v>9.75</v>
      </c>
      <c r="G259" s="2">
        <v>34.270000000000003</v>
      </c>
      <c r="H259" s="2">
        <v>5.9</v>
      </c>
      <c r="I259" s="2">
        <v>0.3</v>
      </c>
      <c r="J259" s="2">
        <v>2</v>
      </c>
      <c r="K259" s="2" t="s">
        <v>34</v>
      </c>
      <c r="L259" s="2">
        <v>6.14</v>
      </c>
      <c r="M259" s="2" t="s">
        <v>37</v>
      </c>
      <c r="N259" s="2">
        <v>99.8</v>
      </c>
      <c r="O259" s="2" t="s">
        <v>30</v>
      </c>
      <c r="P259" s="2">
        <v>7.33</v>
      </c>
      <c r="Q259" s="2">
        <v>13.77</v>
      </c>
      <c r="R259" s="3">
        <f t="shared" ref="R259:R322" si="20">E259*P259</f>
        <v>2048.2952</v>
      </c>
      <c r="S259" s="3">
        <f t="shared" ref="S259:S322" si="21">E259*Q259</f>
        <v>3847.8887999999997</v>
      </c>
      <c r="T259" s="3">
        <f t="shared" ref="T259:T322" si="22">S259-R259</f>
        <v>1799.5935999999997</v>
      </c>
      <c r="U259" s="4">
        <f t="shared" ref="U259:U322" si="23">T259/S259</f>
        <v>0.46768336964415391</v>
      </c>
      <c r="V259" s="5">
        <f t="shared" ref="V259:V322" si="24">E259*L259/100</f>
        <v>17.157615999999997</v>
      </c>
    </row>
    <row r="260" spans="1:22" x14ac:dyDescent="0.25">
      <c r="A260" s="2" t="s">
        <v>294</v>
      </c>
      <c r="B260" s="2" t="s">
        <v>26</v>
      </c>
      <c r="C260" s="2" t="s">
        <v>27</v>
      </c>
      <c r="D260" s="2" t="s">
        <v>28</v>
      </c>
      <c r="E260" s="2">
        <v>589.71</v>
      </c>
      <c r="F260" s="2">
        <v>16.75</v>
      </c>
      <c r="G260" s="2">
        <v>33.19</v>
      </c>
      <c r="H260" s="2">
        <v>4.3</v>
      </c>
      <c r="I260" s="2">
        <v>0.6</v>
      </c>
      <c r="J260" s="2">
        <v>12</v>
      </c>
      <c r="K260" s="2" t="s">
        <v>29</v>
      </c>
      <c r="L260" s="2">
        <v>5.68</v>
      </c>
      <c r="M260" s="2" t="s">
        <v>37</v>
      </c>
      <c r="N260" s="2">
        <v>62.04</v>
      </c>
      <c r="O260" s="2" t="s">
        <v>23</v>
      </c>
      <c r="P260" s="2">
        <v>3.12</v>
      </c>
      <c r="Q260" s="2">
        <v>13.41</v>
      </c>
      <c r="R260" s="3">
        <f t="shared" si="20"/>
        <v>1839.8952000000002</v>
      </c>
      <c r="S260" s="3">
        <f t="shared" si="21"/>
        <v>7908.0111000000006</v>
      </c>
      <c r="T260" s="3">
        <f t="shared" si="22"/>
        <v>6068.1159000000007</v>
      </c>
      <c r="U260" s="4">
        <f t="shared" si="23"/>
        <v>0.76733780760626402</v>
      </c>
      <c r="V260" s="5">
        <f t="shared" si="24"/>
        <v>33.495528</v>
      </c>
    </row>
    <row r="261" spans="1:22" x14ac:dyDescent="0.25">
      <c r="A261" s="2" t="s">
        <v>295</v>
      </c>
      <c r="B261" s="2" t="s">
        <v>18</v>
      </c>
      <c r="C261" s="2" t="s">
        <v>19</v>
      </c>
      <c r="D261" s="2" t="s">
        <v>28</v>
      </c>
      <c r="E261" s="2">
        <v>627.49</v>
      </c>
      <c r="F261" s="2">
        <v>15.37</v>
      </c>
      <c r="G261" s="2">
        <v>32.49</v>
      </c>
      <c r="H261" s="2">
        <v>0.5</v>
      </c>
      <c r="I261" s="2">
        <v>1</v>
      </c>
      <c r="J261" s="2">
        <v>16</v>
      </c>
      <c r="K261" s="2" t="s">
        <v>34</v>
      </c>
      <c r="L261" s="2">
        <v>2.82</v>
      </c>
      <c r="M261" s="2" t="s">
        <v>40</v>
      </c>
      <c r="N261" s="2">
        <v>95.02</v>
      </c>
      <c r="O261" s="2" t="s">
        <v>30</v>
      </c>
      <c r="P261" s="2">
        <v>7.44</v>
      </c>
      <c r="Q261" s="2">
        <v>12.86</v>
      </c>
      <c r="R261" s="3">
        <f t="shared" si="20"/>
        <v>4668.5255999999999</v>
      </c>
      <c r="S261" s="3">
        <f t="shared" si="21"/>
        <v>8069.5213999999996</v>
      </c>
      <c r="T261" s="3">
        <f t="shared" si="22"/>
        <v>3400.9957999999997</v>
      </c>
      <c r="U261" s="4">
        <f t="shared" si="23"/>
        <v>0.42146189735614303</v>
      </c>
      <c r="V261" s="5">
        <f t="shared" si="24"/>
        <v>17.695218000000001</v>
      </c>
    </row>
    <row r="262" spans="1:22" x14ac:dyDescent="0.25">
      <c r="A262" s="2" t="s">
        <v>296</v>
      </c>
      <c r="B262" s="2" t="s">
        <v>32</v>
      </c>
      <c r="C262" s="2" t="s">
        <v>43</v>
      </c>
      <c r="D262" s="2" t="s">
        <v>28</v>
      </c>
      <c r="E262" s="2">
        <v>565.15</v>
      </c>
      <c r="F262" s="2">
        <v>10.53</v>
      </c>
      <c r="G262" s="2">
        <v>25.65</v>
      </c>
      <c r="H262" s="2">
        <v>2</v>
      </c>
      <c r="I262" s="2">
        <v>0.3</v>
      </c>
      <c r="J262" s="2">
        <v>19</v>
      </c>
      <c r="K262" s="2" t="s">
        <v>29</v>
      </c>
      <c r="L262" s="2">
        <v>8.9700000000000006</v>
      </c>
      <c r="M262" s="2" t="s">
        <v>22</v>
      </c>
      <c r="N262" s="2">
        <v>54.73</v>
      </c>
      <c r="O262" s="2" t="s">
        <v>24</v>
      </c>
      <c r="P262" s="2">
        <v>7.66</v>
      </c>
      <c r="Q262" s="2">
        <v>5.14</v>
      </c>
      <c r="R262" s="3">
        <f t="shared" si="20"/>
        <v>4329.049</v>
      </c>
      <c r="S262" s="3">
        <f t="shared" si="21"/>
        <v>2904.8709999999996</v>
      </c>
      <c r="T262" s="3">
        <f t="shared" si="22"/>
        <v>-1424.1780000000003</v>
      </c>
      <c r="U262" s="4">
        <f t="shared" si="23"/>
        <v>-0.49027237354085623</v>
      </c>
      <c r="V262" s="5">
        <f t="shared" si="24"/>
        <v>50.693955000000003</v>
      </c>
    </row>
    <row r="263" spans="1:22" x14ac:dyDescent="0.25">
      <c r="A263" s="2" t="s">
        <v>297</v>
      </c>
      <c r="B263" s="2" t="s">
        <v>45</v>
      </c>
      <c r="C263" s="2" t="s">
        <v>27</v>
      </c>
      <c r="D263" s="2" t="s">
        <v>20</v>
      </c>
      <c r="E263" s="2">
        <v>386.23</v>
      </c>
      <c r="F263" s="2">
        <v>8.67</v>
      </c>
      <c r="G263" s="2">
        <v>27.56</v>
      </c>
      <c r="H263" s="2">
        <v>2.9</v>
      </c>
      <c r="I263" s="2">
        <v>0.1</v>
      </c>
      <c r="J263" s="2">
        <v>2</v>
      </c>
      <c r="K263" s="2" t="s">
        <v>34</v>
      </c>
      <c r="L263" s="2">
        <v>1.54</v>
      </c>
      <c r="M263" s="2" t="s">
        <v>37</v>
      </c>
      <c r="N263" s="2">
        <v>85.49</v>
      </c>
      <c r="O263" s="2" t="s">
        <v>23</v>
      </c>
      <c r="P263" s="2">
        <v>4.67</v>
      </c>
      <c r="Q263" s="2">
        <v>14.12</v>
      </c>
      <c r="R263" s="3">
        <f t="shared" si="20"/>
        <v>1803.6941000000002</v>
      </c>
      <c r="S263" s="3">
        <f t="shared" si="21"/>
        <v>5453.5676000000003</v>
      </c>
      <c r="T263" s="3">
        <f t="shared" si="22"/>
        <v>3649.8735000000001</v>
      </c>
      <c r="U263" s="4">
        <f t="shared" si="23"/>
        <v>0.66926345609065152</v>
      </c>
      <c r="V263" s="5">
        <f t="shared" si="24"/>
        <v>5.9479420000000003</v>
      </c>
    </row>
    <row r="264" spans="1:22" x14ac:dyDescent="0.25">
      <c r="A264" s="2" t="s">
        <v>298</v>
      </c>
      <c r="B264" s="2" t="s">
        <v>32</v>
      </c>
      <c r="C264" s="2" t="s">
        <v>33</v>
      </c>
      <c r="D264" s="2" t="s">
        <v>28</v>
      </c>
      <c r="E264" s="2">
        <v>479.85</v>
      </c>
      <c r="F264" s="2">
        <v>10.68</v>
      </c>
      <c r="G264" s="2">
        <v>22.06</v>
      </c>
      <c r="H264" s="2">
        <v>8.5</v>
      </c>
      <c r="I264" s="2">
        <v>0</v>
      </c>
      <c r="J264" s="2">
        <v>17</v>
      </c>
      <c r="K264" s="2" t="s">
        <v>29</v>
      </c>
      <c r="L264" s="2">
        <v>0.87</v>
      </c>
      <c r="M264" s="2" t="s">
        <v>22</v>
      </c>
      <c r="N264" s="2">
        <v>61</v>
      </c>
      <c r="O264" s="2" t="s">
        <v>30</v>
      </c>
      <c r="P264" s="2">
        <v>7.19</v>
      </c>
      <c r="Q264" s="2">
        <v>7.75</v>
      </c>
      <c r="R264" s="3">
        <f t="shared" si="20"/>
        <v>3450.1215000000002</v>
      </c>
      <c r="S264" s="3">
        <f t="shared" si="21"/>
        <v>3718.8375000000001</v>
      </c>
      <c r="T264" s="3">
        <f t="shared" si="22"/>
        <v>268.71599999999989</v>
      </c>
      <c r="U264" s="4">
        <f t="shared" si="23"/>
        <v>7.2258064516128998E-2</v>
      </c>
      <c r="V264" s="5">
        <f t="shared" si="24"/>
        <v>4.1746950000000007</v>
      </c>
    </row>
    <row r="265" spans="1:22" x14ac:dyDescent="0.25">
      <c r="A265" s="2" t="s">
        <v>299</v>
      </c>
      <c r="B265" s="2" t="s">
        <v>32</v>
      </c>
      <c r="C265" s="2" t="s">
        <v>33</v>
      </c>
      <c r="D265" s="2" t="s">
        <v>28</v>
      </c>
      <c r="E265" s="2">
        <v>499.35</v>
      </c>
      <c r="F265" s="2">
        <v>17.12</v>
      </c>
      <c r="G265" s="2">
        <v>34.380000000000003</v>
      </c>
      <c r="H265" s="2">
        <v>0.4</v>
      </c>
      <c r="I265" s="2">
        <v>0</v>
      </c>
      <c r="J265" s="2">
        <v>14</v>
      </c>
      <c r="K265" s="2" t="s">
        <v>21</v>
      </c>
      <c r="L265" s="2">
        <v>6.23</v>
      </c>
      <c r="M265" s="2" t="s">
        <v>37</v>
      </c>
      <c r="N265" s="2">
        <v>65.02</v>
      </c>
      <c r="O265" s="2" t="s">
        <v>24</v>
      </c>
      <c r="P265" s="2">
        <v>6.74</v>
      </c>
      <c r="Q265" s="2">
        <v>13.88</v>
      </c>
      <c r="R265" s="3">
        <f t="shared" si="20"/>
        <v>3365.6190000000001</v>
      </c>
      <c r="S265" s="3">
        <f t="shared" si="21"/>
        <v>6930.978000000001</v>
      </c>
      <c r="T265" s="3">
        <f t="shared" si="22"/>
        <v>3565.3590000000008</v>
      </c>
      <c r="U265" s="4">
        <f t="shared" si="23"/>
        <v>0.51440922190201732</v>
      </c>
      <c r="V265" s="5">
        <f t="shared" si="24"/>
        <v>31.109505000000002</v>
      </c>
    </row>
    <row r="266" spans="1:22" x14ac:dyDescent="0.25">
      <c r="A266" s="2" t="s">
        <v>300</v>
      </c>
      <c r="B266" s="2" t="s">
        <v>18</v>
      </c>
      <c r="C266" s="2" t="s">
        <v>33</v>
      </c>
      <c r="D266" s="2" t="s">
        <v>28</v>
      </c>
      <c r="E266" s="2">
        <v>559.88</v>
      </c>
      <c r="F266" s="2">
        <v>14.33</v>
      </c>
      <c r="G266" s="2">
        <v>30.08</v>
      </c>
      <c r="H266" s="2">
        <v>2.9</v>
      </c>
      <c r="I266" s="2">
        <v>0</v>
      </c>
      <c r="J266" s="2">
        <v>24</v>
      </c>
      <c r="K266" s="2" t="s">
        <v>34</v>
      </c>
      <c r="L266" s="2">
        <v>1.67</v>
      </c>
      <c r="M266" s="2" t="s">
        <v>22</v>
      </c>
      <c r="N266" s="2">
        <v>97.32</v>
      </c>
      <c r="O266" s="2" t="s">
        <v>30</v>
      </c>
      <c r="P266" s="2">
        <v>4.82</v>
      </c>
      <c r="Q266" s="2">
        <v>6.97</v>
      </c>
      <c r="R266" s="3">
        <f t="shared" si="20"/>
        <v>2698.6215999999999</v>
      </c>
      <c r="S266" s="3">
        <f t="shared" si="21"/>
        <v>3902.3635999999997</v>
      </c>
      <c r="T266" s="3">
        <f t="shared" si="22"/>
        <v>1203.7419999999997</v>
      </c>
      <c r="U266" s="4">
        <f t="shared" si="23"/>
        <v>0.30846484935437585</v>
      </c>
      <c r="V266" s="5">
        <f t="shared" si="24"/>
        <v>9.3499959999999991</v>
      </c>
    </row>
    <row r="267" spans="1:22" x14ac:dyDescent="0.25">
      <c r="A267" s="2" t="s">
        <v>301</v>
      </c>
      <c r="B267" s="2" t="s">
        <v>45</v>
      </c>
      <c r="C267" s="2" t="s">
        <v>43</v>
      </c>
      <c r="D267" s="2" t="s">
        <v>28</v>
      </c>
      <c r="E267" s="2">
        <v>566.83000000000004</v>
      </c>
      <c r="F267" s="2">
        <v>15.21</v>
      </c>
      <c r="G267" s="2">
        <v>34.18</v>
      </c>
      <c r="H267" s="2">
        <v>0.8</v>
      </c>
      <c r="I267" s="2">
        <v>0.1</v>
      </c>
      <c r="J267" s="2">
        <v>28</v>
      </c>
      <c r="K267" s="2" t="s">
        <v>34</v>
      </c>
      <c r="L267" s="2">
        <v>5.3</v>
      </c>
      <c r="M267" s="2" t="s">
        <v>40</v>
      </c>
      <c r="N267" s="2">
        <v>63.16</v>
      </c>
      <c r="O267" s="2" t="s">
        <v>30</v>
      </c>
      <c r="P267" s="2">
        <v>6.24</v>
      </c>
      <c r="Q267" s="2">
        <v>9.4</v>
      </c>
      <c r="R267" s="3">
        <f t="shared" si="20"/>
        <v>3537.0192000000002</v>
      </c>
      <c r="S267" s="3">
        <f t="shared" si="21"/>
        <v>5328.2020000000002</v>
      </c>
      <c r="T267" s="3">
        <f t="shared" si="22"/>
        <v>1791.1828</v>
      </c>
      <c r="U267" s="4">
        <f t="shared" si="23"/>
        <v>0.33617021276595743</v>
      </c>
      <c r="V267" s="5">
        <f t="shared" si="24"/>
        <v>30.041990000000002</v>
      </c>
    </row>
    <row r="268" spans="1:22" x14ac:dyDescent="0.25">
      <c r="A268" s="2" t="s">
        <v>302</v>
      </c>
      <c r="B268" s="2" t="s">
        <v>26</v>
      </c>
      <c r="C268" s="2" t="s">
        <v>27</v>
      </c>
      <c r="D268" s="2" t="s">
        <v>28</v>
      </c>
      <c r="E268" s="2">
        <v>426.58</v>
      </c>
      <c r="F268" s="2">
        <v>10.57</v>
      </c>
      <c r="G268" s="2">
        <v>24.98</v>
      </c>
      <c r="H268" s="2">
        <v>0.4</v>
      </c>
      <c r="I268" s="2">
        <v>0.3</v>
      </c>
      <c r="J268" s="2">
        <v>16</v>
      </c>
      <c r="K268" s="2" t="s">
        <v>21</v>
      </c>
      <c r="L268" s="2">
        <v>9.5399999999999991</v>
      </c>
      <c r="M268" s="2" t="s">
        <v>40</v>
      </c>
      <c r="N268" s="2">
        <v>83.66</v>
      </c>
      <c r="O268" s="2" t="s">
        <v>23</v>
      </c>
      <c r="P268" s="2">
        <v>9.3699999999999992</v>
      </c>
      <c r="Q268" s="2">
        <v>12.49</v>
      </c>
      <c r="R268" s="3">
        <f t="shared" si="20"/>
        <v>3997.0545999999995</v>
      </c>
      <c r="S268" s="3">
        <f t="shared" si="21"/>
        <v>5327.9841999999999</v>
      </c>
      <c r="T268" s="3">
        <f t="shared" si="22"/>
        <v>1330.9296000000004</v>
      </c>
      <c r="U268" s="4">
        <f t="shared" si="23"/>
        <v>0.24979983987189761</v>
      </c>
      <c r="V268" s="5">
        <f t="shared" si="24"/>
        <v>40.695731999999992</v>
      </c>
    </row>
    <row r="269" spans="1:22" x14ac:dyDescent="0.25">
      <c r="A269" s="2" t="s">
        <v>303</v>
      </c>
      <c r="B269" s="2" t="s">
        <v>26</v>
      </c>
      <c r="C269" s="2" t="s">
        <v>27</v>
      </c>
      <c r="D269" s="2" t="s">
        <v>20</v>
      </c>
      <c r="E269" s="2">
        <v>508.2</v>
      </c>
      <c r="F269" s="2">
        <v>15.19</v>
      </c>
      <c r="G269" s="2">
        <v>26.49</v>
      </c>
      <c r="H269" s="2">
        <v>1.1000000000000001</v>
      </c>
      <c r="I269" s="2">
        <v>0.3</v>
      </c>
      <c r="J269" s="2">
        <v>5</v>
      </c>
      <c r="K269" s="2" t="s">
        <v>34</v>
      </c>
      <c r="L269" s="2">
        <v>7.14</v>
      </c>
      <c r="M269" s="2" t="s">
        <v>40</v>
      </c>
      <c r="N269" s="2">
        <v>58.91</v>
      </c>
      <c r="O269" s="2" t="s">
        <v>30</v>
      </c>
      <c r="P269" s="2">
        <v>5.99</v>
      </c>
      <c r="Q269" s="2">
        <v>11.4</v>
      </c>
      <c r="R269" s="3">
        <f t="shared" si="20"/>
        <v>3044.1179999999999</v>
      </c>
      <c r="S269" s="3">
        <f t="shared" si="21"/>
        <v>5793.4800000000005</v>
      </c>
      <c r="T269" s="3">
        <f t="shared" si="22"/>
        <v>2749.3620000000005</v>
      </c>
      <c r="U269" s="4">
        <f t="shared" si="23"/>
        <v>0.47456140350877196</v>
      </c>
      <c r="V269" s="5">
        <f t="shared" si="24"/>
        <v>36.28548</v>
      </c>
    </row>
    <row r="270" spans="1:22" x14ac:dyDescent="0.25">
      <c r="A270" s="2" t="s">
        <v>304</v>
      </c>
      <c r="B270" s="2" t="s">
        <v>18</v>
      </c>
      <c r="C270" s="2" t="s">
        <v>43</v>
      </c>
      <c r="D270" s="2" t="s">
        <v>28</v>
      </c>
      <c r="E270" s="2">
        <v>545.73</v>
      </c>
      <c r="F270" s="2">
        <v>8.2799999999999994</v>
      </c>
      <c r="G270" s="2">
        <v>26.68</v>
      </c>
      <c r="H270" s="2">
        <v>3.2</v>
      </c>
      <c r="I270" s="2">
        <v>4.3</v>
      </c>
      <c r="J270" s="2">
        <v>10</v>
      </c>
      <c r="K270" s="2" t="s">
        <v>34</v>
      </c>
      <c r="L270" s="2">
        <v>6.37</v>
      </c>
      <c r="M270" s="2" t="s">
        <v>37</v>
      </c>
      <c r="N270" s="2">
        <v>54.67</v>
      </c>
      <c r="O270" s="2" t="s">
        <v>24</v>
      </c>
      <c r="P270" s="2">
        <v>7.41</v>
      </c>
      <c r="Q270" s="2">
        <v>9.16</v>
      </c>
      <c r="R270" s="3">
        <f t="shared" si="20"/>
        <v>4043.8593000000001</v>
      </c>
      <c r="S270" s="3">
        <f t="shared" si="21"/>
        <v>4998.8868000000002</v>
      </c>
      <c r="T270" s="3">
        <f t="shared" si="22"/>
        <v>955.02750000000015</v>
      </c>
      <c r="U270" s="4">
        <f t="shared" si="23"/>
        <v>0.19104803493449785</v>
      </c>
      <c r="V270" s="5">
        <f t="shared" si="24"/>
        <v>34.763001000000003</v>
      </c>
    </row>
    <row r="271" spans="1:22" x14ac:dyDescent="0.25">
      <c r="A271" s="2" t="s">
        <v>305</v>
      </c>
      <c r="B271" s="2" t="s">
        <v>18</v>
      </c>
      <c r="C271" s="2" t="s">
        <v>27</v>
      </c>
      <c r="D271" s="2" t="s">
        <v>20</v>
      </c>
      <c r="E271" s="2">
        <v>645.58000000000004</v>
      </c>
      <c r="F271" s="2">
        <v>11.75</v>
      </c>
      <c r="G271" s="2">
        <v>20.51</v>
      </c>
      <c r="H271" s="2">
        <v>1.3</v>
      </c>
      <c r="I271" s="2">
        <v>0.4</v>
      </c>
      <c r="J271" s="2">
        <v>17</v>
      </c>
      <c r="K271" s="2" t="s">
        <v>21</v>
      </c>
      <c r="L271" s="2">
        <v>5.96</v>
      </c>
      <c r="M271" s="2" t="s">
        <v>40</v>
      </c>
      <c r="N271" s="2">
        <v>66.97</v>
      </c>
      <c r="O271" s="2" t="s">
        <v>24</v>
      </c>
      <c r="P271" s="2">
        <v>3.25</v>
      </c>
      <c r="Q271" s="2">
        <v>11.79</v>
      </c>
      <c r="R271" s="3">
        <f t="shared" si="20"/>
        <v>2098.1350000000002</v>
      </c>
      <c r="S271" s="3">
        <f t="shared" si="21"/>
        <v>7611.3882000000003</v>
      </c>
      <c r="T271" s="3">
        <f t="shared" si="22"/>
        <v>5513.2532000000001</v>
      </c>
      <c r="U271" s="4">
        <f t="shared" si="23"/>
        <v>0.72434266327396102</v>
      </c>
      <c r="V271" s="5">
        <f t="shared" si="24"/>
        <v>38.476568</v>
      </c>
    </row>
    <row r="272" spans="1:22" x14ac:dyDescent="0.25">
      <c r="A272" s="2" t="s">
        <v>306</v>
      </c>
      <c r="B272" s="2" t="s">
        <v>45</v>
      </c>
      <c r="C272" s="2" t="s">
        <v>43</v>
      </c>
      <c r="D272" s="2" t="s">
        <v>20</v>
      </c>
      <c r="E272" s="2">
        <v>570.45000000000005</v>
      </c>
      <c r="F272" s="2">
        <v>14.27</v>
      </c>
      <c r="G272" s="2">
        <v>26.82</v>
      </c>
      <c r="H272" s="2">
        <v>1.5</v>
      </c>
      <c r="I272" s="2">
        <v>0.1</v>
      </c>
      <c r="J272" s="2">
        <v>13</v>
      </c>
      <c r="K272" s="2" t="s">
        <v>21</v>
      </c>
      <c r="L272" s="2">
        <v>2.21</v>
      </c>
      <c r="M272" s="2" t="s">
        <v>40</v>
      </c>
      <c r="N272" s="2">
        <v>81.209999999999994</v>
      </c>
      <c r="O272" s="2" t="s">
        <v>23</v>
      </c>
      <c r="P272" s="2">
        <v>3.54</v>
      </c>
      <c r="Q272" s="2">
        <v>10.49</v>
      </c>
      <c r="R272" s="3">
        <f t="shared" si="20"/>
        <v>2019.3930000000003</v>
      </c>
      <c r="S272" s="3">
        <f t="shared" si="21"/>
        <v>5984.0205000000005</v>
      </c>
      <c r="T272" s="3">
        <f t="shared" si="22"/>
        <v>3964.6275000000005</v>
      </c>
      <c r="U272" s="4">
        <f t="shared" si="23"/>
        <v>0.66253574833174456</v>
      </c>
      <c r="V272" s="5">
        <f t="shared" si="24"/>
        <v>12.606945000000001</v>
      </c>
    </row>
    <row r="273" spans="1:22" x14ac:dyDescent="0.25">
      <c r="A273" s="2" t="s">
        <v>307</v>
      </c>
      <c r="B273" s="2" t="s">
        <v>26</v>
      </c>
      <c r="C273" s="2" t="s">
        <v>43</v>
      </c>
      <c r="D273" s="2" t="s">
        <v>20</v>
      </c>
      <c r="E273" s="2">
        <v>578.91</v>
      </c>
      <c r="F273" s="2">
        <v>9.4600000000000009</v>
      </c>
      <c r="G273" s="2">
        <v>36.07</v>
      </c>
      <c r="H273" s="2">
        <v>10.7</v>
      </c>
      <c r="I273" s="2">
        <v>0.8</v>
      </c>
      <c r="J273" s="2">
        <v>16</v>
      </c>
      <c r="K273" s="2" t="s">
        <v>29</v>
      </c>
      <c r="L273" s="2">
        <v>4.6100000000000003</v>
      </c>
      <c r="M273" s="2" t="s">
        <v>40</v>
      </c>
      <c r="N273" s="2">
        <v>62.4</v>
      </c>
      <c r="O273" s="2" t="s">
        <v>23</v>
      </c>
      <c r="P273" s="2">
        <v>3.57</v>
      </c>
      <c r="Q273" s="2">
        <v>7.76</v>
      </c>
      <c r="R273" s="3">
        <f t="shared" si="20"/>
        <v>2066.7086999999997</v>
      </c>
      <c r="S273" s="3">
        <f t="shared" si="21"/>
        <v>4492.3415999999997</v>
      </c>
      <c r="T273" s="3">
        <f t="shared" si="22"/>
        <v>2425.6329000000001</v>
      </c>
      <c r="U273" s="4">
        <f t="shared" si="23"/>
        <v>0.5399484536082475</v>
      </c>
      <c r="V273" s="5">
        <f t="shared" si="24"/>
        <v>26.687750999999999</v>
      </c>
    </row>
    <row r="274" spans="1:22" x14ac:dyDescent="0.25">
      <c r="A274" s="2" t="s">
        <v>308</v>
      </c>
      <c r="B274" s="2" t="s">
        <v>26</v>
      </c>
      <c r="C274" s="2" t="s">
        <v>43</v>
      </c>
      <c r="D274" s="2" t="s">
        <v>20</v>
      </c>
      <c r="E274" s="2">
        <v>508.38</v>
      </c>
      <c r="F274" s="2">
        <v>16.23</v>
      </c>
      <c r="G274" s="2">
        <v>37.950000000000003</v>
      </c>
      <c r="H274" s="2">
        <v>1</v>
      </c>
      <c r="I274" s="2">
        <v>2</v>
      </c>
      <c r="J274" s="2">
        <v>9</v>
      </c>
      <c r="K274" s="2" t="s">
        <v>21</v>
      </c>
      <c r="L274" s="2">
        <v>3.75</v>
      </c>
      <c r="M274" s="2" t="s">
        <v>22</v>
      </c>
      <c r="N274" s="2">
        <v>65.010000000000005</v>
      </c>
      <c r="O274" s="2" t="s">
        <v>30</v>
      </c>
      <c r="P274" s="2">
        <v>8.4499999999999993</v>
      </c>
      <c r="Q274" s="2">
        <v>11.46</v>
      </c>
      <c r="R274" s="3">
        <f t="shared" si="20"/>
        <v>4295.8109999999997</v>
      </c>
      <c r="S274" s="3">
        <f t="shared" si="21"/>
        <v>5826.0348000000004</v>
      </c>
      <c r="T274" s="3">
        <f t="shared" si="22"/>
        <v>1530.2238000000007</v>
      </c>
      <c r="U274" s="4">
        <f t="shared" si="23"/>
        <v>0.26265270506108213</v>
      </c>
      <c r="V274" s="5">
        <f t="shared" si="24"/>
        <v>19.064250000000001</v>
      </c>
    </row>
    <row r="275" spans="1:22" x14ac:dyDescent="0.25">
      <c r="A275" s="2" t="s">
        <v>309</v>
      </c>
      <c r="B275" s="2" t="s">
        <v>26</v>
      </c>
      <c r="C275" s="2" t="s">
        <v>33</v>
      </c>
      <c r="D275" s="2" t="s">
        <v>20</v>
      </c>
      <c r="E275" s="2">
        <v>641.04999999999995</v>
      </c>
      <c r="F275" s="2">
        <v>10.35</v>
      </c>
      <c r="G275" s="2">
        <v>30.36</v>
      </c>
      <c r="H275" s="2">
        <v>1.9</v>
      </c>
      <c r="I275" s="2">
        <v>1.1000000000000001</v>
      </c>
      <c r="J275" s="2">
        <v>24</v>
      </c>
      <c r="K275" s="2" t="s">
        <v>21</v>
      </c>
      <c r="L275" s="2">
        <v>9.5500000000000007</v>
      </c>
      <c r="M275" s="2" t="s">
        <v>22</v>
      </c>
      <c r="N275" s="2">
        <v>85.44</v>
      </c>
      <c r="O275" s="2" t="s">
        <v>24</v>
      </c>
      <c r="P275" s="2">
        <v>5.45</v>
      </c>
      <c r="Q275" s="2">
        <v>7.04</v>
      </c>
      <c r="R275" s="3">
        <f t="shared" si="20"/>
        <v>3493.7224999999999</v>
      </c>
      <c r="S275" s="3">
        <f t="shared" si="21"/>
        <v>4512.9919999999993</v>
      </c>
      <c r="T275" s="3">
        <f t="shared" si="22"/>
        <v>1019.2694999999994</v>
      </c>
      <c r="U275" s="4">
        <f t="shared" si="23"/>
        <v>0.22585227272727262</v>
      </c>
      <c r="V275" s="5">
        <f t="shared" si="24"/>
        <v>61.220275000000001</v>
      </c>
    </row>
    <row r="276" spans="1:22" x14ac:dyDescent="0.25">
      <c r="A276" s="2" t="s">
        <v>310</v>
      </c>
      <c r="B276" s="2" t="s">
        <v>32</v>
      </c>
      <c r="C276" s="2" t="s">
        <v>27</v>
      </c>
      <c r="D276" s="2" t="s">
        <v>28</v>
      </c>
      <c r="E276" s="2">
        <v>540.98</v>
      </c>
      <c r="F276" s="2">
        <v>14.52</v>
      </c>
      <c r="G276" s="2">
        <v>29.11</v>
      </c>
      <c r="H276" s="2">
        <v>0.9</v>
      </c>
      <c r="I276" s="2">
        <v>0.4</v>
      </c>
      <c r="J276" s="2">
        <v>4</v>
      </c>
      <c r="K276" s="2" t="s">
        <v>34</v>
      </c>
      <c r="L276" s="2">
        <v>2.8</v>
      </c>
      <c r="M276" s="2" t="s">
        <v>22</v>
      </c>
      <c r="N276" s="2">
        <v>55.14</v>
      </c>
      <c r="O276" s="2" t="s">
        <v>23</v>
      </c>
      <c r="P276" s="2">
        <v>4.59</v>
      </c>
      <c r="Q276" s="2">
        <v>11.94</v>
      </c>
      <c r="R276" s="3">
        <f t="shared" si="20"/>
        <v>2483.0981999999999</v>
      </c>
      <c r="S276" s="3">
        <f t="shared" si="21"/>
        <v>6459.3011999999999</v>
      </c>
      <c r="T276" s="3">
        <f t="shared" si="22"/>
        <v>3976.203</v>
      </c>
      <c r="U276" s="4">
        <f t="shared" si="23"/>
        <v>0.61557788944723624</v>
      </c>
      <c r="V276" s="5">
        <f t="shared" si="24"/>
        <v>15.14744</v>
      </c>
    </row>
    <row r="277" spans="1:22" x14ac:dyDescent="0.25">
      <c r="A277" s="2" t="s">
        <v>311</v>
      </c>
      <c r="B277" s="2" t="s">
        <v>26</v>
      </c>
      <c r="C277" s="2" t="s">
        <v>43</v>
      </c>
      <c r="D277" s="2" t="s">
        <v>28</v>
      </c>
      <c r="E277" s="2">
        <v>413.89</v>
      </c>
      <c r="F277" s="2">
        <v>12.05</v>
      </c>
      <c r="G277" s="2">
        <v>20.62</v>
      </c>
      <c r="H277" s="2">
        <v>1</v>
      </c>
      <c r="I277" s="2">
        <v>0.8</v>
      </c>
      <c r="J277" s="2">
        <v>24</v>
      </c>
      <c r="K277" s="2" t="s">
        <v>21</v>
      </c>
      <c r="L277" s="2">
        <v>4.9800000000000004</v>
      </c>
      <c r="M277" s="2" t="s">
        <v>22</v>
      </c>
      <c r="N277" s="2">
        <v>72.349999999999994</v>
      </c>
      <c r="O277" s="2" t="s">
        <v>30</v>
      </c>
      <c r="P277" s="2">
        <v>8.23</v>
      </c>
      <c r="Q277" s="2">
        <v>5.03</v>
      </c>
      <c r="R277" s="3">
        <f t="shared" si="20"/>
        <v>3406.3146999999999</v>
      </c>
      <c r="S277" s="3">
        <f t="shared" si="21"/>
        <v>2081.8667</v>
      </c>
      <c r="T277" s="3">
        <f t="shared" si="22"/>
        <v>-1324.4479999999999</v>
      </c>
      <c r="U277" s="4">
        <f t="shared" si="23"/>
        <v>-0.63618290258449295</v>
      </c>
      <c r="V277" s="5">
        <f t="shared" si="24"/>
        <v>20.611722</v>
      </c>
    </row>
    <row r="278" spans="1:22" x14ac:dyDescent="0.25">
      <c r="A278" s="2" t="s">
        <v>312</v>
      </c>
      <c r="B278" s="2" t="s">
        <v>32</v>
      </c>
      <c r="C278" s="2" t="s">
        <v>27</v>
      </c>
      <c r="D278" s="2" t="s">
        <v>28</v>
      </c>
      <c r="E278" s="2">
        <v>640.34</v>
      </c>
      <c r="F278" s="2">
        <v>13.96</v>
      </c>
      <c r="G278" s="2">
        <v>37.58</v>
      </c>
      <c r="H278" s="2">
        <v>2.4</v>
      </c>
      <c r="I278" s="2">
        <v>1.3</v>
      </c>
      <c r="J278" s="2">
        <v>29</v>
      </c>
      <c r="K278" s="2" t="s">
        <v>34</v>
      </c>
      <c r="L278" s="2">
        <v>9.41</v>
      </c>
      <c r="M278" s="2" t="s">
        <v>22</v>
      </c>
      <c r="N278" s="2">
        <v>97.09</v>
      </c>
      <c r="O278" s="2" t="s">
        <v>30</v>
      </c>
      <c r="P278" s="2">
        <v>4.1900000000000004</v>
      </c>
      <c r="Q278" s="2">
        <v>10.49</v>
      </c>
      <c r="R278" s="3">
        <f t="shared" si="20"/>
        <v>2683.0246000000002</v>
      </c>
      <c r="S278" s="3">
        <f t="shared" si="21"/>
        <v>6717.1666000000005</v>
      </c>
      <c r="T278" s="3">
        <f t="shared" si="22"/>
        <v>4034.1420000000003</v>
      </c>
      <c r="U278" s="4">
        <f t="shared" si="23"/>
        <v>0.60057197330791234</v>
      </c>
      <c r="V278" s="5">
        <f t="shared" si="24"/>
        <v>60.255994000000001</v>
      </c>
    </row>
    <row r="279" spans="1:22" x14ac:dyDescent="0.25">
      <c r="A279" s="2" t="s">
        <v>313</v>
      </c>
      <c r="B279" s="2" t="s">
        <v>45</v>
      </c>
      <c r="C279" s="2" t="s">
        <v>33</v>
      </c>
      <c r="D279" s="2" t="s">
        <v>20</v>
      </c>
      <c r="E279" s="2">
        <v>569.79</v>
      </c>
      <c r="F279" s="2">
        <v>9.07</v>
      </c>
      <c r="G279" s="2">
        <v>20.260000000000002</v>
      </c>
      <c r="H279" s="2">
        <v>5.6</v>
      </c>
      <c r="I279" s="2">
        <v>1.3</v>
      </c>
      <c r="J279" s="2">
        <v>28</v>
      </c>
      <c r="K279" s="2" t="s">
        <v>21</v>
      </c>
      <c r="L279" s="2">
        <v>8</v>
      </c>
      <c r="M279" s="2" t="s">
        <v>22</v>
      </c>
      <c r="N279" s="2">
        <v>69.849999999999994</v>
      </c>
      <c r="O279" s="2" t="s">
        <v>24</v>
      </c>
      <c r="P279" s="2">
        <v>4.7300000000000004</v>
      </c>
      <c r="Q279" s="2">
        <v>9.01</v>
      </c>
      <c r="R279" s="3">
        <f t="shared" si="20"/>
        <v>2695.1067000000003</v>
      </c>
      <c r="S279" s="3">
        <f t="shared" si="21"/>
        <v>5133.8078999999998</v>
      </c>
      <c r="T279" s="3">
        <f t="shared" si="22"/>
        <v>2438.7011999999995</v>
      </c>
      <c r="U279" s="4">
        <f t="shared" si="23"/>
        <v>0.47502774694783567</v>
      </c>
      <c r="V279" s="5">
        <f t="shared" si="24"/>
        <v>45.583199999999998</v>
      </c>
    </row>
    <row r="280" spans="1:22" x14ac:dyDescent="0.25">
      <c r="A280" s="2" t="s">
        <v>314</v>
      </c>
      <c r="B280" s="2" t="s">
        <v>32</v>
      </c>
      <c r="C280" s="2" t="s">
        <v>43</v>
      </c>
      <c r="D280" s="2" t="s">
        <v>28</v>
      </c>
      <c r="E280" s="2">
        <v>455.7</v>
      </c>
      <c r="F280" s="2">
        <v>8.17</v>
      </c>
      <c r="G280" s="2">
        <v>38.9</v>
      </c>
      <c r="H280" s="2">
        <v>1.6</v>
      </c>
      <c r="I280" s="2">
        <v>1.1000000000000001</v>
      </c>
      <c r="J280" s="2">
        <v>29</v>
      </c>
      <c r="K280" s="2" t="s">
        <v>21</v>
      </c>
      <c r="L280" s="2">
        <v>9.66</v>
      </c>
      <c r="M280" s="2" t="s">
        <v>22</v>
      </c>
      <c r="N280" s="2">
        <v>71.709999999999994</v>
      </c>
      <c r="O280" s="2" t="s">
        <v>24</v>
      </c>
      <c r="P280" s="2">
        <v>6.02</v>
      </c>
      <c r="Q280" s="2">
        <v>8.0299999999999994</v>
      </c>
      <c r="R280" s="3">
        <f t="shared" si="20"/>
        <v>2743.3139999999999</v>
      </c>
      <c r="S280" s="3">
        <f t="shared" si="21"/>
        <v>3659.2709999999997</v>
      </c>
      <c r="T280" s="3">
        <f t="shared" si="22"/>
        <v>915.95699999999988</v>
      </c>
      <c r="U280" s="4">
        <f t="shared" si="23"/>
        <v>0.25031133250311333</v>
      </c>
      <c r="V280" s="5">
        <f t="shared" si="24"/>
        <v>44.020620000000001</v>
      </c>
    </row>
    <row r="281" spans="1:22" x14ac:dyDescent="0.25">
      <c r="A281" s="2" t="s">
        <v>315</v>
      </c>
      <c r="B281" s="2" t="s">
        <v>45</v>
      </c>
      <c r="C281" s="2" t="s">
        <v>19</v>
      </c>
      <c r="D281" s="2" t="s">
        <v>28</v>
      </c>
      <c r="E281" s="2">
        <v>452.05</v>
      </c>
      <c r="F281" s="2">
        <v>17.100000000000001</v>
      </c>
      <c r="G281" s="2">
        <v>29.78</v>
      </c>
      <c r="H281" s="2">
        <v>2.9</v>
      </c>
      <c r="I281" s="2">
        <v>2</v>
      </c>
      <c r="J281" s="2">
        <v>26</v>
      </c>
      <c r="K281" s="2" t="s">
        <v>29</v>
      </c>
      <c r="L281" s="2">
        <v>6.28</v>
      </c>
      <c r="M281" s="2" t="s">
        <v>40</v>
      </c>
      <c r="N281" s="2">
        <v>86.91</v>
      </c>
      <c r="O281" s="2" t="s">
        <v>30</v>
      </c>
      <c r="P281" s="2">
        <v>5.32</v>
      </c>
      <c r="Q281" s="2">
        <v>10.16</v>
      </c>
      <c r="R281" s="3">
        <f t="shared" si="20"/>
        <v>2404.9060000000004</v>
      </c>
      <c r="S281" s="3">
        <f t="shared" si="21"/>
        <v>4592.8280000000004</v>
      </c>
      <c r="T281" s="3">
        <f t="shared" si="22"/>
        <v>2187.922</v>
      </c>
      <c r="U281" s="4">
        <f t="shared" si="23"/>
        <v>0.4763779527559055</v>
      </c>
      <c r="V281" s="5">
        <f t="shared" si="24"/>
        <v>28.388740000000002</v>
      </c>
    </row>
    <row r="282" spans="1:22" x14ac:dyDescent="0.25">
      <c r="A282" s="2" t="s">
        <v>316</v>
      </c>
      <c r="B282" s="2" t="s">
        <v>26</v>
      </c>
      <c r="C282" s="2" t="s">
        <v>33</v>
      </c>
      <c r="D282" s="2" t="s">
        <v>20</v>
      </c>
      <c r="E282" s="2">
        <v>529.66</v>
      </c>
      <c r="F282" s="2">
        <v>10.7</v>
      </c>
      <c r="G282" s="2">
        <v>26.84</v>
      </c>
      <c r="H282" s="2">
        <v>0.2</v>
      </c>
      <c r="I282" s="2">
        <v>2</v>
      </c>
      <c r="J282" s="2">
        <v>16</v>
      </c>
      <c r="K282" s="2" t="s">
        <v>21</v>
      </c>
      <c r="L282" s="2">
        <v>3.67</v>
      </c>
      <c r="M282" s="2" t="s">
        <v>40</v>
      </c>
      <c r="N282" s="2">
        <v>88.95</v>
      </c>
      <c r="O282" s="2" t="s">
        <v>24</v>
      </c>
      <c r="P282" s="2">
        <v>7.1</v>
      </c>
      <c r="Q282" s="2">
        <v>11.45</v>
      </c>
      <c r="R282" s="3">
        <f t="shared" si="20"/>
        <v>3760.5859999999998</v>
      </c>
      <c r="S282" s="3">
        <f t="shared" si="21"/>
        <v>6064.6069999999991</v>
      </c>
      <c r="T282" s="3">
        <f t="shared" si="22"/>
        <v>2304.0209999999993</v>
      </c>
      <c r="U282" s="4">
        <f t="shared" si="23"/>
        <v>0.37991266375545846</v>
      </c>
      <c r="V282" s="5">
        <f t="shared" si="24"/>
        <v>19.438521999999999</v>
      </c>
    </row>
    <row r="283" spans="1:22" x14ac:dyDescent="0.25">
      <c r="A283" s="2" t="s">
        <v>317</v>
      </c>
      <c r="B283" s="2" t="s">
        <v>26</v>
      </c>
      <c r="C283" s="2" t="s">
        <v>19</v>
      </c>
      <c r="D283" s="2" t="s">
        <v>20</v>
      </c>
      <c r="E283" s="2">
        <v>546.32000000000005</v>
      </c>
      <c r="F283" s="2">
        <v>16.2</v>
      </c>
      <c r="G283" s="2">
        <v>38.479999999999997</v>
      </c>
      <c r="H283" s="2">
        <v>0.5</v>
      </c>
      <c r="I283" s="2">
        <v>0.9</v>
      </c>
      <c r="J283" s="2">
        <v>23</v>
      </c>
      <c r="K283" s="2" t="s">
        <v>21</v>
      </c>
      <c r="L283" s="2">
        <v>8.35</v>
      </c>
      <c r="M283" s="2" t="s">
        <v>37</v>
      </c>
      <c r="N283" s="2">
        <v>88.48</v>
      </c>
      <c r="O283" s="2" t="s">
        <v>30</v>
      </c>
      <c r="P283" s="2">
        <v>5.36</v>
      </c>
      <c r="Q283" s="2">
        <v>14.65</v>
      </c>
      <c r="R283" s="3">
        <f t="shared" si="20"/>
        <v>2928.2752000000005</v>
      </c>
      <c r="S283" s="3">
        <f t="shared" si="21"/>
        <v>8003.5880000000006</v>
      </c>
      <c r="T283" s="3">
        <f t="shared" si="22"/>
        <v>5075.3127999999997</v>
      </c>
      <c r="U283" s="4">
        <f t="shared" si="23"/>
        <v>0.63412969283276444</v>
      </c>
      <c r="V283" s="5">
        <f t="shared" si="24"/>
        <v>45.617719999999998</v>
      </c>
    </row>
    <row r="284" spans="1:22" x14ac:dyDescent="0.25">
      <c r="A284" s="2" t="s">
        <v>318</v>
      </c>
      <c r="B284" s="2" t="s">
        <v>45</v>
      </c>
      <c r="C284" s="2" t="s">
        <v>27</v>
      </c>
      <c r="D284" s="2" t="s">
        <v>20</v>
      </c>
      <c r="E284" s="2">
        <v>519.73</v>
      </c>
      <c r="F284" s="2">
        <v>17.989999999999998</v>
      </c>
      <c r="G284" s="2">
        <v>20.49</v>
      </c>
      <c r="H284" s="2">
        <v>1.4</v>
      </c>
      <c r="I284" s="2">
        <v>0.6</v>
      </c>
      <c r="J284" s="2">
        <v>27</v>
      </c>
      <c r="K284" s="2" t="s">
        <v>34</v>
      </c>
      <c r="L284" s="2">
        <v>3.27</v>
      </c>
      <c r="M284" s="2" t="s">
        <v>40</v>
      </c>
      <c r="N284" s="2">
        <v>99.89</v>
      </c>
      <c r="O284" s="2" t="s">
        <v>30</v>
      </c>
      <c r="P284" s="2">
        <v>5.75</v>
      </c>
      <c r="Q284" s="2">
        <v>13.33</v>
      </c>
      <c r="R284" s="3">
        <f t="shared" si="20"/>
        <v>2988.4475000000002</v>
      </c>
      <c r="S284" s="3">
        <f t="shared" si="21"/>
        <v>6928.0009</v>
      </c>
      <c r="T284" s="3">
        <f t="shared" si="22"/>
        <v>3939.5533999999998</v>
      </c>
      <c r="U284" s="4">
        <f t="shared" si="23"/>
        <v>0.56864216054013506</v>
      </c>
      <c r="V284" s="5">
        <f t="shared" si="24"/>
        <v>16.995170999999999</v>
      </c>
    </row>
    <row r="285" spans="1:22" x14ac:dyDescent="0.25">
      <c r="A285" s="2" t="s">
        <v>319</v>
      </c>
      <c r="B285" s="2" t="s">
        <v>18</v>
      </c>
      <c r="C285" s="2" t="s">
        <v>27</v>
      </c>
      <c r="D285" s="2" t="s">
        <v>20</v>
      </c>
      <c r="E285" s="2">
        <v>531.13</v>
      </c>
      <c r="F285" s="2">
        <v>10.11</v>
      </c>
      <c r="G285" s="2">
        <v>31.63</v>
      </c>
      <c r="H285" s="2">
        <v>0</v>
      </c>
      <c r="I285" s="2">
        <v>1</v>
      </c>
      <c r="J285" s="2">
        <v>11</v>
      </c>
      <c r="K285" s="2" t="s">
        <v>34</v>
      </c>
      <c r="L285" s="2">
        <v>2.0699999999999998</v>
      </c>
      <c r="M285" s="2" t="s">
        <v>22</v>
      </c>
      <c r="N285" s="2">
        <v>53.57</v>
      </c>
      <c r="O285" s="2" t="s">
        <v>24</v>
      </c>
      <c r="P285" s="2">
        <v>9.0399999999999991</v>
      </c>
      <c r="Q285" s="2">
        <v>12.17</v>
      </c>
      <c r="R285" s="3">
        <f t="shared" si="20"/>
        <v>4801.4151999999995</v>
      </c>
      <c r="S285" s="3">
        <f t="shared" si="21"/>
        <v>6463.8521000000001</v>
      </c>
      <c r="T285" s="3">
        <f t="shared" si="22"/>
        <v>1662.4369000000006</v>
      </c>
      <c r="U285" s="4">
        <f t="shared" si="23"/>
        <v>0.25718981101068211</v>
      </c>
      <c r="V285" s="5">
        <f t="shared" si="24"/>
        <v>10.994390999999998</v>
      </c>
    </row>
    <row r="286" spans="1:22" x14ac:dyDescent="0.25">
      <c r="A286" s="2" t="s">
        <v>320</v>
      </c>
      <c r="B286" s="2" t="s">
        <v>45</v>
      </c>
      <c r="C286" s="2" t="s">
        <v>33</v>
      </c>
      <c r="D286" s="2" t="s">
        <v>28</v>
      </c>
      <c r="E286" s="2">
        <v>670</v>
      </c>
      <c r="F286" s="2">
        <v>10.65</v>
      </c>
      <c r="G286" s="2">
        <v>30.98</v>
      </c>
      <c r="H286" s="2">
        <v>0.6</v>
      </c>
      <c r="I286" s="2">
        <v>1.7</v>
      </c>
      <c r="J286" s="2">
        <v>7</v>
      </c>
      <c r="K286" s="2" t="s">
        <v>29</v>
      </c>
      <c r="L286" s="2">
        <v>7.21</v>
      </c>
      <c r="M286" s="2" t="s">
        <v>22</v>
      </c>
      <c r="N286" s="2">
        <v>99.11</v>
      </c>
      <c r="O286" s="2" t="s">
        <v>23</v>
      </c>
      <c r="P286" s="2">
        <v>9.19</v>
      </c>
      <c r="Q286" s="2">
        <v>9.7899999999999991</v>
      </c>
      <c r="R286" s="3">
        <f t="shared" si="20"/>
        <v>6157.2999999999993</v>
      </c>
      <c r="S286" s="3">
        <f t="shared" si="21"/>
        <v>6559.2999999999993</v>
      </c>
      <c r="T286" s="3">
        <f t="shared" si="22"/>
        <v>402</v>
      </c>
      <c r="U286" s="4">
        <f t="shared" si="23"/>
        <v>6.128702757916242E-2</v>
      </c>
      <c r="V286" s="5">
        <f t="shared" si="24"/>
        <v>48.306999999999995</v>
      </c>
    </row>
    <row r="287" spans="1:22" x14ac:dyDescent="0.25">
      <c r="A287" s="2" t="s">
        <v>321</v>
      </c>
      <c r="B287" s="2" t="s">
        <v>18</v>
      </c>
      <c r="C287" s="2" t="s">
        <v>27</v>
      </c>
      <c r="D287" s="2" t="s">
        <v>20</v>
      </c>
      <c r="E287" s="2">
        <v>607.15</v>
      </c>
      <c r="F287" s="2">
        <v>14.63</v>
      </c>
      <c r="G287" s="2">
        <v>24.39</v>
      </c>
      <c r="H287" s="2">
        <v>1.5</v>
      </c>
      <c r="I287" s="2">
        <v>0</v>
      </c>
      <c r="J287" s="2">
        <v>17</v>
      </c>
      <c r="K287" s="2" t="s">
        <v>21</v>
      </c>
      <c r="L287" s="2">
        <v>6.57</v>
      </c>
      <c r="M287" s="2" t="s">
        <v>37</v>
      </c>
      <c r="N287" s="2">
        <v>97.51</v>
      </c>
      <c r="O287" s="2" t="s">
        <v>30</v>
      </c>
      <c r="P287" s="2">
        <v>8.7899999999999991</v>
      </c>
      <c r="Q287" s="2">
        <v>8.92</v>
      </c>
      <c r="R287" s="3">
        <f t="shared" si="20"/>
        <v>5336.8484999999991</v>
      </c>
      <c r="S287" s="3">
        <f t="shared" si="21"/>
        <v>5415.7779999999993</v>
      </c>
      <c r="T287" s="3">
        <f t="shared" si="22"/>
        <v>78.929500000000189</v>
      </c>
      <c r="U287" s="4">
        <f t="shared" si="23"/>
        <v>1.4573991031390171E-2</v>
      </c>
      <c r="V287" s="5">
        <f t="shared" si="24"/>
        <v>39.889755000000001</v>
      </c>
    </row>
    <row r="288" spans="1:22" x14ac:dyDescent="0.25">
      <c r="A288" s="2" t="s">
        <v>322</v>
      </c>
      <c r="B288" s="2" t="s">
        <v>32</v>
      </c>
      <c r="C288" s="2" t="s">
        <v>19</v>
      </c>
      <c r="D288" s="2" t="s">
        <v>20</v>
      </c>
      <c r="E288" s="2">
        <v>519.05999999999995</v>
      </c>
      <c r="F288" s="2">
        <v>17.649999999999999</v>
      </c>
      <c r="G288" s="2">
        <v>28.58</v>
      </c>
      <c r="H288" s="2">
        <v>0</v>
      </c>
      <c r="I288" s="2">
        <v>4.8</v>
      </c>
      <c r="J288" s="2">
        <v>22</v>
      </c>
      <c r="K288" s="2" t="s">
        <v>34</v>
      </c>
      <c r="L288" s="2">
        <v>8.85</v>
      </c>
      <c r="M288" s="2" t="s">
        <v>40</v>
      </c>
      <c r="N288" s="2">
        <v>92.61</v>
      </c>
      <c r="O288" s="2" t="s">
        <v>24</v>
      </c>
      <c r="P288" s="2">
        <v>9.0500000000000007</v>
      </c>
      <c r="Q288" s="2">
        <v>5.33</v>
      </c>
      <c r="R288" s="3">
        <f t="shared" si="20"/>
        <v>4697.4929999999995</v>
      </c>
      <c r="S288" s="3">
        <f t="shared" si="21"/>
        <v>2766.5897999999997</v>
      </c>
      <c r="T288" s="3">
        <f t="shared" si="22"/>
        <v>-1930.9031999999997</v>
      </c>
      <c r="U288" s="4">
        <f t="shared" si="23"/>
        <v>-0.697936210131332</v>
      </c>
      <c r="V288" s="5">
        <f t="shared" si="24"/>
        <v>45.936809999999994</v>
      </c>
    </row>
    <row r="289" spans="1:22" x14ac:dyDescent="0.25">
      <c r="A289" s="2" t="s">
        <v>323</v>
      </c>
      <c r="B289" s="2" t="s">
        <v>32</v>
      </c>
      <c r="C289" s="2" t="s">
        <v>43</v>
      </c>
      <c r="D289" s="2" t="s">
        <v>28</v>
      </c>
      <c r="E289" s="2">
        <v>594.13</v>
      </c>
      <c r="F289" s="2">
        <v>17.16</v>
      </c>
      <c r="G289" s="2">
        <v>33.049999999999997</v>
      </c>
      <c r="H289" s="2">
        <v>0.6</v>
      </c>
      <c r="I289" s="2">
        <v>0.2</v>
      </c>
      <c r="J289" s="2">
        <v>13</v>
      </c>
      <c r="K289" s="2" t="s">
        <v>21</v>
      </c>
      <c r="L289" s="2">
        <v>9.64</v>
      </c>
      <c r="M289" s="2" t="s">
        <v>40</v>
      </c>
      <c r="N289" s="2">
        <v>72.709999999999994</v>
      </c>
      <c r="O289" s="2" t="s">
        <v>30</v>
      </c>
      <c r="P289" s="2">
        <v>6.99</v>
      </c>
      <c r="Q289" s="2">
        <v>8.59</v>
      </c>
      <c r="R289" s="3">
        <f t="shared" si="20"/>
        <v>4152.9687000000004</v>
      </c>
      <c r="S289" s="3">
        <f t="shared" si="21"/>
        <v>5103.5766999999996</v>
      </c>
      <c r="T289" s="3">
        <f t="shared" si="22"/>
        <v>950.60799999999927</v>
      </c>
      <c r="U289" s="4">
        <f t="shared" si="23"/>
        <v>0.18626309662398124</v>
      </c>
      <c r="V289" s="5">
        <f t="shared" si="24"/>
        <v>57.274132000000002</v>
      </c>
    </row>
    <row r="290" spans="1:22" x14ac:dyDescent="0.25">
      <c r="A290" s="2" t="s">
        <v>324</v>
      </c>
      <c r="B290" s="2" t="s">
        <v>32</v>
      </c>
      <c r="C290" s="2" t="s">
        <v>43</v>
      </c>
      <c r="D290" s="2" t="s">
        <v>28</v>
      </c>
      <c r="E290" s="2">
        <v>396.75</v>
      </c>
      <c r="F290" s="2">
        <v>13.03</v>
      </c>
      <c r="G290" s="2">
        <v>34.54</v>
      </c>
      <c r="H290" s="2">
        <v>1.4</v>
      </c>
      <c r="I290" s="2">
        <v>0.6</v>
      </c>
      <c r="J290" s="2">
        <v>4</v>
      </c>
      <c r="K290" s="2" t="s">
        <v>29</v>
      </c>
      <c r="L290" s="2">
        <v>8.64</v>
      </c>
      <c r="M290" s="2" t="s">
        <v>37</v>
      </c>
      <c r="N290" s="2">
        <v>93.55</v>
      </c>
      <c r="O290" s="2" t="s">
        <v>30</v>
      </c>
      <c r="P290" s="2">
        <v>7.52</v>
      </c>
      <c r="Q290" s="2">
        <v>13.48</v>
      </c>
      <c r="R290" s="3">
        <f t="shared" si="20"/>
        <v>2983.56</v>
      </c>
      <c r="S290" s="3">
        <f t="shared" si="21"/>
        <v>5348.1900000000005</v>
      </c>
      <c r="T290" s="3">
        <f t="shared" si="22"/>
        <v>2364.6300000000006</v>
      </c>
      <c r="U290" s="4">
        <f t="shared" si="23"/>
        <v>0.44213649851632053</v>
      </c>
      <c r="V290" s="5">
        <f t="shared" si="24"/>
        <v>34.279200000000003</v>
      </c>
    </row>
    <row r="291" spans="1:22" x14ac:dyDescent="0.25">
      <c r="A291" s="2" t="s">
        <v>325</v>
      </c>
      <c r="B291" s="2" t="s">
        <v>26</v>
      </c>
      <c r="C291" s="2" t="s">
        <v>43</v>
      </c>
      <c r="D291" s="2" t="s">
        <v>20</v>
      </c>
      <c r="E291" s="2">
        <v>539.79</v>
      </c>
      <c r="F291" s="2">
        <v>15.95</v>
      </c>
      <c r="G291" s="2">
        <v>20.010000000000002</v>
      </c>
      <c r="H291" s="2">
        <v>1.7</v>
      </c>
      <c r="I291" s="2">
        <v>2.1</v>
      </c>
      <c r="J291" s="2">
        <v>14</v>
      </c>
      <c r="K291" s="2" t="s">
        <v>34</v>
      </c>
      <c r="L291" s="2">
        <v>1.07</v>
      </c>
      <c r="M291" s="2" t="s">
        <v>22</v>
      </c>
      <c r="N291" s="2">
        <v>61.04</v>
      </c>
      <c r="O291" s="2" t="s">
        <v>30</v>
      </c>
      <c r="P291" s="2">
        <v>6.9</v>
      </c>
      <c r="Q291" s="2">
        <v>8.84</v>
      </c>
      <c r="R291" s="3">
        <f t="shared" si="20"/>
        <v>3724.5509999999999</v>
      </c>
      <c r="S291" s="3">
        <f t="shared" si="21"/>
        <v>4771.7435999999998</v>
      </c>
      <c r="T291" s="3">
        <f t="shared" si="22"/>
        <v>1047.1925999999999</v>
      </c>
      <c r="U291" s="4">
        <f t="shared" si="23"/>
        <v>0.2194570135746606</v>
      </c>
      <c r="V291" s="5">
        <f t="shared" si="24"/>
        <v>5.7757529999999999</v>
      </c>
    </row>
    <row r="292" spans="1:22" x14ac:dyDescent="0.25">
      <c r="A292" s="2" t="s">
        <v>326</v>
      </c>
      <c r="B292" s="2" t="s">
        <v>32</v>
      </c>
      <c r="C292" s="2" t="s">
        <v>33</v>
      </c>
      <c r="D292" s="2" t="s">
        <v>28</v>
      </c>
      <c r="E292" s="2">
        <v>680.93</v>
      </c>
      <c r="F292" s="2">
        <v>9.36</v>
      </c>
      <c r="G292" s="2">
        <v>38.74</v>
      </c>
      <c r="H292" s="2">
        <v>5.2</v>
      </c>
      <c r="I292" s="2">
        <v>0.3</v>
      </c>
      <c r="J292" s="2">
        <v>10</v>
      </c>
      <c r="K292" s="2" t="s">
        <v>34</v>
      </c>
      <c r="L292" s="2">
        <v>6.81</v>
      </c>
      <c r="M292" s="2" t="s">
        <v>22</v>
      </c>
      <c r="N292" s="2">
        <v>89.58</v>
      </c>
      <c r="O292" s="2" t="s">
        <v>24</v>
      </c>
      <c r="P292" s="2">
        <v>8.5</v>
      </c>
      <c r="Q292" s="2">
        <v>9.6199999999999992</v>
      </c>
      <c r="R292" s="3">
        <f t="shared" si="20"/>
        <v>5787.9049999999997</v>
      </c>
      <c r="S292" s="3">
        <f t="shared" si="21"/>
        <v>6550.5465999999988</v>
      </c>
      <c r="T292" s="3">
        <f t="shared" si="22"/>
        <v>762.64159999999902</v>
      </c>
      <c r="U292" s="4">
        <f t="shared" si="23"/>
        <v>0.11642411642411629</v>
      </c>
      <c r="V292" s="5">
        <f t="shared" si="24"/>
        <v>46.371332999999993</v>
      </c>
    </row>
    <row r="293" spans="1:22" x14ac:dyDescent="0.25">
      <c r="A293" s="2" t="s">
        <v>327</v>
      </c>
      <c r="B293" s="2" t="s">
        <v>18</v>
      </c>
      <c r="C293" s="2" t="s">
        <v>27</v>
      </c>
      <c r="D293" s="2" t="s">
        <v>20</v>
      </c>
      <c r="E293" s="2">
        <v>478.2</v>
      </c>
      <c r="F293" s="2">
        <v>17.77</v>
      </c>
      <c r="G293" s="2">
        <v>23.29</v>
      </c>
      <c r="H293" s="2">
        <v>2.1</v>
      </c>
      <c r="I293" s="2">
        <v>0.6</v>
      </c>
      <c r="J293" s="2">
        <v>10</v>
      </c>
      <c r="K293" s="2" t="s">
        <v>29</v>
      </c>
      <c r="L293" s="2">
        <v>7.95</v>
      </c>
      <c r="M293" s="2" t="s">
        <v>22</v>
      </c>
      <c r="N293" s="2">
        <v>59.26</v>
      </c>
      <c r="O293" s="2" t="s">
        <v>24</v>
      </c>
      <c r="P293" s="2">
        <v>6.86</v>
      </c>
      <c r="Q293" s="2">
        <v>7.72</v>
      </c>
      <c r="R293" s="3">
        <f t="shared" si="20"/>
        <v>3280.4520000000002</v>
      </c>
      <c r="S293" s="3">
        <f t="shared" si="21"/>
        <v>3691.7039999999997</v>
      </c>
      <c r="T293" s="3">
        <f t="shared" si="22"/>
        <v>411.2519999999995</v>
      </c>
      <c r="U293" s="4">
        <f t="shared" si="23"/>
        <v>0.11139896373056982</v>
      </c>
      <c r="V293" s="5">
        <f t="shared" si="24"/>
        <v>38.0169</v>
      </c>
    </row>
    <row r="294" spans="1:22" x14ac:dyDescent="0.25">
      <c r="A294" s="2" t="s">
        <v>328</v>
      </c>
      <c r="B294" s="2" t="s">
        <v>32</v>
      </c>
      <c r="C294" s="2" t="s">
        <v>19</v>
      </c>
      <c r="D294" s="2" t="s">
        <v>20</v>
      </c>
      <c r="E294" s="2">
        <v>415.24</v>
      </c>
      <c r="F294" s="2">
        <v>17.64</v>
      </c>
      <c r="G294" s="2">
        <v>24.67</v>
      </c>
      <c r="H294" s="2">
        <v>1.1000000000000001</v>
      </c>
      <c r="I294" s="2">
        <v>0.1</v>
      </c>
      <c r="J294" s="2">
        <v>10</v>
      </c>
      <c r="K294" s="2" t="s">
        <v>21</v>
      </c>
      <c r="L294" s="2">
        <v>9.83</v>
      </c>
      <c r="M294" s="2" t="s">
        <v>22</v>
      </c>
      <c r="N294" s="2">
        <v>90.77</v>
      </c>
      <c r="O294" s="2" t="s">
        <v>24</v>
      </c>
      <c r="P294" s="2">
        <v>3.78</v>
      </c>
      <c r="Q294" s="2">
        <v>7.74</v>
      </c>
      <c r="R294" s="3">
        <f t="shared" si="20"/>
        <v>1569.6071999999999</v>
      </c>
      <c r="S294" s="3">
        <f t="shared" si="21"/>
        <v>3213.9576000000002</v>
      </c>
      <c r="T294" s="3">
        <f t="shared" si="22"/>
        <v>1644.3504000000003</v>
      </c>
      <c r="U294" s="4">
        <f t="shared" si="23"/>
        <v>0.51162790697674421</v>
      </c>
      <c r="V294" s="5">
        <f t="shared" si="24"/>
        <v>40.818092</v>
      </c>
    </row>
    <row r="295" spans="1:22" x14ac:dyDescent="0.25">
      <c r="A295" s="2" t="s">
        <v>329</v>
      </c>
      <c r="B295" s="2" t="s">
        <v>45</v>
      </c>
      <c r="C295" s="2" t="s">
        <v>27</v>
      </c>
      <c r="D295" s="2" t="s">
        <v>28</v>
      </c>
      <c r="E295" s="2">
        <v>434.79</v>
      </c>
      <c r="F295" s="2">
        <v>9.64</v>
      </c>
      <c r="G295" s="2">
        <v>25.27</v>
      </c>
      <c r="H295" s="2">
        <v>5.3</v>
      </c>
      <c r="I295" s="2">
        <v>0.5</v>
      </c>
      <c r="J295" s="2">
        <v>27</v>
      </c>
      <c r="K295" s="2" t="s">
        <v>34</v>
      </c>
      <c r="L295" s="2">
        <v>4.0599999999999996</v>
      </c>
      <c r="M295" s="2" t="s">
        <v>37</v>
      </c>
      <c r="N295" s="2">
        <v>80.73</v>
      </c>
      <c r="O295" s="2" t="s">
        <v>23</v>
      </c>
      <c r="P295" s="2">
        <v>8.67</v>
      </c>
      <c r="Q295" s="2">
        <v>5.62</v>
      </c>
      <c r="R295" s="3">
        <f t="shared" si="20"/>
        <v>3769.6293000000001</v>
      </c>
      <c r="S295" s="3">
        <f t="shared" si="21"/>
        <v>2443.5198</v>
      </c>
      <c r="T295" s="3">
        <f t="shared" si="22"/>
        <v>-1326.1095</v>
      </c>
      <c r="U295" s="4">
        <f t="shared" si="23"/>
        <v>-0.54270462633451955</v>
      </c>
      <c r="V295" s="5">
        <f t="shared" si="24"/>
        <v>17.652473999999998</v>
      </c>
    </row>
    <row r="296" spans="1:22" x14ac:dyDescent="0.25">
      <c r="A296" s="2" t="s">
        <v>330</v>
      </c>
      <c r="B296" s="2" t="s">
        <v>45</v>
      </c>
      <c r="C296" s="2" t="s">
        <v>27</v>
      </c>
      <c r="D296" s="2" t="s">
        <v>28</v>
      </c>
      <c r="E296" s="2">
        <v>391.04</v>
      </c>
      <c r="F296" s="2">
        <v>10.99</v>
      </c>
      <c r="G296" s="2">
        <v>20.76</v>
      </c>
      <c r="H296" s="2">
        <v>3.1</v>
      </c>
      <c r="I296" s="2">
        <v>0.2</v>
      </c>
      <c r="J296" s="2">
        <v>12</v>
      </c>
      <c r="K296" s="2" t="s">
        <v>34</v>
      </c>
      <c r="L296" s="2">
        <v>2.11</v>
      </c>
      <c r="M296" s="2" t="s">
        <v>40</v>
      </c>
      <c r="N296" s="2">
        <v>54.9</v>
      </c>
      <c r="O296" s="2" t="s">
        <v>30</v>
      </c>
      <c r="P296" s="2">
        <v>8.32</v>
      </c>
      <c r="Q296" s="2">
        <v>11.14</v>
      </c>
      <c r="R296" s="3">
        <f t="shared" si="20"/>
        <v>3253.4528000000005</v>
      </c>
      <c r="S296" s="3">
        <f t="shared" si="21"/>
        <v>4356.1856000000007</v>
      </c>
      <c r="T296" s="3">
        <f t="shared" si="22"/>
        <v>1102.7328000000002</v>
      </c>
      <c r="U296" s="4">
        <f t="shared" si="23"/>
        <v>0.2531418312387792</v>
      </c>
      <c r="V296" s="5">
        <f t="shared" si="24"/>
        <v>8.2509439999999987</v>
      </c>
    </row>
    <row r="297" spans="1:22" x14ac:dyDescent="0.25">
      <c r="A297" s="2" t="s">
        <v>331</v>
      </c>
      <c r="B297" s="2" t="s">
        <v>26</v>
      </c>
      <c r="C297" s="2" t="s">
        <v>27</v>
      </c>
      <c r="D297" s="2" t="s">
        <v>20</v>
      </c>
      <c r="E297" s="2">
        <v>421.52</v>
      </c>
      <c r="F297" s="2">
        <v>9</v>
      </c>
      <c r="G297" s="2">
        <v>22.46</v>
      </c>
      <c r="H297" s="2">
        <v>0.4</v>
      </c>
      <c r="I297" s="2">
        <v>0.5</v>
      </c>
      <c r="J297" s="2">
        <v>2</v>
      </c>
      <c r="K297" s="2" t="s">
        <v>29</v>
      </c>
      <c r="L297" s="2">
        <v>8.6</v>
      </c>
      <c r="M297" s="2" t="s">
        <v>22</v>
      </c>
      <c r="N297" s="2">
        <v>94.77</v>
      </c>
      <c r="O297" s="2" t="s">
        <v>23</v>
      </c>
      <c r="P297" s="2">
        <v>8.74</v>
      </c>
      <c r="Q297" s="2">
        <v>9.48</v>
      </c>
      <c r="R297" s="3">
        <f t="shared" si="20"/>
        <v>3684.0848000000001</v>
      </c>
      <c r="S297" s="3">
        <f t="shared" si="21"/>
        <v>3996.0095999999999</v>
      </c>
      <c r="T297" s="3">
        <f t="shared" si="22"/>
        <v>311.92479999999978</v>
      </c>
      <c r="U297" s="4">
        <f t="shared" si="23"/>
        <v>7.8059071729957755E-2</v>
      </c>
      <c r="V297" s="5">
        <f t="shared" si="24"/>
        <v>36.250719999999994</v>
      </c>
    </row>
    <row r="298" spans="1:22" x14ac:dyDescent="0.25">
      <c r="A298" s="2" t="s">
        <v>332</v>
      </c>
      <c r="B298" s="2" t="s">
        <v>45</v>
      </c>
      <c r="C298" s="2" t="s">
        <v>43</v>
      </c>
      <c r="D298" s="2" t="s">
        <v>20</v>
      </c>
      <c r="E298" s="2">
        <v>462.95</v>
      </c>
      <c r="F298" s="2">
        <v>10.72</v>
      </c>
      <c r="G298" s="2">
        <v>39.729999999999997</v>
      </c>
      <c r="H298" s="2">
        <v>0.3</v>
      </c>
      <c r="I298" s="2">
        <v>0.5</v>
      </c>
      <c r="J298" s="2">
        <v>26</v>
      </c>
      <c r="K298" s="2" t="s">
        <v>29</v>
      </c>
      <c r="L298" s="2">
        <v>3.52</v>
      </c>
      <c r="M298" s="2" t="s">
        <v>40</v>
      </c>
      <c r="N298" s="2">
        <v>78.900000000000006</v>
      </c>
      <c r="O298" s="2" t="s">
        <v>30</v>
      </c>
      <c r="P298" s="2">
        <v>4.33</v>
      </c>
      <c r="Q298" s="2">
        <v>11.06</v>
      </c>
      <c r="R298" s="3">
        <f t="shared" si="20"/>
        <v>2004.5735</v>
      </c>
      <c r="S298" s="3">
        <f t="shared" si="21"/>
        <v>5120.2269999999999</v>
      </c>
      <c r="T298" s="3">
        <f t="shared" si="22"/>
        <v>3115.6534999999999</v>
      </c>
      <c r="U298" s="4">
        <f t="shared" si="23"/>
        <v>0.60849909584086803</v>
      </c>
      <c r="V298" s="5">
        <f t="shared" si="24"/>
        <v>16.295840000000002</v>
      </c>
    </row>
    <row r="299" spans="1:22" x14ac:dyDescent="0.25">
      <c r="A299" s="2" t="s">
        <v>333</v>
      </c>
      <c r="B299" s="2" t="s">
        <v>18</v>
      </c>
      <c r="C299" s="2" t="s">
        <v>19</v>
      </c>
      <c r="D299" s="2" t="s">
        <v>20</v>
      </c>
      <c r="E299" s="2">
        <v>359.44</v>
      </c>
      <c r="F299" s="2">
        <v>16.16</v>
      </c>
      <c r="G299" s="2">
        <v>26.3</v>
      </c>
      <c r="H299" s="2">
        <v>2.2999999999999998</v>
      </c>
      <c r="I299" s="2">
        <v>5</v>
      </c>
      <c r="J299" s="2">
        <v>23</v>
      </c>
      <c r="K299" s="2" t="s">
        <v>29</v>
      </c>
      <c r="L299" s="2">
        <v>6.18</v>
      </c>
      <c r="M299" s="2" t="s">
        <v>40</v>
      </c>
      <c r="N299" s="2">
        <v>82.81</v>
      </c>
      <c r="O299" s="2" t="s">
        <v>24</v>
      </c>
      <c r="P299" s="2">
        <v>4.9000000000000004</v>
      </c>
      <c r="Q299" s="2">
        <v>10.47</v>
      </c>
      <c r="R299" s="3">
        <f t="shared" si="20"/>
        <v>1761.2560000000001</v>
      </c>
      <c r="S299" s="3">
        <f t="shared" si="21"/>
        <v>3763.3368</v>
      </c>
      <c r="T299" s="3">
        <f t="shared" si="22"/>
        <v>2002.0808</v>
      </c>
      <c r="U299" s="4">
        <f t="shared" si="23"/>
        <v>0.53199617956064948</v>
      </c>
      <c r="V299" s="5">
        <f t="shared" si="24"/>
        <v>22.213391999999999</v>
      </c>
    </row>
    <row r="300" spans="1:22" x14ac:dyDescent="0.25">
      <c r="A300" s="2" t="s">
        <v>334</v>
      </c>
      <c r="B300" s="2" t="s">
        <v>32</v>
      </c>
      <c r="C300" s="2" t="s">
        <v>19</v>
      </c>
      <c r="D300" s="2" t="s">
        <v>28</v>
      </c>
      <c r="E300" s="2">
        <v>501.56</v>
      </c>
      <c r="F300" s="2">
        <v>11.78</v>
      </c>
      <c r="G300" s="2">
        <v>22.31</v>
      </c>
      <c r="H300" s="2">
        <v>1.6</v>
      </c>
      <c r="I300" s="2">
        <v>5.3</v>
      </c>
      <c r="J300" s="2">
        <v>9</v>
      </c>
      <c r="K300" s="2" t="s">
        <v>21</v>
      </c>
      <c r="L300" s="2">
        <v>4.2</v>
      </c>
      <c r="M300" s="2" t="s">
        <v>22</v>
      </c>
      <c r="N300" s="2">
        <v>64.180000000000007</v>
      </c>
      <c r="O300" s="2" t="s">
        <v>30</v>
      </c>
      <c r="P300" s="2">
        <v>5.07</v>
      </c>
      <c r="Q300" s="2">
        <v>12.99</v>
      </c>
      <c r="R300" s="3">
        <f t="shared" si="20"/>
        <v>2542.9092000000001</v>
      </c>
      <c r="S300" s="3">
        <f t="shared" si="21"/>
        <v>6515.2644</v>
      </c>
      <c r="T300" s="3">
        <f t="shared" si="22"/>
        <v>3972.3552</v>
      </c>
      <c r="U300" s="4">
        <f t="shared" si="23"/>
        <v>0.60969976905311773</v>
      </c>
      <c r="V300" s="5">
        <f t="shared" si="24"/>
        <v>21.065520000000003</v>
      </c>
    </row>
    <row r="301" spans="1:22" x14ac:dyDescent="0.25">
      <c r="A301" s="2" t="s">
        <v>335</v>
      </c>
      <c r="B301" s="2" t="s">
        <v>26</v>
      </c>
      <c r="C301" s="2" t="s">
        <v>27</v>
      </c>
      <c r="D301" s="2" t="s">
        <v>20</v>
      </c>
      <c r="E301" s="2">
        <v>590.23</v>
      </c>
      <c r="F301" s="2">
        <v>8.8800000000000008</v>
      </c>
      <c r="G301" s="2">
        <v>22.14</v>
      </c>
      <c r="H301" s="2">
        <v>3.1</v>
      </c>
      <c r="I301" s="2">
        <v>0.1</v>
      </c>
      <c r="J301" s="2">
        <v>29</v>
      </c>
      <c r="K301" s="2" t="s">
        <v>21</v>
      </c>
      <c r="L301" s="2">
        <v>4.32</v>
      </c>
      <c r="M301" s="2" t="s">
        <v>22</v>
      </c>
      <c r="N301" s="2">
        <v>93.58</v>
      </c>
      <c r="O301" s="2" t="s">
        <v>30</v>
      </c>
      <c r="P301" s="2">
        <v>6.56</v>
      </c>
      <c r="Q301" s="2">
        <v>12.51</v>
      </c>
      <c r="R301" s="3">
        <f t="shared" si="20"/>
        <v>3871.9087999999997</v>
      </c>
      <c r="S301" s="3">
        <f t="shared" si="21"/>
        <v>7383.7772999999997</v>
      </c>
      <c r="T301" s="3">
        <f t="shared" si="22"/>
        <v>3511.8685</v>
      </c>
      <c r="U301" s="4">
        <f t="shared" si="23"/>
        <v>0.47561950439648282</v>
      </c>
      <c r="V301" s="5">
        <f t="shared" si="24"/>
        <v>25.497936000000003</v>
      </c>
    </row>
    <row r="302" spans="1:22" x14ac:dyDescent="0.25">
      <c r="A302" s="2" t="s">
        <v>336</v>
      </c>
      <c r="B302" s="2" t="s">
        <v>32</v>
      </c>
      <c r="C302" s="2" t="s">
        <v>43</v>
      </c>
      <c r="D302" s="2" t="s">
        <v>20</v>
      </c>
      <c r="E302" s="2">
        <v>409.22</v>
      </c>
      <c r="F302" s="2">
        <v>11.42</v>
      </c>
      <c r="G302" s="2">
        <v>34.39</v>
      </c>
      <c r="H302" s="2">
        <v>2.7</v>
      </c>
      <c r="I302" s="2">
        <v>1.3</v>
      </c>
      <c r="J302" s="2">
        <v>5</v>
      </c>
      <c r="K302" s="2" t="s">
        <v>21</v>
      </c>
      <c r="L302" s="2">
        <v>7.46</v>
      </c>
      <c r="M302" s="2" t="s">
        <v>22</v>
      </c>
      <c r="N302" s="2">
        <v>77.260000000000005</v>
      </c>
      <c r="O302" s="2" t="s">
        <v>30</v>
      </c>
      <c r="P302" s="2">
        <v>3.94</v>
      </c>
      <c r="Q302" s="2">
        <v>12.71</v>
      </c>
      <c r="R302" s="3">
        <f t="shared" si="20"/>
        <v>1612.3268</v>
      </c>
      <c r="S302" s="3">
        <f t="shared" si="21"/>
        <v>5201.186200000001</v>
      </c>
      <c r="T302" s="3">
        <f t="shared" si="22"/>
        <v>3588.8594000000012</v>
      </c>
      <c r="U302" s="4">
        <f t="shared" si="23"/>
        <v>0.69000786782061374</v>
      </c>
      <c r="V302" s="5">
        <f t="shared" si="24"/>
        <v>30.527812000000004</v>
      </c>
    </row>
    <row r="303" spans="1:22" x14ac:dyDescent="0.25">
      <c r="A303" s="2" t="s">
        <v>337</v>
      </c>
      <c r="B303" s="2" t="s">
        <v>32</v>
      </c>
      <c r="C303" s="2" t="s">
        <v>43</v>
      </c>
      <c r="D303" s="2" t="s">
        <v>20</v>
      </c>
      <c r="E303" s="2">
        <v>651.92999999999995</v>
      </c>
      <c r="F303" s="2">
        <v>17.809999999999999</v>
      </c>
      <c r="G303" s="2">
        <v>37.090000000000003</v>
      </c>
      <c r="H303" s="2">
        <v>2</v>
      </c>
      <c r="I303" s="2">
        <v>0.1</v>
      </c>
      <c r="J303" s="2">
        <v>8</v>
      </c>
      <c r="K303" s="2" t="s">
        <v>29</v>
      </c>
      <c r="L303" s="2">
        <v>3.93</v>
      </c>
      <c r="M303" s="2" t="s">
        <v>40</v>
      </c>
      <c r="N303" s="2">
        <v>71.06</v>
      </c>
      <c r="O303" s="2" t="s">
        <v>23</v>
      </c>
      <c r="P303" s="2">
        <v>5.7</v>
      </c>
      <c r="Q303" s="2">
        <v>9.99</v>
      </c>
      <c r="R303" s="3">
        <f t="shared" si="20"/>
        <v>3716.0009999999997</v>
      </c>
      <c r="S303" s="3">
        <f t="shared" si="21"/>
        <v>6512.7806999999993</v>
      </c>
      <c r="T303" s="3">
        <f t="shared" si="22"/>
        <v>2796.7796999999996</v>
      </c>
      <c r="U303" s="4">
        <f t="shared" si="23"/>
        <v>0.42942942942942941</v>
      </c>
      <c r="V303" s="5">
        <f t="shared" si="24"/>
        <v>25.620849</v>
      </c>
    </row>
    <row r="304" spans="1:22" x14ac:dyDescent="0.25">
      <c r="A304" s="2" t="s">
        <v>338</v>
      </c>
      <c r="B304" s="2" t="s">
        <v>18</v>
      </c>
      <c r="C304" s="2" t="s">
        <v>19</v>
      </c>
      <c r="D304" s="2" t="s">
        <v>20</v>
      </c>
      <c r="E304" s="2">
        <v>551.08000000000004</v>
      </c>
      <c r="F304" s="2">
        <v>14.3</v>
      </c>
      <c r="G304" s="2">
        <v>25.14</v>
      </c>
      <c r="H304" s="2">
        <v>8.6</v>
      </c>
      <c r="I304" s="2">
        <v>0</v>
      </c>
      <c r="J304" s="2">
        <v>21</v>
      </c>
      <c r="K304" s="2" t="s">
        <v>34</v>
      </c>
      <c r="L304" s="2">
        <v>7.08</v>
      </c>
      <c r="M304" s="2" t="s">
        <v>37</v>
      </c>
      <c r="N304" s="2">
        <v>76.709999999999994</v>
      </c>
      <c r="O304" s="2" t="s">
        <v>24</v>
      </c>
      <c r="P304" s="2">
        <v>4.28</v>
      </c>
      <c r="Q304" s="2">
        <v>8.5399999999999991</v>
      </c>
      <c r="R304" s="3">
        <f t="shared" si="20"/>
        <v>2358.6224000000002</v>
      </c>
      <c r="S304" s="3">
        <f t="shared" si="21"/>
        <v>4706.2231999999995</v>
      </c>
      <c r="T304" s="3">
        <f t="shared" si="22"/>
        <v>2347.6007999999993</v>
      </c>
      <c r="U304" s="4">
        <f t="shared" si="23"/>
        <v>0.49882903981264626</v>
      </c>
      <c r="V304" s="5">
        <f t="shared" si="24"/>
        <v>39.016464000000006</v>
      </c>
    </row>
    <row r="305" spans="1:22" x14ac:dyDescent="0.25">
      <c r="A305" s="2" t="s">
        <v>339</v>
      </c>
      <c r="B305" s="2" t="s">
        <v>45</v>
      </c>
      <c r="C305" s="2" t="s">
        <v>43</v>
      </c>
      <c r="D305" s="2" t="s">
        <v>20</v>
      </c>
      <c r="E305" s="2">
        <v>603.05999999999995</v>
      </c>
      <c r="F305" s="2">
        <v>12.16</v>
      </c>
      <c r="G305" s="2">
        <v>20.420000000000002</v>
      </c>
      <c r="H305" s="2">
        <v>1.5</v>
      </c>
      <c r="I305" s="2">
        <v>0.1</v>
      </c>
      <c r="J305" s="2">
        <v>14</v>
      </c>
      <c r="K305" s="2" t="s">
        <v>21</v>
      </c>
      <c r="L305" s="2">
        <v>0.64</v>
      </c>
      <c r="M305" s="2" t="s">
        <v>22</v>
      </c>
      <c r="N305" s="2">
        <v>85.17</v>
      </c>
      <c r="O305" s="2" t="s">
        <v>24</v>
      </c>
      <c r="P305" s="2">
        <v>4.8499999999999996</v>
      </c>
      <c r="Q305" s="2">
        <v>14.33</v>
      </c>
      <c r="R305" s="3">
        <f t="shared" si="20"/>
        <v>2924.8409999999994</v>
      </c>
      <c r="S305" s="3">
        <f t="shared" si="21"/>
        <v>8641.8498</v>
      </c>
      <c r="T305" s="3">
        <f t="shared" si="22"/>
        <v>5717.0088000000005</v>
      </c>
      <c r="U305" s="4">
        <f t="shared" si="23"/>
        <v>0.66154919748778795</v>
      </c>
      <c r="V305" s="5">
        <f t="shared" si="24"/>
        <v>3.8595839999999999</v>
      </c>
    </row>
    <row r="306" spans="1:22" x14ac:dyDescent="0.25">
      <c r="A306" s="2" t="s">
        <v>340</v>
      </c>
      <c r="B306" s="2" t="s">
        <v>45</v>
      </c>
      <c r="C306" s="2" t="s">
        <v>43</v>
      </c>
      <c r="D306" s="2" t="s">
        <v>28</v>
      </c>
      <c r="E306" s="2">
        <v>434.22</v>
      </c>
      <c r="F306" s="2">
        <v>9.67</v>
      </c>
      <c r="G306" s="2">
        <v>24.46</v>
      </c>
      <c r="H306" s="2">
        <v>0.2</v>
      </c>
      <c r="I306" s="2">
        <v>3.4</v>
      </c>
      <c r="J306" s="2">
        <v>7</v>
      </c>
      <c r="K306" s="2" t="s">
        <v>29</v>
      </c>
      <c r="L306" s="2">
        <v>3.58</v>
      </c>
      <c r="M306" s="2" t="s">
        <v>40</v>
      </c>
      <c r="N306" s="2">
        <v>84.75</v>
      </c>
      <c r="O306" s="2" t="s">
        <v>30</v>
      </c>
      <c r="P306" s="2">
        <v>7.94</v>
      </c>
      <c r="Q306" s="2">
        <v>5.54</v>
      </c>
      <c r="R306" s="3">
        <f t="shared" si="20"/>
        <v>3447.7068000000004</v>
      </c>
      <c r="S306" s="3">
        <f t="shared" si="21"/>
        <v>2405.5788000000002</v>
      </c>
      <c r="T306" s="3">
        <f t="shared" si="22"/>
        <v>-1042.1280000000002</v>
      </c>
      <c r="U306" s="4">
        <f t="shared" si="23"/>
        <v>-0.43321299638989175</v>
      </c>
      <c r="V306" s="5">
        <f t="shared" si="24"/>
        <v>15.545076000000002</v>
      </c>
    </row>
    <row r="307" spans="1:22" x14ac:dyDescent="0.25">
      <c r="A307" s="2" t="s">
        <v>341</v>
      </c>
      <c r="B307" s="2" t="s">
        <v>32</v>
      </c>
      <c r="C307" s="2" t="s">
        <v>43</v>
      </c>
      <c r="D307" s="2" t="s">
        <v>20</v>
      </c>
      <c r="E307" s="2">
        <v>585.45000000000005</v>
      </c>
      <c r="F307" s="2">
        <v>17.86</v>
      </c>
      <c r="G307" s="2">
        <v>21.13</v>
      </c>
      <c r="H307" s="2">
        <v>3.5</v>
      </c>
      <c r="I307" s="2">
        <v>2.8</v>
      </c>
      <c r="J307" s="2">
        <v>7</v>
      </c>
      <c r="K307" s="2" t="s">
        <v>21</v>
      </c>
      <c r="L307" s="2">
        <v>3.53</v>
      </c>
      <c r="M307" s="2" t="s">
        <v>40</v>
      </c>
      <c r="N307" s="2">
        <v>67.88</v>
      </c>
      <c r="O307" s="2" t="s">
        <v>24</v>
      </c>
      <c r="P307" s="2">
        <v>8.98</v>
      </c>
      <c r="Q307" s="2">
        <v>6.53</v>
      </c>
      <c r="R307" s="3">
        <f t="shared" si="20"/>
        <v>5257.3410000000003</v>
      </c>
      <c r="S307" s="3">
        <f t="shared" si="21"/>
        <v>3822.9885000000004</v>
      </c>
      <c r="T307" s="3">
        <f t="shared" si="22"/>
        <v>-1434.3525</v>
      </c>
      <c r="U307" s="4">
        <f t="shared" si="23"/>
        <v>-0.37519142419601831</v>
      </c>
      <c r="V307" s="5">
        <f t="shared" si="24"/>
        <v>20.666385000000002</v>
      </c>
    </row>
    <row r="308" spans="1:22" x14ac:dyDescent="0.25">
      <c r="A308" s="2" t="s">
        <v>342</v>
      </c>
      <c r="B308" s="2" t="s">
        <v>26</v>
      </c>
      <c r="C308" s="2" t="s">
        <v>33</v>
      </c>
      <c r="D308" s="2" t="s">
        <v>20</v>
      </c>
      <c r="E308" s="2">
        <v>390.81</v>
      </c>
      <c r="F308" s="2">
        <v>16.21</v>
      </c>
      <c r="G308" s="2">
        <v>22.07</v>
      </c>
      <c r="H308" s="2">
        <v>0.6</v>
      </c>
      <c r="I308" s="2">
        <v>0.2</v>
      </c>
      <c r="J308" s="2">
        <v>9</v>
      </c>
      <c r="K308" s="2" t="s">
        <v>34</v>
      </c>
      <c r="L308" s="2">
        <v>7.61</v>
      </c>
      <c r="M308" s="2" t="s">
        <v>22</v>
      </c>
      <c r="N308" s="2">
        <v>69.260000000000005</v>
      </c>
      <c r="O308" s="2" t="s">
        <v>23</v>
      </c>
      <c r="P308" s="2">
        <v>3.16</v>
      </c>
      <c r="Q308" s="2">
        <v>9.1999999999999993</v>
      </c>
      <c r="R308" s="3">
        <f t="shared" si="20"/>
        <v>1234.9596000000001</v>
      </c>
      <c r="S308" s="3">
        <f t="shared" si="21"/>
        <v>3595.4519999999998</v>
      </c>
      <c r="T308" s="3">
        <f t="shared" si="22"/>
        <v>2360.4923999999996</v>
      </c>
      <c r="U308" s="4">
        <f t="shared" si="23"/>
        <v>0.65652173913043477</v>
      </c>
      <c r="V308" s="5">
        <f t="shared" si="24"/>
        <v>29.740641</v>
      </c>
    </row>
    <row r="309" spans="1:22" x14ac:dyDescent="0.25">
      <c r="A309" s="2" t="s">
        <v>343</v>
      </c>
      <c r="B309" s="2" t="s">
        <v>45</v>
      </c>
      <c r="C309" s="2" t="s">
        <v>27</v>
      </c>
      <c r="D309" s="2" t="s">
        <v>20</v>
      </c>
      <c r="E309" s="2">
        <v>589.02</v>
      </c>
      <c r="F309" s="2">
        <v>10.81</v>
      </c>
      <c r="G309" s="2">
        <v>28.63</v>
      </c>
      <c r="H309" s="2">
        <v>3</v>
      </c>
      <c r="I309" s="2">
        <v>0.2</v>
      </c>
      <c r="J309" s="2">
        <v>3</v>
      </c>
      <c r="K309" s="2" t="s">
        <v>34</v>
      </c>
      <c r="L309" s="2">
        <v>3.49</v>
      </c>
      <c r="M309" s="2" t="s">
        <v>37</v>
      </c>
      <c r="N309" s="2">
        <v>78.11</v>
      </c>
      <c r="O309" s="2" t="s">
        <v>23</v>
      </c>
      <c r="P309" s="2">
        <v>6.96</v>
      </c>
      <c r="Q309" s="2">
        <v>11.14</v>
      </c>
      <c r="R309" s="3">
        <f t="shared" si="20"/>
        <v>4099.5792000000001</v>
      </c>
      <c r="S309" s="3">
        <f t="shared" si="21"/>
        <v>6561.6828000000005</v>
      </c>
      <c r="T309" s="3">
        <f t="shared" si="22"/>
        <v>2462.1036000000004</v>
      </c>
      <c r="U309" s="4">
        <f t="shared" si="23"/>
        <v>0.37522441651705568</v>
      </c>
      <c r="V309" s="5">
        <f t="shared" si="24"/>
        <v>20.556798000000001</v>
      </c>
    </row>
    <row r="310" spans="1:22" x14ac:dyDescent="0.25">
      <c r="A310" s="2" t="s">
        <v>344</v>
      </c>
      <c r="B310" s="2" t="s">
        <v>26</v>
      </c>
      <c r="C310" s="2" t="s">
        <v>19</v>
      </c>
      <c r="D310" s="2" t="s">
        <v>20</v>
      </c>
      <c r="E310" s="2">
        <v>517.17999999999995</v>
      </c>
      <c r="F310" s="2">
        <v>8.6999999999999993</v>
      </c>
      <c r="G310" s="2">
        <v>24.6</v>
      </c>
      <c r="H310" s="2">
        <v>6.3</v>
      </c>
      <c r="I310" s="2">
        <v>0.3</v>
      </c>
      <c r="J310" s="2">
        <v>14</v>
      </c>
      <c r="K310" s="2" t="s">
        <v>29</v>
      </c>
      <c r="L310" s="2">
        <v>6.52</v>
      </c>
      <c r="M310" s="2" t="s">
        <v>22</v>
      </c>
      <c r="N310" s="2">
        <v>96.22</v>
      </c>
      <c r="O310" s="2" t="s">
        <v>24</v>
      </c>
      <c r="P310" s="2">
        <v>3.25</v>
      </c>
      <c r="Q310" s="2">
        <v>5.08</v>
      </c>
      <c r="R310" s="3">
        <f t="shared" si="20"/>
        <v>1680.8349999999998</v>
      </c>
      <c r="S310" s="3">
        <f t="shared" si="21"/>
        <v>2627.2743999999998</v>
      </c>
      <c r="T310" s="3">
        <f t="shared" si="22"/>
        <v>946.43939999999998</v>
      </c>
      <c r="U310" s="4">
        <f t="shared" si="23"/>
        <v>0.36023622047244097</v>
      </c>
      <c r="V310" s="5">
        <f t="shared" si="24"/>
        <v>33.720135999999997</v>
      </c>
    </row>
    <row r="311" spans="1:22" x14ac:dyDescent="0.25">
      <c r="A311" s="2" t="s">
        <v>345</v>
      </c>
      <c r="B311" s="2" t="s">
        <v>45</v>
      </c>
      <c r="C311" s="2" t="s">
        <v>19</v>
      </c>
      <c r="D311" s="2" t="s">
        <v>28</v>
      </c>
      <c r="E311" s="2">
        <v>555.33000000000004</v>
      </c>
      <c r="F311" s="2">
        <v>8.57</v>
      </c>
      <c r="G311" s="2">
        <v>30.32</v>
      </c>
      <c r="H311" s="2">
        <v>2.4</v>
      </c>
      <c r="I311" s="2">
        <v>0.7</v>
      </c>
      <c r="J311" s="2">
        <v>17</v>
      </c>
      <c r="K311" s="2" t="s">
        <v>34</v>
      </c>
      <c r="L311" s="2">
        <v>7.04</v>
      </c>
      <c r="M311" s="2" t="s">
        <v>22</v>
      </c>
      <c r="N311" s="2">
        <v>87.27</v>
      </c>
      <c r="O311" s="2" t="s">
        <v>23</v>
      </c>
      <c r="P311" s="2">
        <v>3.6</v>
      </c>
      <c r="Q311" s="2">
        <v>12.19</v>
      </c>
      <c r="R311" s="3">
        <f t="shared" si="20"/>
        <v>1999.1880000000001</v>
      </c>
      <c r="S311" s="3">
        <f t="shared" si="21"/>
        <v>6769.4727000000003</v>
      </c>
      <c r="T311" s="3">
        <f t="shared" si="22"/>
        <v>4770.2847000000002</v>
      </c>
      <c r="U311" s="4">
        <f t="shared" si="23"/>
        <v>0.70467596390484</v>
      </c>
      <c r="V311" s="5">
        <f t="shared" si="24"/>
        <v>39.095232000000003</v>
      </c>
    </row>
    <row r="312" spans="1:22" x14ac:dyDescent="0.25">
      <c r="A312" s="2" t="s">
        <v>346</v>
      </c>
      <c r="B312" s="2" t="s">
        <v>26</v>
      </c>
      <c r="C312" s="2" t="s">
        <v>33</v>
      </c>
      <c r="D312" s="2" t="s">
        <v>28</v>
      </c>
      <c r="E312" s="2">
        <v>382.44</v>
      </c>
      <c r="F312" s="2">
        <v>9.1999999999999993</v>
      </c>
      <c r="G312" s="2">
        <v>25.07</v>
      </c>
      <c r="H312" s="2">
        <v>1.8</v>
      </c>
      <c r="I312" s="2">
        <v>0.8</v>
      </c>
      <c r="J312" s="2">
        <v>18</v>
      </c>
      <c r="K312" s="2" t="s">
        <v>29</v>
      </c>
      <c r="L312" s="2">
        <v>6.76</v>
      </c>
      <c r="M312" s="2" t="s">
        <v>37</v>
      </c>
      <c r="N312" s="2">
        <v>69.52</v>
      </c>
      <c r="O312" s="2" t="s">
        <v>23</v>
      </c>
      <c r="P312" s="2">
        <v>7.94</v>
      </c>
      <c r="Q312" s="2">
        <v>10.59</v>
      </c>
      <c r="R312" s="3">
        <f t="shared" si="20"/>
        <v>3036.5736000000002</v>
      </c>
      <c r="S312" s="3">
        <f t="shared" si="21"/>
        <v>4050.0396000000001</v>
      </c>
      <c r="T312" s="3">
        <f t="shared" si="22"/>
        <v>1013.4659999999999</v>
      </c>
      <c r="U312" s="4">
        <f t="shared" si="23"/>
        <v>0.2502360717658168</v>
      </c>
      <c r="V312" s="5">
        <f t="shared" si="24"/>
        <v>25.852943999999997</v>
      </c>
    </row>
    <row r="313" spans="1:22" x14ac:dyDescent="0.25">
      <c r="A313" s="2" t="s">
        <v>347</v>
      </c>
      <c r="B313" s="2" t="s">
        <v>18</v>
      </c>
      <c r="C313" s="2" t="s">
        <v>27</v>
      </c>
      <c r="D313" s="2" t="s">
        <v>28</v>
      </c>
      <c r="E313" s="2">
        <v>410.49</v>
      </c>
      <c r="F313" s="2">
        <v>13.81</v>
      </c>
      <c r="G313" s="2">
        <v>38.81</v>
      </c>
      <c r="H313" s="2">
        <v>1.2</v>
      </c>
      <c r="I313" s="2">
        <v>0.3</v>
      </c>
      <c r="J313" s="2">
        <v>12</v>
      </c>
      <c r="K313" s="2" t="s">
        <v>29</v>
      </c>
      <c r="L313" s="2">
        <v>6.23</v>
      </c>
      <c r="M313" s="2" t="s">
        <v>22</v>
      </c>
      <c r="N313" s="2">
        <v>66.849999999999994</v>
      </c>
      <c r="O313" s="2" t="s">
        <v>24</v>
      </c>
      <c r="P313" s="2">
        <v>8.15</v>
      </c>
      <c r="Q313" s="2">
        <v>9.85</v>
      </c>
      <c r="R313" s="3">
        <f t="shared" si="20"/>
        <v>3345.4935</v>
      </c>
      <c r="S313" s="3">
        <f t="shared" si="21"/>
        <v>4043.3265000000001</v>
      </c>
      <c r="T313" s="3">
        <f t="shared" si="22"/>
        <v>697.83300000000008</v>
      </c>
      <c r="U313" s="4">
        <f t="shared" si="23"/>
        <v>0.17258883248730966</v>
      </c>
      <c r="V313" s="5">
        <f t="shared" si="24"/>
        <v>25.573527000000002</v>
      </c>
    </row>
    <row r="314" spans="1:22" x14ac:dyDescent="0.25">
      <c r="A314" s="2" t="s">
        <v>348</v>
      </c>
      <c r="B314" s="2" t="s">
        <v>26</v>
      </c>
      <c r="C314" s="2" t="s">
        <v>19</v>
      </c>
      <c r="D314" s="2" t="s">
        <v>20</v>
      </c>
      <c r="E314" s="2">
        <v>559.72</v>
      </c>
      <c r="F314" s="2">
        <v>17.29</v>
      </c>
      <c r="G314" s="2">
        <v>38.119999999999997</v>
      </c>
      <c r="H314" s="2">
        <v>0.9</v>
      </c>
      <c r="I314" s="2">
        <v>1.4</v>
      </c>
      <c r="J314" s="2">
        <v>22</v>
      </c>
      <c r="K314" s="2" t="s">
        <v>29</v>
      </c>
      <c r="L314" s="2">
        <v>4.43</v>
      </c>
      <c r="M314" s="2" t="s">
        <v>22</v>
      </c>
      <c r="N314" s="2">
        <v>76.180000000000007</v>
      </c>
      <c r="O314" s="2" t="s">
        <v>24</v>
      </c>
      <c r="P314" s="2">
        <v>8.6999999999999993</v>
      </c>
      <c r="Q314" s="2">
        <v>9.23</v>
      </c>
      <c r="R314" s="3">
        <f t="shared" si="20"/>
        <v>4869.5639999999994</v>
      </c>
      <c r="S314" s="3">
        <f t="shared" si="21"/>
        <v>5166.2156000000004</v>
      </c>
      <c r="T314" s="3">
        <f t="shared" si="22"/>
        <v>296.65160000000105</v>
      </c>
      <c r="U314" s="4">
        <f t="shared" si="23"/>
        <v>5.7421451787649166E-2</v>
      </c>
      <c r="V314" s="5">
        <f t="shared" si="24"/>
        <v>24.795596</v>
      </c>
    </row>
    <row r="315" spans="1:22" x14ac:dyDescent="0.25">
      <c r="A315" s="2" t="s">
        <v>349</v>
      </c>
      <c r="B315" s="2" t="s">
        <v>18</v>
      </c>
      <c r="C315" s="2" t="s">
        <v>43</v>
      </c>
      <c r="D315" s="2" t="s">
        <v>20</v>
      </c>
      <c r="E315" s="2">
        <v>405.17</v>
      </c>
      <c r="F315" s="2">
        <v>12.97</v>
      </c>
      <c r="G315" s="2">
        <v>31.34</v>
      </c>
      <c r="H315" s="2">
        <v>0.9</v>
      </c>
      <c r="I315" s="2">
        <v>0.4</v>
      </c>
      <c r="J315" s="2">
        <v>14</v>
      </c>
      <c r="K315" s="2" t="s">
        <v>29</v>
      </c>
      <c r="L315" s="2">
        <v>4.05</v>
      </c>
      <c r="M315" s="2" t="s">
        <v>37</v>
      </c>
      <c r="N315" s="2">
        <v>93.5</v>
      </c>
      <c r="O315" s="2" t="s">
        <v>30</v>
      </c>
      <c r="P315" s="2">
        <v>6.32</v>
      </c>
      <c r="Q315" s="2">
        <v>10.19</v>
      </c>
      <c r="R315" s="3">
        <f t="shared" si="20"/>
        <v>2560.6744000000003</v>
      </c>
      <c r="S315" s="3">
        <f t="shared" si="21"/>
        <v>4128.6823000000004</v>
      </c>
      <c r="T315" s="3">
        <f t="shared" si="22"/>
        <v>1568.0079000000001</v>
      </c>
      <c r="U315" s="4">
        <f t="shared" si="23"/>
        <v>0.37978410206084395</v>
      </c>
      <c r="V315" s="5">
        <f t="shared" si="24"/>
        <v>16.409385</v>
      </c>
    </row>
    <row r="316" spans="1:22" x14ac:dyDescent="0.25">
      <c r="A316" s="2" t="s">
        <v>350</v>
      </c>
      <c r="B316" s="2" t="s">
        <v>18</v>
      </c>
      <c r="C316" s="2" t="s">
        <v>19</v>
      </c>
      <c r="D316" s="2" t="s">
        <v>28</v>
      </c>
      <c r="E316" s="2">
        <v>546.32000000000005</v>
      </c>
      <c r="F316" s="2">
        <v>16.43</v>
      </c>
      <c r="G316" s="2">
        <v>27.09</v>
      </c>
      <c r="H316" s="2">
        <v>2</v>
      </c>
      <c r="I316" s="2">
        <v>2.6</v>
      </c>
      <c r="J316" s="2">
        <v>26</v>
      </c>
      <c r="K316" s="2" t="s">
        <v>34</v>
      </c>
      <c r="L316" s="2">
        <v>5.86</v>
      </c>
      <c r="M316" s="2" t="s">
        <v>40</v>
      </c>
      <c r="N316" s="2">
        <v>50.43</v>
      </c>
      <c r="O316" s="2" t="s">
        <v>30</v>
      </c>
      <c r="P316" s="2">
        <v>9.02</v>
      </c>
      <c r="Q316" s="2">
        <v>6.62</v>
      </c>
      <c r="R316" s="3">
        <f t="shared" si="20"/>
        <v>4927.8064000000004</v>
      </c>
      <c r="S316" s="3">
        <f t="shared" si="21"/>
        <v>3616.6384000000003</v>
      </c>
      <c r="T316" s="3">
        <f t="shared" si="22"/>
        <v>-1311.1680000000001</v>
      </c>
      <c r="U316" s="4">
        <f t="shared" si="23"/>
        <v>-0.36253776435045315</v>
      </c>
      <c r="V316" s="5">
        <f t="shared" si="24"/>
        <v>32.014352000000002</v>
      </c>
    </row>
    <row r="317" spans="1:22" x14ac:dyDescent="0.25">
      <c r="A317" s="2" t="s">
        <v>351</v>
      </c>
      <c r="B317" s="2" t="s">
        <v>26</v>
      </c>
      <c r="C317" s="2" t="s">
        <v>43</v>
      </c>
      <c r="D317" s="2" t="s">
        <v>28</v>
      </c>
      <c r="E317" s="2">
        <v>363.29</v>
      </c>
      <c r="F317" s="2">
        <v>12.46</v>
      </c>
      <c r="G317" s="2">
        <v>27.62</v>
      </c>
      <c r="H317" s="2">
        <v>2.8</v>
      </c>
      <c r="I317" s="2">
        <v>1.1000000000000001</v>
      </c>
      <c r="J317" s="2">
        <v>26</v>
      </c>
      <c r="K317" s="2" t="s">
        <v>34</v>
      </c>
      <c r="L317" s="2">
        <v>1.1100000000000001</v>
      </c>
      <c r="M317" s="2" t="s">
        <v>40</v>
      </c>
      <c r="N317" s="2">
        <v>85.52</v>
      </c>
      <c r="O317" s="2" t="s">
        <v>23</v>
      </c>
      <c r="P317" s="2">
        <v>4.17</v>
      </c>
      <c r="Q317" s="2">
        <v>6.09</v>
      </c>
      <c r="R317" s="3">
        <f t="shared" si="20"/>
        <v>1514.9193</v>
      </c>
      <c r="S317" s="3">
        <f t="shared" si="21"/>
        <v>2212.4360999999999</v>
      </c>
      <c r="T317" s="3">
        <f t="shared" si="22"/>
        <v>697.51679999999988</v>
      </c>
      <c r="U317" s="4">
        <f t="shared" si="23"/>
        <v>0.31527093596059108</v>
      </c>
      <c r="V317" s="5">
        <f t="shared" si="24"/>
        <v>4.0325190000000006</v>
      </c>
    </row>
    <row r="318" spans="1:22" x14ac:dyDescent="0.25">
      <c r="A318" s="2" t="s">
        <v>352</v>
      </c>
      <c r="B318" s="2" t="s">
        <v>18</v>
      </c>
      <c r="C318" s="2" t="s">
        <v>33</v>
      </c>
      <c r="D318" s="2" t="s">
        <v>28</v>
      </c>
      <c r="E318" s="2">
        <v>584.82000000000005</v>
      </c>
      <c r="F318" s="2">
        <v>15.09</v>
      </c>
      <c r="G318" s="2">
        <v>28.24</v>
      </c>
      <c r="H318" s="2">
        <v>2.2999999999999998</v>
      </c>
      <c r="I318" s="2">
        <v>0.6</v>
      </c>
      <c r="J318" s="2">
        <v>28</v>
      </c>
      <c r="K318" s="2" t="s">
        <v>34</v>
      </c>
      <c r="L318" s="2">
        <v>8.82</v>
      </c>
      <c r="M318" s="2" t="s">
        <v>40</v>
      </c>
      <c r="N318" s="2">
        <v>64.73</v>
      </c>
      <c r="O318" s="2" t="s">
        <v>24</v>
      </c>
      <c r="P318" s="2">
        <v>4.75</v>
      </c>
      <c r="Q318" s="2">
        <v>7.9</v>
      </c>
      <c r="R318" s="3">
        <f t="shared" si="20"/>
        <v>2777.8950000000004</v>
      </c>
      <c r="S318" s="3">
        <f t="shared" si="21"/>
        <v>4620.0780000000004</v>
      </c>
      <c r="T318" s="3">
        <f t="shared" si="22"/>
        <v>1842.183</v>
      </c>
      <c r="U318" s="4">
        <f t="shared" si="23"/>
        <v>0.39873417721518983</v>
      </c>
      <c r="V318" s="5">
        <f t="shared" si="24"/>
        <v>51.58112400000001</v>
      </c>
    </row>
    <row r="319" spans="1:22" x14ac:dyDescent="0.25">
      <c r="A319" s="2" t="s">
        <v>353</v>
      </c>
      <c r="B319" s="2" t="s">
        <v>32</v>
      </c>
      <c r="C319" s="2" t="s">
        <v>43</v>
      </c>
      <c r="D319" s="2" t="s">
        <v>20</v>
      </c>
      <c r="E319" s="2">
        <v>376.75</v>
      </c>
      <c r="F319" s="2">
        <v>15.32</v>
      </c>
      <c r="G319" s="2">
        <v>34.549999999999997</v>
      </c>
      <c r="H319" s="2">
        <v>0.4</v>
      </c>
      <c r="I319" s="2">
        <v>1.6</v>
      </c>
      <c r="J319" s="2">
        <v>13</v>
      </c>
      <c r="K319" s="2" t="s">
        <v>34</v>
      </c>
      <c r="L319" s="2">
        <v>8.34</v>
      </c>
      <c r="M319" s="2" t="s">
        <v>40</v>
      </c>
      <c r="N319" s="2">
        <v>60.42</v>
      </c>
      <c r="O319" s="2" t="s">
        <v>23</v>
      </c>
      <c r="P319" s="2">
        <v>3.94</v>
      </c>
      <c r="Q319" s="2">
        <v>12.1</v>
      </c>
      <c r="R319" s="3">
        <f t="shared" si="20"/>
        <v>1484.395</v>
      </c>
      <c r="S319" s="3">
        <f t="shared" si="21"/>
        <v>4558.6750000000002</v>
      </c>
      <c r="T319" s="3">
        <f t="shared" si="22"/>
        <v>3074.28</v>
      </c>
      <c r="U319" s="4">
        <f t="shared" si="23"/>
        <v>0.67438016528925626</v>
      </c>
      <c r="V319" s="5">
        <f t="shared" si="24"/>
        <v>31.420949999999998</v>
      </c>
    </row>
    <row r="320" spans="1:22" x14ac:dyDescent="0.25">
      <c r="A320" s="2" t="s">
        <v>354</v>
      </c>
      <c r="B320" s="2" t="s">
        <v>18</v>
      </c>
      <c r="C320" s="2" t="s">
        <v>19</v>
      </c>
      <c r="D320" s="2" t="s">
        <v>20</v>
      </c>
      <c r="E320" s="2">
        <v>555.23</v>
      </c>
      <c r="F320" s="2">
        <v>9.74</v>
      </c>
      <c r="G320" s="2">
        <v>29.03</v>
      </c>
      <c r="H320" s="2">
        <v>1.4</v>
      </c>
      <c r="I320" s="2">
        <v>1.7</v>
      </c>
      <c r="J320" s="2">
        <v>14</v>
      </c>
      <c r="K320" s="2" t="s">
        <v>29</v>
      </c>
      <c r="L320" s="2">
        <v>3.79</v>
      </c>
      <c r="M320" s="2" t="s">
        <v>40</v>
      </c>
      <c r="N320" s="2">
        <v>50.61</v>
      </c>
      <c r="O320" s="2" t="s">
        <v>24</v>
      </c>
      <c r="P320" s="2">
        <v>8.58</v>
      </c>
      <c r="Q320" s="2">
        <v>10.88</v>
      </c>
      <c r="R320" s="3">
        <f t="shared" si="20"/>
        <v>4763.8734000000004</v>
      </c>
      <c r="S320" s="3">
        <f t="shared" si="21"/>
        <v>6040.9024000000009</v>
      </c>
      <c r="T320" s="3">
        <f t="shared" si="22"/>
        <v>1277.0290000000005</v>
      </c>
      <c r="U320" s="4">
        <f t="shared" si="23"/>
        <v>0.21139705882352947</v>
      </c>
      <c r="V320" s="5">
        <f t="shared" si="24"/>
        <v>21.043216999999999</v>
      </c>
    </row>
    <row r="321" spans="1:22" x14ac:dyDescent="0.25">
      <c r="A321" s="2" t="s">
        <v>355</v>
      </c>
      <c r="B321" s="2" t="s">
        <v>45</v>
      </c>
      <c r="C321" s="2" t="s">
        <v>19</v>
      </c>
      <c r="D321" s="2" t="s">
        <v>28</v>
      </c>
      <c r="E321" s="2">
        <v>562.55999999999995</v>
      </c>
      <c r="F321" s="2">
        <v>11.61</v>
      </c>
      <c r="G321" s="2">
        <v>37.130000000000003</v>
      </c>
      <c r="H321" s="2">
        <v>3.1</v>
      </c>
      <c r="I321" s="2">
        <v>0.3</v>
      </c>
      <c r="J321" s="2">
        <v>9</v>
      </c>
      <c r="K321" s="2" t="s">
        <v>29</v>
      </c>
      <c r="L321" s="2">
        <v>5.88</v>
      </c>
      <c r="M321" s="2" t="s">
        <v>22</v>
      </c>
      <c r="N321" s="2">
        <v>94.83</v>
      </c>
      <c r="O321" s="2" t="s">
        <v>23</v>
      </c>
      <c r="P321" s="2">
        <v>4.5999999999999996</v>
      </c>
      <c r="Q321" s="2">
        <v>9.8000000000000007</v>
      </c>
      <c r="R321" s="3">
        <f t="shared" si="20"/>
        <v>2587.7759999999994</v>
      </c>
      <c r="S321" s="3">
        <f t="shared" si="21"/>
        <v>5513.0879999999997</v>
      </c>
      <c r="T321" s="3">
        <f t="shared" si="22"/>
        <v>2925.3120000000004</v>
      </c>
      <c r="U321" s="4">
        <f t="shared" si="23"/>
        <v>0.53061224489795922</v>
      </c>
      <c r="V321" s="5">
        <f t="shared" si="24"/>
        <v>33.078527999999999</v>
      </c>
    </row>
    <row r="322" spans="1:22" x14ac:dyDescent="0.25">
      <c r="A322" s="2" t="s">
        <v>356</v>
      </c>
      <c r="B322" s="2" t="s">
        <v>26</v>
      </c>
      <c r="C322" s="2" t="s">
        <v>19</v>
      </c>
      <c r="D322" s="2" t="s">
        <v>28</v>
      </c>
      <c r="E322" s="2">
        <v>430.32</v>
      </c>
      <c r="F322" s="2">
        <v>14.37</v>
      </c>
      <c r="G322" s="2">
        <v>38.880000000000003</v>
      </c>
      <c r="H322" s="2">
        <v>1.3</v>
      </c>
      <c r="I322" s="2">
        <v>0.4</v>
      </c>
      <c r="J322" s="2">
        <v>19</v>
      </c>
      <c r="K322" s="2" t="s">
        <v>34</v>
      </c>
      <c r="L322" s="2">
        <v>9.36</v>
      </c>
      <c r="M322" s="2" t="s">
        <v>37</v>
      </c>
      <c r="N322" s="2">
        <v>95.61</v>
      </c>
      <c r="O322" s="2" t="s">
        <v>23</v>
      </c>
      <c r="P322" s="2">
        <v>4.09</v>
      </c>
      <c r="Q322" s="2">
        <v>10.72</v>
      </c>
      <c r="R322" s="3">
        <f t="shared" si="20"/>
        <v>1760.0087999999998</v>
      </c>
      <c r="S322" s="3">
        <f t="shared" si="21"/>
        <v>4613.0304000000006</v>
      </c>
      <c r="T322" s="3">
        <f t="shared" si="22"/>
        <v>2853.0216000000009</v>
      </c>
      <c r="U322" s="4">
        <f t="shared" si="23"/>
        <v>0.61847014925373145</v>
      </c>
      <c r="V322" s="5">
        <f t="shared" si="24"/>
        <v>40.277951999999999</v>
      </c>
    </row>
    <row r="323" spans="1:22" x14ac:dyDescent="0.25">
      <c r="A323" s="2" t="s">
        <v>357</v>
      </c>
      <c r="B323" s="2" t="s">
        <v>32</v>
      </c>
      <c r="C323" s="2" t="s">
        <v>33</v>
      </c>
      <c r="D323" s="2" t="s">
        <v>28</v>
      </c>
      <c r="E323" s="2">
        <v>558.20000000000005</v>
      </c>
      <c r="F323" s="2">
        <v>8.7100000000000009</v>
      </c>
      <c r="G323" s="2">
        <v>26.72</v>
      </c>
      <c r="H323" s="2">
        <v>1.5</v>
      </c>
      <c r="I323" s="2">
        <v>2.7</v>
      </c>
      <c r="J323" s="2">
        <v>26</v>
      </c>
      <c r="K323" s="2" t="s">
        <v>21</v>
      </c>
      <c r="L323" s="2">
        <v>3.08</v>
      </c>
      <c r="M323" s="2" t="s">
        <v>40</v>
      </c>
      <c r="N323" s="2">
        <v>53.07</v>
      </c>
      <c r="O323" s="2" t="s">
        <v>23</v>
      </c>
      <c r="P323" s="2">
        <v>7.36</v>
      </c>
      <c r="Q323" s="2">
        <v>10.59</v>
      </c>
      <c r="R323" s="3">
        <f t="shared" ref="R323:R386" si="25">E323*P323</f>
        <v>4108.3520000000008</v>
      </c>
      <c r="S323" s="3">
        <f t="shared" ref="S323:S386" si="26">E323*Q323</f>
        <v>5911.3380000000006</v>
      </c>
      <c r="T323" s="3">
        <f t="shared" ref="T323:T386" si="27">S323-R323</f>
        <v>1802.9859999999999</v>
      </c>
      <c r="U323" s="4">
        <f t="shared" ref="U323:U386" si="28">T323/S323</f>
        <v>0.30500472143531626</v>
      </c>
      <c r="V323" s="5">
        <f t="shared" ref="V323:V386" si="29">E323*L323/100</f>
        <v>17.19256</v>
      </c>
    </row>
    <row r="324" spans="1:22" x14ac:dyDescent="0.25">
      <c r="A324" s="2" t="s">
        <v>358</v>
      </c>
      <c r="B324" s="2" t="s">
        <v>26</v>
      </c>
      <c r="C324" s="2" t="s">
        <v>33</v>
      </c>
      <c r="D324" s="2" t="s">
        <v>20</v>
      </c>
      <c r="E324" s="2">
        <v>526.04</v>
      </c>
      <c r="F324" s="2">
        <v>11.62</v>
      </c>
      <c r="G324" s="2">
        <v>31.21</v>
      </c>
      <c r="H324" s="2">
        <v>2.9</v>
      </c>
      <c r="I324" s="2">
        <v>0.2</v>
      </c>
      <c r="J324" s="2">
        <v>2</v>
      </c>
      <c r="K324" s="2" t="s">
        <v>21</v>
      </c>
      <c r="L324" s="2">
        <v>7.55</v>
      </c>
      <c r="M324" s="2" t="s">
        <v>37</v>
      </c>
      <c r="N324" s="2">
        <v>76.09</v>
      </c>
      <c r="O324" s="2" t="s">
        <v>30</v>
      </c>
      <c r="P324" s="2">
        <v>3.54</v>
      </c>
      <c r="Q324" s="2">
        <v>8.07</v>
      </c>
      <c r="R324" s="3">
        <f t="shared" si="25"/>
        <v>1862.1815999999999</v>
      </c>
      <c r="S324" s="3">
        <f t="shared" si="26"/>
        <v>4245.1427999999996</v>
      </c>
      <c r="T324" s="3">
        <f t="shared" si="27"/>
        <v>2382.9611999999997</v>
      </c>
      <c r="U324" s="4">
        <f t="shared" si="28"/>
        <v>0.56133828996282531</v>
      </c>
      <c r="V324" s="5">
        <f t="shared" si="29"/>
        <v>39.716019999999993</v>
      </c>
    </row>
    <row r="325" spans="1:22" x14ac:dyDescent="0.25">
      <c r="A325" s="2" t="s">
        <v>359</v>
      </c>
      <c r="B325" s="2" t="s">
        <v>45</v>
      </c>
      <c r="C325" s="2" t="s">
        <v>27</v>
      </c>
      <c r="D325" s="2" t="s">
        <v>20</v>
      </c>
      <c r="E325" s="2">
        <v>446.12</v>
      </c>
      <c r="F325" s="2">
        <v>13.35</v>
      </c>
      <c r="G325" s="2">
        <v>21.9</v>
      </c>
      <c r="H325" s="2">
        <v>2.2000000000000002</v>
      </c>
      <c r="I325" s="2">
        <v>0</v>
      </c>
      <c r="J325" s="2">
        <v>11</v>
      </c>
      <c r="K325" s="2" t="s">
        <v>21</v>
      </c>
      <c r="L325" s="2">
        <v>1.29</v>
      </c>
      <c r="M325" s="2" t="s">
        <v>40</v>
      </c>
      <c r="N325" s="2">
        <v>57.63</v>
      </c>
      <c r="O325" s="2" t="s">
        <v>24</v>
      </c>
      <c r="P325" s="2">
        <v>3.31</v>
      </c>
      <c r="Q325" s="2">
        <v>5.97</v>
      </c>
      <c r="R325" s="3">
        <f t="shared" si="25"/>
        <v>1476.6572000000001</v>
      </c>
      <c r="S325" s="3">
        <f t="shared" si="26"/>
        <v>2663.3364000000001</v>
      </c>
      <c r="T325" s="3">
        <f t="shared" si="27"/>
        <v>1186.6792</v>
      </c>
      <c r="U325" s="4">
        <f t="shared" si="28"/>
        <v>0.44556113902847572</v>
      </c>
      <c r="V325" s="5">
        <f t="shared" si="29"/>
        <v>5.7549480000000006</v>
      </c>
    </row>
    <row r="326" spans="1:22" x14ac:dyDescent="0.25">
      <c r="A326" s="2" t="s">
        <v>360</v>
      </c>
      <c r="B326" s="2" t="s">
        <v>45</v>
      </c>
      <c r="C326" s="2" t="s">
        <v>19</v>
      </c>
      <c r="D326" s="2" t="s">
        <v>20</v>
      </c>
      <c r="E326" s="2">
        <v>399.14</v>
      </c>
      <c r="F326" s="2">
        <v>17.96</v>
      </c>
      <c r="G326" s="2">
        <v>24.01</v>
      </c>
      <c r="H326" s="2">
        <v>1.1000000000000001</v>
      </c>
      <c r="I326" s="2">
        <v>0.6</v>
      </c>
      <c r="J326" s="2">
        <v>17</v>
      </c>
      <c r="K326" s="2" t="s">
        <v>34</v>
      </c>
      <c r="L326" s="2">
        <v>5.47</v>
      </c>
      <c r="M326" s="2" t="s">
        <v>22</v>
      </c>
      <c r="N326" s="2">
        <v>87.93</v>
      </c>
      <c r="O326" s="2" t="s">
        <v>23</v>
      </c>
      <c r="P326" s="2">
        <v>3.75</v>
      </c>
      <c r="Q326" s="2">
        <v>13.97</v>
      </c>
      <c r="R326" s="3">
        <f t="shared" si="25"/>
        <v>1496.7749999999999</v>
      </c>
      <c r="S326" s="3">
        <f t="shared" si="26"/>
        <v>5575.9858000000004</v>
      </c>
      <c r="T326" s="3">
        <f t="shared" si="27"/>
        <v>4079.2108000000007</v>
      </c>
      <c r="U326" s="4">
        <f t="shared" si="28"/>
        <v>0.73156764495347182</v>
      </c>
      <c r="V326" s="5">
        <f t="shared" si="29"/>
        <v>21.832957999999998</v>
      </c>
    </row>
    <row r="327" spans="1:22" x14ac:dyDescent="0.25">
      <c r="A327" s="2" t="s">
        <v>361</v>
      </c>
      <c r="B327" s="2" t="s">
        <v>45</v>
      </c>
      <c r="C327" s="2" t="s">
        <v>43</v>
      </c>
      <c r="D327" s="2" t="s">
        <v>28</v>
      </c>
      <c r="E327" s="2">
        <v>303.74</v>
      </c>
      <c r="F327" s="2">
        <v>12.75</v>
      </c>
      <c r="G327" s="2">
        <v>28.27</v>
      </c>
      <c r="H327" s="2">
        <v>4.5</v>
      </c>
      <c r="I327" s="2">
        <v>1.6</v>
      </c>
      <c r="J327" s="2">
        <v>2</v>
      </c>
      <c r="K327" s="2" t="s">
        <v>29</v>
      </c>
      <c r="L327" s="2">
        <v>8.9</v>
      </c>
      <c r="M327" s="2" t="s">
        <v>40</v>
      </c>
      <c r="N327" s="2">
        <v>83.27</v>
      </c>
      <c r="O327" s="2" t="s">
        <v>30</v>
      </c>
      <c r="P327" s="2">
        <v>3</v>
      </c>
      <c r="Q327" s="2">
        <v>11</v>
      </c>
      <c r="R327" s="3">
        <f t="shared" si="25"/>
        <v>911.22</v>
      </c>
      <c r="S327" s="3">
        <f t="shared" si="26"/>
        <v>3341.1400000000003</v>
      </c>
      <c r="T327" s="3">
        <f t="shared" si="27"/>
        <v>2429.92</v>
      </c>
      <c r="U327" s="4">
        <f t="shared" si="28"/>
        <v>0.72727272727272718</v>
      </c>
      <c r="V327" s="5">
        <f t="shared" si="29"/>
        <v>27.032859999999999</v>
      </c>
    </row>
    <row r="328" spans="1:22" x14ac:dyDescent="0.25">
      <c r="A328" s="2" t="s">
        <v>362</v>
      </c>
      <c r="B328" s="2" t="s">
        <v>18</v>
      </c>
      <c r="C328" s="2" t="s">
        <v>33</v>
      </c>
      <c r="D328" s="2" t="s">
        <v>28</v>
      </c>
      <c r="E328" s="2">
        <v>534.97</v>
      </c>
      <c r="F328" s="2">
        <v>16.16</v>
      </c>
      <c r="G328" s="2">
        <v>24.12</v>
      </c>
      <c r="H328" s="2">
        <v>0.4</v>
      </c>
      <c r="I328" s="2">
        <v>1.5</v>
      </c>
      <c r="J328" s="2">
        <v>19</v>
      </c>
      <c r="K328" s="2" t="s">
        <v>29</v>
      </c>
      <c r="L328" s="2">
        <v>5.74</v>
      </c>
      <c r="M328" s="2" t="s">
        <v>40</v>
      </c>
      <c r="N328" s="2">
        <v>64.86</v>
      </c>
      <c r="O328" s="2" t="s">
        <v>23</v>
      </c>
      <c r="P328" s="2">
        <v>7.88</v>
      </c>
      <c r="Q328" s="2">
        <v>11.98</v>
      </c>
      <c r="R328" s="3">
        <f t="shared" si="25"/>
        <v>4215.5636000000004</v>
      </c>
      <c r="S328" s="3">
        <f t="shared" si="26"/>
        <v>6408.9406000000008</v>
      </c>
      <c r="T328" s="3">
        <f t="shared" si="27"/>
        <v>2193.3770000000004</v>
      </c>
      <c r="U328" s="4">
        <f t="shared" si="28"/>
        <v>0.34223706176961605</v>
      </c>
      <c r="V328" s="5">
        <f t="shared" si="29"/>
        <v>30.707278000000002</v>
      </c>
    </row>
    <row r="329" spans="1:22" x14ac:dyDescent="0.25">
      <c r="A329" s="2" t="s">
        <v>363</v>
      </c>
      <c r="B329" s="2" t="s">
        <v>18</v>
      </c>
      <c r="C329" s="2" t="s">
        <v>19</v>
      </c>
      <c r="D329" s="2" t="s">
        <v>20</v>
      </c>
      <c r="E329" s="2">
        <v>343.52</v>
      </c>
      <c r="F329" s="2">
        <v>12.32</v>
      </c>
      <c r="G329" s="2">
        <v>37.53</v>
      </c>
      <c r="H329" s="2">
        <v>10.8</v>
      </c>
      <c r="I329" s="2">
        <v>2.5</v>
      </c>
      <c r="J329" s="2">
        <v>7</v>
      </c>
      <c r="K329" s="2" t="s">
        <v>21</v>
      </c>
      <c r="L329" s="2">
        <v>6.35</v>
      </c>
      <c r="M329" s="2" t="s">
        <v>37</v>
      </c>
      <c r="N329" s="2">
        <v>55.85</v>
      </c>
      <c r="O329" s="2" t="s">
        <v>23</v>
      </c>
      <c r="P329" s="2">
        <v>6.94</v>
      </c>
      <c r="Q329" s="2">
        <v>9.64</v>
      </c>
      <c r="R329" s="3">
        <f t="shared" si="25"/>
        <v>2384.0288</v>
      </c>
      <c r="S329" s="3">
        <f t="shared" si="26"/>
        <v>3311.5328</v>
      </c>
      <c r="T329" s="3">
        <f t="shared" si="27"/>
        <v>927.50399999999991</v>
      </c>
      <c r="U329" s="4">
        <f t="shared" si="28"/>
        <v>0.28008298755186717</v>
      </c>
      <c r="V329" s="5">
        <f t="shared" si="29"/>
        <v>21.813519999999997</v>
      </c>
    </row>
    <row r="330" spans="1:22" x14ac:dyDescent="0.25">
      <c r="A330" s="2" t="s">
        <v>364</v>
      </c>
      <c r="B330" s="2" t="s">
        <v>26</v>
      </c>
      <c r="C330" s="2" t="s">
        <v>19</v>
      </c>
      <c r="D330" s="2" t="s">
        <v>28</v>
      </c>
      <c r="E330" s="2">
        <v>509.53</v>
      </c>
      <c r="F330" s="2">
        <v>15.96</v>
      </c>
      <c r="G330" s="2">
        <v>23.17</v>
      </c>
      <c r="H330" s="2">
        <v>0.3</v>
      </c>
      <c r="I330" s="2">
        <v>0.8</v>
      </c>
      <c r="J330" s="2">
        <v>18</v>
      </c>
      <c r="K330" s="2" t="s">
        <v>21</v>
      </c>
      <c r="L330" s="2">
        <v>9.1199999999999992</v>
      </c>
      <c r="M330" s="2" t="s">
        <v>37</v>
      </c>
      <c r="N330" s="2">
        <v>91.56</v>
      </c>
      <c r="O330" s="2" t="s">
        <v>24</v>
      </c>
      <c r="P330" s="2">
        <v>4.47</v>
      </c>
      <c r="Q330" s="2">
        <v>12.56</v>
      </c>
      <c r="R330" s="3">
        <f t="shared" si="25"/>
        <v>2277.5990999999999</v>
      </c>
      <c r="S330" s="3">
        <f t="shared" si="26"/>
        <v>6399.6967999999997</v>
      </c>
      <c r="T330" s="3">
        <f t="shared" si="27"/>
        <v>4122.0977000000003</v>
      </c>
      <c r="U330" s="4">
        <f t="shared" si="28"/>
        <v>0.64410828025477718</v>
      </c>
      <c r="V330" s="5">
        <f t="shared" si="29"/>
        <v>46.469135999999992</v>
      </c>
    </row>
    <row r="331" spans="1:22" x14ac:dyDescent="0.25">
      <c r="A331" s="2" t="s">
        <v>365</v>
      </c>
      <c r="B331" s="2" t="s">
        <v>26</v>
      </c>
      <c r="C331" s="2" t="s">
        <v>33</v>
      </c>
      <c r="D331" s="2" t="s">
        <v>20</v>
      </c>
      <c r="E331" s="2">
        <v>473.66</v>
      </c>
      <c r="F331" s="2">
        <v>13.95</v>
      </c>
      <c r="G331" s="2">
        <v>29.11</v>
      </c>
      <c r="H331" s="2">
        <v>0</v>
      </c>
      <c r="I331" s="2">
        <v>0.1</v>
      </c>
      <c r="J331" s="2">
        <v>13</v>
      </c>
      <c r="K331" s="2" t="s">
        <v>29</v>
      </c>
      <c r="L331" s="2">
        <v>7.3</v>
      </c>
      <c r="M331" s="2" t="s">
        <v>22</v>
      </c>
      <c r="N331" s="2">
        <v>83.71</v>
      </c>
      <c r="O331" s="2" t="s">
        <v>23</v>
      </c>
      <c r="P331" s="2">
        <v>4.63</v>
      </c>
      <c r="Q331" s="2">
        <v>10.84</v>
      </c>
      <c r="R331" s="3">
        <f t="shared" si="25"/>
        <v>2193.0457999999999</v>
      </c>
      <c r="S331" s="3">
        <f t="shared" si="26"/>
        <v>5134.4744000000001</v>
      </c>
      <c r="T331" s="3">
        <f t="shared" si="27"/>
        <v>2941.4286000000002</v>
      </c>
      <c r="U331" s="4">
        <f t="shared" si="28"/>
        <v>0.57287822878228789</v>
      </c>
      <c r="V331" s="5">
        <f t="shared" si="29"/>
        <v>34.577180000000006</v>
      </c>
    </row>
    <row r="332" spans="1:22" x14ac:dyDescent="0.25">
      <c r="A332" s="2" t="s">
        <v>366</v>
      </c>
      <c r="B332" s="2" t="s">
        <v>32</v>
      </c>
      <c r="C332" s="2" t="s">
        <v>27</v>
      </c>
      <c r="D332" s="2" t="s">
        <v>28</v>
      </c>
      <c r="E332" s="2">
        <v>567.91</v>
      </c>
      <c r="F332" s="2">
        <v>16.87</v>
      </c>
      <c r="G332" s="2">
        <v>32.11</v>
      </c>
      <c r="H332" s="2">
        <v>4.4000000000000004</v>
      </c>
      <c r="I332" s="2">
        <v>0.9</v>
      </c>
      <c r="J332" s="2">
        <v>5</v>
      </c>
      <c r="K332" s="2" t="s">
        <v>21</v>
      </c>
      <c r="L332" s="2">
        <v>7.11</v>
      </c>
      <c r="M332" s="2" t="s">
        <v>37</v>
      </c>
      <c r="N332" s="2">
        <v>50.34</v>
      </c>
      <c r="O332" s="2" t="s">
        <v>24</v>
      </c>
      <c r="P332" s="2">
        <v>8.68</v>
      </c>
      <c r="Q332" s="2">
        <v>5.54</v>
      </c>
      <c r="R332" s="3">
        <f t="shared" si="25"/>
        <v>4929.4587999999994</v>
      </c>
      <c r="S332" s="3">
        <f t="shared" si="26"/>
        <v>3146.2213999999999</v>
      </c>
      <c r="T332" s="3">
        <f t="shared" si="27"/>
        <v>-1783.2373999999995</v>
      </c>
      <c r="U332" s="4">
        <f t="shared" si="28"/>
        <v>-0.56678700361010814</v>
      </c>
      <c r="V332" s="5">
        <f t="shared" si="29"/>
        <v>40.378400999999997</v>
      </c>
    </row>
    <row r="333" spans="1:22" x14ac:dyDescent="0.25">
      <c r="A333" s="2" t="s">
        <v>367</v>
      </c>
      <c r="B333" s="2" t="s">
        <v>32</v>
      </c>
      <c r="C333" s="2" t="s">
        <v>33</v>
      </c>
      <c r="D333" s="2" t="s">
        <v>28</v>
      </c>
      <c r="E333" s="2">
        <v>469.8</v>
      </c>
      <c r="F333" s="2">
        <v>12.11</v>
      </c>
      <c r="G333" s="2">
        <v>33.840000000000003</v>
      </c>
      <c r="H333" s="2">
        <v>0.6</v>
      </c>
      <c r="I333" s="2">
        <v>1.5</v>
      </c>
      <c r="J333" s="2">
        <v>18</v>
      </c>
      <c r="K333" s="2" t="s">
        <v>21</v>
      </c>
      <c r="L333" s="2">
        <v>6.07</v>
      </c>
      <c r="M333" s="2" t="s">
        <v>37</v>
      </c>
      <c r="N333" s="2">
        <v>81.39</v>
      </c>
      <c r="O333" s="2" t="s">
        <v>30</v>
      </c>
      <c r="P333" s="2">
        <v>6.51</v>
      </c>
      <c r="Q333" s="2">
        <v>13.9</v>
      </c>
      <c r="R333" s="3">
        <f t="shared" si="25"/>
        <v>3058.3980000000001</v>
      </c>
      <c r="S333" s="3">
        <f t="shared" si="26"/>
        <v>6530.22</v>
      </c>
      <c r="T333" s="3">
        <f t="shared" si="27"/>
        <v>3471.8220000000001</v>
      </c>
      <c r="U333" s="4">
        <f t="shared" si="28"/>
        <v>0.53165467625899276</v>
      </c>
      <c r="V333" s="5">
        <f t="shared" si="29"/>
        <v>28.516860000000001</v>
      </c>
    </row>
    <row r="334" spans="1:22" x14ac:dyDescent="0.25">
      <c r="A334" s="2" t="s">
        <v>368</v>
      </c>
      <c r="B334" s="2" t="s">
        <v>26</v>
      </c>
      <c r="C334" s="2" t="s">
        <v>33</v>
      </c>
      <c r="D334" s="2" t="s">
        <v>28</v>
      </c>
      <c r="E334" s="2">
        <v>467.06</v>
      </c>
      <c r="F334" s="2">
        <v>14.04</v>
      </c>
      <c r="G334" s="2">
        <v>27.66</v>
      </c>
      <c r="H334" s="2">
        <v>2.6</v>
      </c>
      <c r="I334" s="2">
        <v>0.1</v>
      </c>
      <c r="J334" s="2">
        <v>23</v>
      </c>
      <c r="K334" s="2" t="s">
        <v>29</v>
      </c>
      <c r="L334" s="2">
        <v>6.51</v>
      </c>
      <c r="M334" s="2" t="s">
        <v>37</v>
      </c>
      <c r="N334" s="2">
        <v>90.51</v>
      </c>
      <c r="O334" s="2" t="s">
        <v>30</v>
      </c>
      <c r="P334" s="2">
        <v>7.89</v>
      </c>
      <c r="Q334" s="2">
        <v>8.06</v>
      </c>
      <c r="R334" s="3">
        <f t="shared" si="25"/>
        <v>3685.1034</v>
      </c>
      <c r="S334" s="3">
        <f t="shared" si="26"/>
        <v>3764.5036000000005</v>
      </c>
      <c r="T334" s="3">
        <f t="shared" si="27"/>
        <v>79.400200000000495</v>
      </c>
      <c r="U334" s="4">
        <f t="shared" si="28"/>
        <v>2.1091811414392189E-2</v>
      </c>
      <c r="V334" s="5">
        <f t="shared" si="29"/>
        <v>30.405605999999999</v>
      </c>
    </row>
    <row r="335" spans="1:22" x14ac:dyDescent="0.25">
      <c r="A335" s="2" t="s">
        <v>369</v>
      </c>
      <c r="B335" s="2" t="s">
        <v>18</v>
      </c>
      <c r="C335" s="2" t="s">
        <v>43</v>
      </c>
      <c r="D335" s="2" t="s">
        <v>28</v>
      </c>
      <c r="E335" s="2">
        <v>573.19000000000005</v>
      </c>
      <c r="F335" s="2">
        <v>14.3</v>
      </c>
      <c r="G335" s="2">
        <v>37.380000000000003</v>
      </c>
      <c r="H335" s="2">
        <v>3.3</v>
      </c>
      <c r="I335" s="2">
        <v>0.2</v>
      </c>
      <c r="J335" s="2">
        <v>26</v>
      </c>
      <c r="K335" s="2" t="s">
        <v>21</v>
      </c>
      <c r="L335" s="2">
        <v>8.14</v>
      </c>
      <c r="M335" s="2" t="s">
        <v>22</v>
      </c>
      <c r="N335" s="2">
        <v>79.540000000000006</v>
      </c>
      <c r="O335" s="2" t="s">
        <v>23</v>
      </c>
      <c r="P335" s="2">
        <v>6.17</v>
      </c>
      <c r="Q335" s="2">
        <v>6.38</v>
      </c>
      <c r="R335" s="3">
        <f t="shared" si="25"/>
        <v>3536.5823000000005</v>
      </c>
      <c r="S335" s="3">
        <f t="shared" si="26"/>
        <v>3656.9522000000002</v>
      </c>
      <c r="T335" s="3">
        <f t="shared" si="27"/>
        <v>120.36989999999969</v>
      </c>
      <c r="U335" s="4">
        <f t="shared" si="28"/>
        <v>3.2915360501567313E-2</v>
      </c>
      <c r="V335" s="5">
        <f t="shared" si="29"/>
        <v>46.657666000000006</v>
      </c>
    </row>
    <row r="336" spans="1:22" x14ac:dyDescent="0.25">
      <c r="A336" s="2" t="s">
        <v>370</v>
      </c>
      <c r="B336" s="2" t="s">
        <v>45</v>
      </c>
      <c r="C336" s="2" t="s">
        <v>43</v>
      </c>
      <c r="D336" s="2" t="s">
        <v>20</v>
      </c>
      <c r="E336" s="2">
        <v>533.51</v>
      </c>
      <c r="F336" s="2">
        <v>12.17</v>
      </c>
      <c r="G336" s="2">
        <v>31.37</v>
      </c>
      <c r="H336" s="2">
        <v>3.9</v>
      </c>
      <c r="I336" s="2">
        <v>0</v>
      </c>
      <c r="J336" s="2">
        <v>24</v>
      </c>
      <c r="K336" s="2" t="s">
        <v>21</v>
      </c>
      <c r="L336" s="2">
        <v>9.8000000000000007</v>
      </c>
      <c r="M336" s="2" t="s">
        <v>22</v>
      </c>
      <c r="N336" s="2">
        <v>71.239999999999995</v>
      </c>
      <c r="O336" s="2" t="s">
        <v>30</v>
      </c>
      <c r="P336" s="2">
        <v>4.66</v>
      </c>
      <c r="Q336" s="2">
        <v>5.88</v>
      </c>
      <c r="R336" s="3">
        <f t="shared" si="25"/>
        <v>2486.1566000000003</v>
      </c>
      <c r="S336" s="3">
        <f t="shared" si="26"/>
        <v>3137.0387999999998</v>
      </c>
      <c r="T336" s="3">
        <f t="shared" si="27"/>
        <v>650.88219999999956</v>
      </c>
      <c r="U336" s="4">
        <f t="shared" si="28"/>
        <v>0.20748299319727878</v>
      </c>
      <c r="V336" s="5">
        <f t="shared" si="29"/>
        <v>52.28398</v>
      </c>
    </row>
    <row r="337" spans="1:22" x14ac:dyDescent="0.25">
      <c r="A337" s="2" t="s">
        <v>371</v>
      </c>
      <c r="B337" s="2" t="s">
        <v>26</v>
      </c>
      <c r="C337" s="2" t="s">
        <v>27</v>
      </c>
      <c r="D337" s="2" t="s">
        <v>28</v>
      </c>
      <c r="E337" s="2">
        <v>531.62</v>
      </c>
      <c r="F337" s="2">
        <v>9.44</v>
      </c>
      <c r="G337" s="2">
        <v>28.79</v>
      </c>
      <c r="H337" s="2">
        <v>9.6</v>
      </c>
      <c r="I337" s="2">
        <v>0.9</v>
      </c>
      <c r="J337" s="2">
        <v>24</v>
      </c>
      <c r="K337" s="2" t="s">
        <v>34</v>
      </c>
      <c r="L337" s="2">
        <v>8.06</v>
      </c>
      <c r="M337" s="2" t="s">
        <v>22</v>
      </c>
      <c r="N337" s="2">
        <v>79.2</v>
      </c>
      <c r="O337" s="2" t="s">
        <v>24</v>
      </c>
      <c r="P337" s="2">
        <v>9.7899999999999991</v>
      </c>
      <c r="Q337" s="2">
        <v>12.2</v>
      </c>
      <c r="R337" s="3">
        <f t="shared" si="25"/>
        <v>5204.5598</v>
      </c>
      <c r="S337" s="3">
        <f t="shared" si="26"/>
        <v>6485.7640000000001</v>
      </c>
      <c r="T337" s="3">
        <f t="shared" si="27"/>
        <v>1281.2042000000001</v>
      </c>
      <c r="U337" s="4">
        <f t="shared" si="28"/>
        <v>0.19754098360655739</v>
      </c>
      <c r="V337" s="5">
        <f t="shared" si="29"/>
        <v>42.848572000000004</v>
      </c>
    </row>
    <row r="338" spans="1:22" x14ac:dyDescent="0.25">
      <c r="A338" s="2" t="s">
        <v>372</v>
      </c>
      <c r="B338" s="2" t="s">
        <v>32</v>
      </c>
      <c r="C338" s="2" t="s">
        <v>19</v>
      </c>
      <c r="D338" s="2" t="s">
        <v>20</v>
      </c>
      <c r="E338" s="2">
        <v>546.92999999999995</v>
      </c>
      <c r="F338" s="2">
        <v>8.94</v>
      </c>
      <c r="G338" s="2">
        <v>21.34</v>
      </c>
      <c r="H338" s="2">
        <v>0.7</v>
      </c>
      <c r="I338" s="2">
        <v>2.2000000000000002</v>
      </c>
      <c r="J338" s="2">
        <v>29</v>
      </c>
      <c r="K338" s="2" t="s">
        <v>21</v>
      </c>
      <c r="L338" s="2">
        <v>7.22</v>
      </c>
      <c r="M338" s="2" t="s">
        <v>37</v>
      </c>
      <c r="N338" s="2">
        <v>80.989999999999995</v>
      </c>
      <c r="O338" s="2" t="s">
        <v>24</v>
      </c>
      <c r="P338" s="2">
        <v>6.96</v>
      </c>
      <c r="Q338" s="2">
        <v>12.04</v>
      </c>
      <c r="R338" s="3">
        <f t="shared" si="25"/>
        <v>3806.6327999999994</v>
      </c>
      <c r="S338" s="3">
        <f t="shared" si="26"/>
        <v>6585.0371999999988</v>
      </c>
      <c r="T338" s="3">
        <f t="shared" si="27"/>
        <v>2778.4043999999994</v>
      </c>
      <c r="U338" s="4">
        <f t="shared" si="28"/>
        <v>0.42192691029900331</v>
      </c>
      <c r="V338" s="5">
        <f t="shared" si="29"/>
        <v>39.488346</v>
      </c>
    </row>
    <row r="339" spans="1:22" x14ac:dyDescent="0.25">
      <c r="A339" s="2" t="s">
        <v>373</v>
      </c>
      <c r="B339" s="2" t="s">
        <v>18</v>
      </c>
      <c r="C339" s="2" t="s">
        <v>33</v>
      </c>
      <c r="D339" s="2" t="s">
        <v>20</v>
      </c>
      <c r="E339" s="2">
        <v>346.44</v>
      </c>
      <c r="F339" s="2">
        <v>8.17</v>
      </c>
      <c r="G339" s="2">
        <v>29.29</v>
      </c>
      <c r="H339" s="2">
        <v>2.5</v>
      </c>
      <c r="I339" s="2">
        <v>1.1000000000000001</v>
      </c>
      <c r="J339" s="2">
        <v>16</v>
      </c>
      <c r="K339" s="2" t="s">
        <v>34</v>
      </c>
      <c r="L339" s="2">
        <v>1.79</v>
      </c>
      <c r="M339" s="2" t="s">
        <v>37</v>
      </c>
      <c r="N339" s="2">
        <v>82</v>
      </c>
      <c r="O339" s="2" t="s">
        <v>30</v>
      </c>
      <c r="P339" s="2">
        <v>3.92</v>
      </c>
      <c r="Q339" s="2">
        <v>12</v>
      </c>
      <c r="R339" s="3">
        <f t="shared" si="25"/>
        <v>1358.0447999999999</v>
      </c>
      <c r="S339" s="3">
        <f t="shared" si="26"/>
        <v>4157.28</v>
      </c>
      <c r="T339" s="3">
        <f t="shared" si="27"/>
        <v>2799.2352000000001</v>
      </c>
      <c r="U339" s="4">
        <f t="shared" si="28"/>
        <v>0.67333333333333334</v>
      </c>
      <c r="V339" s="5">
        <f t="shared" si="29"/>
        <v>6.201276</v>
      </c>
    </row>
    <row r="340" spans="1:22" x14ac:dyDescent="0.25">
      <c r="A340" s="2" t="s">
        <v>374</v>
      </c>
      <c r="B340" s="2" t="s">
        <v>26</v>
      </c>
      <c r="C340" s="2" t="s">
        <v>27</v>
      </c>
      <c r="D340" s="2" t="s">
        <v>20</v>
      </c>
      <c r="E340" s="2">
        <v>575.67999999999995</v>
      </c>
      <c r="F340" s="2">
        <v>16.739999999999998</v>
      </c>
      <c r="G340" s="2">
        <v>36.409999999999997</v>
      </c>
      <c r="H340" s="2">
        <v>0.2</v>
      </c>
      <c r="I340" s="2">
        <v>4</v>
      </c>
      <c r="J340" s="2">
        <v>15</v>
      </c>
      <c r="K340" s="2" t="s">
        <v>29</v>
      </c>
      <c r="L340" s="2">
        <v>8.26</v>
      </c>
      <c r="M340" s="2" t="s">
        <v>22</v>
      </c>
      <c r="N340" s="2">
        <v>98.35</v>
      </c>
      <c r="O340" s="2" t="s">
        <v>24</v>
      </c>
      <c r="P340" s="2">
        <v>5.84</v>
      </c>
      <c r="Q340" s="2">
        <v>14.16</v>
      </c>
      <c r="R340" s="3">
        <f t="shared" si="25"/>
        <v>3361.9711999999995</v>
      </c>
      <c r="S340" s="3">
        <f t="shared" si="26"/>
        <v>8151.6287999999995</v>
      </c>
      <c r="T340" s="3">
        <f t="shared" si="27"/>
        <v>4789.6576000000005</v>
      </c>
      <c r="U340" s="4">
        <f t="shared" si="28"/>
        <v>0.58757062146892669</v>
      </c>
      <c r="V340" s="5">
        <f t="shared" si="29"/>
        <v>47.551167999999997</v>
      </c>
    </row>
    <row r="341" spans="1:22" x14ac:dyDescent="0.25">
      <c r="A341" s="2" t="s">
        <v>375</v>
      </c>
      <c r="B341" s="2" t="s">
        <v>26</v>
      </c>
      <c r="C341" s="2" t="s">
        <v>43</v>
      </c>
      <c r="D341" s="2" t="s">
        <v>28</v>
      </c>
      <c r="E341" s="2">
        <v>561.25</v>
      </c>
      <c r="F341" s="2">
        <v>10.36</v>
      </c>
      <c r="G341" s="2">
        <v>32.29</v>
      </c>
      <c r="H341" s="2">
        <v>1</v>
      </c>
      <c r="I341" s="2">
        <v>0.1</v>
      </c>
      <c r="J341" s="2">
        <v>8</v>
      </c>
      <c r="K341" s="2" t="s">
        <v>34</v>
      </c>
      <c r="L341" s="2">
        <v>7.49</v>
      </c>
      <c r="M341" s="2" t="s">
        <v>37</v>
      </c>
      <c r="N341" s="2">
        <v>58.93</v>
      </c>
      <c r="O341" s="2" t="s">
        <v>24</v>
      </c>
      <c r="P341" s="2">
        <v>5.31</v>
      </c>
      <c r="Q341" s="2">
        <v>8.49</v>
      </c>
      <c r="R341" s="3">
        <f t="shared" si="25"/>
        <v>2980.2374999999997</v>
      </c>
      <c r="S341" s="3">
        <f t="shared" si="26"/>
        <v>4765.0124999999998</v>
      </c>
      <c r="T341" s="3">
        <f t="shared" si="27"/>
        <v>1784.7750000000001</v>
      </c>
      <c r="U341" s="4">
        <f t="shared" si="28"/>
        <v>0.37455830388692585</v>
      </c>
      <c r="V341" s="5">
        <f t="shared" si="29"/>
        <v>42.037624999999998</v>
      </c>
    </row>
    <row r="342" spans="1:22" x14ac:dyDescent="0.25">
      <c r="A342" s="2" t="s">
        <v>376</v>
      </c>
      <c r="B342" s="2" t="s">
        <v>18</v>
      </c>
      <c r="C342" s="2" t="s">
        <v>33</v>
      </c>
      <c r="D342" s="2" t="s">
        <v>20</v>
      </c>
      <c r="E342" s="2">
        <v>398.33</v>
      </c>
      <c r="F342" s="2">
        <v>10.119999999999999</v>
      </c>
      <c r="G342" s="2">
        <v>36.64</v>
      </c>
      <c r="H342" s="2">
        <v>3.8</v>
      </c>
      <c r="I342" s="2">
        <v>2.2999999999999998</v>
      </c>
      <c r="J342" s="2">
        <v>26</v>
      </c>
      <c r="K342" s="2" t="s">
        <v>29</v>
      </c>
      <c r="L342" s="2">
        <v>7.82</v>
      </c>
      <c r="M342" s="2" t="s">
        <v>37</v>
      </c>
      <c r="N342" s="2">
        <v>81.150000000000006</v>
      </c>
      <c r="O342" s="2" t="s">
        <v>23</v>
      </c>
      <c r="P342" s="2">
        <v>4.5</v>
      </c>
      <c r="Q342" s="2">
        <v>10.61</v>
      </c>
      <c r="R342" s="3">
        <f t="shared" si="25"/>
        <v>1792.4849999999999</v>
      </c>
      <c r="S342" s="3">
        <f t="shared" si="26"/>
        <v>4226.2812999999996</v>
      </c>
      <c r="T342" s="3">
        <f t="shared" si="27"/>
        <v>2433.7963</v>
      </c>
      <c r="U342" s="4">
        <f t="shared" si="28"/>
        <v>0.57587181903864282</v>
      </c>
      <c r="V342" s="5">
        <f t="shared" si="29"/>
        <v>31.149405999999999</v>
      </c>
    </row>
    <row r="343" spans="1:22" x14ac:dyDescent="0.25">
      <c r="A343" s="2" t="s">
        <v>377</v>
      </c>
      <c r="B343" s="2" t="s">
        <v>26</v>
      </c>
      <c r="C343" s="2" t="s">
        <v>19</v>
      </c>
      <c r="D343" s="2" t="s">
        <v>20</v>
      </c>
      <c r="E343" s="2">
        <v>475.59</v>
      </c>
      <c r="F343" s="2">
        <v>15.36</v>
      </c>
      <c r="G343" s="2">
        <v>29.88</v>
      </c>
      <c r="H343" s="2">
        <v>0.9</v>
      </c>
      <c r="I343" s="2">
        <v>1.7</v>
      </c>
      <c r="J343" s="2">
        <v>15</v>
      </c>
      <c r="K343" s="2" t="s">
        <v>34</v>
      </c>
      <c r="L343" s="2">
        <v>2.7</v>
      </c>
      <c r="M343" s="2" t="s">
        <v>40</v>
      </c>
      <c r="N343" s="2">
        <v>59.4</v>
      </c>
      <c r="O343" s="2" t="s">
        <v>23</v>
      </c>
      <c r="P343" s="2">
        <v>9.5299999999999994</v>
      </c>
      <c r="Q343" s="2">
        <v>11.19</v>
      </c>
      <c r="R343" s="3">
        <f t="shared" si="25"/>
        <v>4532.3726999999999</v>
      </c>
      <c r="S343" s="3">
        <f t="shared" si="26"/>
        <v>5321.8520999999992</v>
      </c>
      <c r="T343" s="3">
        <f t="shared" si="27"/>
        <v>789.47939999999926</v>
      </c>
      <c r="U343" s="4">
        <f t="shared" si="28"/>
        <v>0.14834673815907048</v>
      </c>
      <c r="V343" s="5">
        <f t="shared" si="29"/>
        <v>12.84093</v>
      </c>
    </row>
    <row r="344" spans="1:22" x14ac:dyDescent="0.25">
      <c r="A344" s="2" t="s">
        <v>378</v>
      </c>
      <c r="B344" s="2" t="s">
        <v>18</v>
      </c>
      <c r="C344" s="2" t="s">
        <v>43</v>
      </c>
      <c r="D344" s="2" t="s">
        <v>20</v>
      </c>
      <c r="E344" s="2">
        <v>496.07</v>
      </c>
      <c r="F344" s="2">
        <v>11.2</v>
      </c>
      <c r="G344" s="2">
        <v>22.37</v>
      </c>
      <c r="H344" s="2">
        <v>1.8</v>
      </c>
      <c r="I344" s="2">
        <v>0.4</v>
      </c>
      <c r="J344" s="2">
        <v>25</v>
      </c>
      <c r="K344" s="2" t="s">
        <v>34</v>
      </c>
      <c r="L344" s="2">
        <v>9.08</v>
      </c>
      <c r="M344" s="2" t="s">
        <v>22</v>
      </c>
      <c r="N344" s="2">
        <v>60.5</v>
      </c>
      <c r="O344" s="2" t="s">
        <v>24</v>
      </c>
      <c r="P344" s="2">
        <v>9.17</v>
      </c>
      <c r="Q344" s="2">
        <v>14.79</v>
      </c>
      <c r="R344" s="3">
        <f t="shared" si="25"/>
        <v>4548.9619000000002</v>
      </c>
      <c r="S344" s="3">
        <f t="shared" si="26"/>
        <v>7336.8752999999997</v>
      </c>
      <c r="T344" s="3">
        <f t="shared" si="27"/>
        <v>2787.9133999999995</v>
      </c>
      <c r="U344" s="4">
        <f t="shared" si="28"/>
        <v>0.37998647734956048</v>
      </c>
      <c r="V344" s="5">
        <f t="shared" si="29"/>
        <v>45.043155999999996</v>
      </c>
    </row>
    <row r="345" spans="1:22" x14ac:dyDescent="0.25">
      <c r="A345" s="2" t="s">
        <v>379</v>
      </c>
      <c r="B345" s="2" t="s">
        <v>45</v>
      </c>
      <c r="C345" s="2" t="s">
        <v>43</v>
      </c>
      <c r="D345" s="2" t="s">
        <v>28</v>
      </c>
      <c r="E345" s="2">
        <v>486.55</v>
      </c>
      <c r="F345" s="2">
        <v>13.06</v>
      </c>
      <c r="G345" s="2">
        <v>20.27</v>
      </c>
      <c r="H345" s="2">
        <v>1.4</v>
      </c>
      <c r="I345" s="2">
        <v>3.6</v>
      </c>
      <c r="J345" s="2">
        <v>1</v>
      </c>
      <c r="K345" s="2" t="s">
        <v>34</v>
      </c>
      <c r="L345" s="2">
        <v>1.42</v>
      </c>
      <c r="M345" s="2" t="s">
        <v>22</v>
      </c>
      <c r="N345" s="2">
        <v>83.46</v>
      </c>
      <c r="O345" s="2" t="s">
        <v>30</v>
      </c>
      <c r="P345" s="2">
        <v>4.3899999999999997</v>
      </c>
      <c r="Q345" s="2">
        <v>8.1199999999999992</v>
      </c>
      <c r="R345" s="3">
        <f t="shared" si="25"/>
        <v>2135.9544999999998</v>
      </c>
      <c r="S345" s="3">
        <f t="shared" si="26"/>
        <v>3950.7859999999996</v>
      </c>
      <c r="T345" s="3">
        <f t="shared" si="27"/>
        <v>1814.8314999999998</v>
      </c>
      <c r="U345" s="4">
        <f t="shared" si="28"/>
        <v>0.45935960591133002</v>
      </c>
      <c r="V345" s="5">
        <f t="shared" si="29"/>
        <v>6.9090099999999994</v>
      </c>
    </row>
    <row r="346" spans="1:22" x14ac:dyDescent="0.25">
      <c r="A346" s="2" t="s">
        <v>380</v>
      </c>
      <c r="B346" s="2" t="s">
        <v>18</v>
      </c>
      <c r="C346" s="2" t="s">
        <v>43</v>
      </c>
      <c r="D346" s="2" t="s">
        <v>28</v>
      </c>
      <c r="E346" s="2">
        <v>533.39</v>
      </c>
      <c r="F346" s="2">
        <v>9.6300000000000008</v>
      </c>
      <c r="G346" s="2">
        <v>26.06</v>
      </c>
      <c r="H346" s="2">
        <v>2.1</v>
      </c>
      <c r="I346" s="2">
        <v>0.3</v>
      </c>
      <c r="J346" s="2">
        <v>28</v>
      </c>
      <c r="K346" s="2" t="s">
        <v>21</v>
      </c>
      <c r="L346" s="2">
        <v>2.91</v>
      </c>
      <c r="M346" s="2" t="s">
        <v>37</v>
      </c>
      <c r="N346" s="2">
        <v>95.8</v>
      </c>
      <c r="O346" s="2" t="s">
        <v>24</v>
      </c>
      <c r="P346" s="2">
        <v>5.47</v>
      </c>
      <c r="Q346" s="2">
        <v>14.56</v>
      </c>
      <c r="R346" s="3">
        <f t="shared" si="25"/>
        <v>2917.6432999999997</v>
      </c>
      <c r="S346" s="3">
        <f t="shared" si="26"/>
        <v>7766.1584000000003</v>
      </c>
      <c r="T346" s="3">
        <f t="shared" si="27"/>
        <v>4848.5151000000005</v>
      </c>
      <c r="U346" s="4">
        <f t="shared" si="28"/>
        <v>0.62431318681318682</v>
      </c>
      <c r="V346" s="5">
        <f t="shared" si="29"/>
        <v>15.521649</v>
      </c>
    </row>
    <row r="347" spans="1:22" x14ac:dyDescent="0.25">
      <c r="A347" s="2" t="s">
        <v>381</v>
      </c>
      <c r="B347" s="2" t="s">
        <v>18</v>
      </c>
      <c r="C347" s="2" t="s">
        <v>27</v>
      </c>
      <c r="D347" s="2" t="s">
        <v>20</v>
      </c>
      <c r="E347" s="2">
        <v>643.14</v>
      </c>
      <c r="F347" s="2">
        <v>17.600000000000001</v>
      </c>
      <c r="G347" s="2">
        <v>33.96</v>
      </c>
      <c r="H347" s="2">
        <v>7.2</v>
      </c>
      <c r="I347" s="2">
        <v>2.2000000000000002</v>
      </c>
      <c r="J347" s="2">
        <v>17</v>
      </c>
      <c r="K347" s="2" t="s">
        <v>21</v>
      </c>
      <c r="L347" s="2">
        <v>6.8</v>
      </c>
      <c r="M347" s="2" t="s">
        <v>37</v>
      </c>
      <c r="N347" s="2">
        <v>57.95</v>
      </c>
      <c r="O347" s="2" t="s">
        <v>23</v>
      </c>
      <c r="P347" s="2">
        <v>8.34</v>
      </c>
      <c r="Q347" s="2">
        <v>6.49</v>
      </c>
      <c r="R347" s="3">
        <f t="shared" si="25"/>
        <v>5363.7875999999997</v>
      </c>
      <c r="S347" s="3">
        <f t="shared" si="26"/>
        <v>4173.9786000000004</v>
      </c>
      <c r="T347" s="3">
        <f t="shared" si="27"/>
        <v>-1189.8089999999993</v>
      </c>
      <c r="U347" s="4">
        <f t="shared" si="28"/>
        <v>-0.28505392912172556</v>
      </c>
      <c r="V347" s="5">
        <f t="shared" si="29"/>
        <v>43.733519999999999</v>
      </c>
    </row>
    <row r="348" spans="1:22" x14ac:dyDescent="0.25">
      <c r="A348" s="2" t="s">
        <v>382</v>
      </c>
      <c r="B348" s="2" t="s">
        <v>18</v>
      </c>
      <c r="C348" s="2" t="s">
        <v>19</v>
      </c>
      <c r="D348" s="2" t="s">
        <v>28</v>
      </c>
      <c r="E348" s="2">
        <v>608.17999999999995</v>
      </c>
      <c r="F348" s="2">
        <v>16.52</v>
      </c>
      <c r="G348" s="2">
        <v>35.81</v>
      </c>
      <c r="H348" s="2">
        <v>0.1</v>
      </c>
      <c r="I348" s="2">
        <v>2.1</v>
      </c>
      <c r="J348" s="2">
        <v>15</v>
      </c>
      <c r="K348" s="2" t="s">
        <v>21</v>
      </c>
      <c r="L348" s="2">
        <v>6.9</v>
      </c>
      <c r="M348" s="2" t="s">
        <v>40</v>
      </c>
      <c r="N348" s="2">
        <v>98.12</v>
      </c>
      <c r="O348" s="2" t="s">
        <v>30</v>
      </c>
      <c r="P348" s="2">
        <v>4.46</v>
      </c>
      <c r="Q348" s="2">
        <v>12.64</v>
      </c>
      <c r="R348" s="3">
        <f t="shared" si="25"/>
        <v>2712.4827999999998</v>
      </c>
      <c r="S348" s="3">
        <f t="shared" si="26"/>
        <v>7687.3951999999999</v>
      </c>
      <c r="T348" s="3">
        <f t="shared" si="27"/>
        <v>4974.9124000000002</v>
      </c>
      <c r="U348" s="4">
        <f t="shared" si="28"/>
        <v>0.64715189873417722</v>
      </c>
      <c r="V348" s="5">
        <f t="shared" si="29"/>
        <v>41.964419999999997</v>
      </c>
    </row>
    <row r="349" spans="1:22" x14ac:dyDescent="0.25">
      <c r="A349" s="2" t="s">
        <v>383</v>
      </c>
      <c r="B349" s="2" t="s">
        <v>26</v>
      </c>
      <c r="C349" s="2" t="s">
        <v>33</v>
      </c>
      <c r="D349" s="2" t="s">
        <v>20</v>
      </c>
      <c r="E349" s="2">
        <v>368.78</v>
      </c>
      <c r="F349" s="2">
        <v>16.64</v>
      </c>
      <c r="G349" s="2">
        <v>25.92</v>
      </c>
      <c r="H349" s="2">
        <v>1.7</v>
      </c>
      <c r="I349" s="2">
        <v>1.4</v>
      </c>
      <c r="J349" s="2">
        <v>14</v>
      </c>
      <c r="K349" s="2" t="s">
        <v>21</v>
      </c>
      <c r="L349" s="2">
        <v>3.48</v>
      </c>
      <c r="M349" s="2" t="s">
        <v>22</v>
      </c>
      <c r="N349" s="2">
        <v>65.97</v>
      </c>
      <c r="O349" s="2" t="s">
        <v>24</v>
      </c>
      <c r="P349" s="2">
        <v>7.14</v>
      </c>
      <c r="Q349" s="2">
        <v>11.33</v>
      </c>
      <c r="R349" s="3">
        <f t="shared" si="25"/>
        <v>2633.0891999999999</v>
      </c>
      <c r="S349" s="3">
        <f t="shared" si="26"/>
        <v>4178.2773999999999</v>
      </c>
      <c r="T349" s="3">
        <f t="shared" si="27"/>
        <v>1545.1882000000001</v>
      </c>
      <c r="U349" s="4">
        <f t="shared" si="28"/>
        <v>0.36981465136804942</v>
      </c>
      <c r="V349" s="5">
        <f t="shared" si="29"/>
        <v>12.833544</v>
      </c>
    </row>
    <row r="350" spans="1:22" x14ac:dyDescent="0.25">
      <c r="A350" s="2" t="s">
        <v>384</v>
      </c>
      <c r="B350" s="2" t="s">
        <v>26</v>
      </c>
      <c r="C350" s="2" t="s">
        <v>27</v>
      </c>
      <c r="D350" s="2" t="s">
        <v>20</v>
      </c>
      <c r="E350" s="2">
        <v>562.21</v>
      </c>
      <c r="F350" s="2">
        <v>12.07</v>
      </c>
      <c r="G350" s="2">
        <v>29.91</v>
      </c>
      <c r="H350" s="2">
        <v>4</v>
      </c>
      <c r="I350" s="2">
        <v>0.8</v>
      </c>
      <c r="J350" s="2">
        <v>14</v>
      </c>
      <c r="K350" s="2" t="s">
        <v>21</v>
      </c>
      <c r="L350" s="2">
        <v>7.16</v>
      </c>
      <c r="M350" s="2" t="s">
        <v>22</v>
      </c>
      <c r="N350" s="2">
        <v>69.569999999999993</v>
      </c>
      <c r="O350" s="2" t="s">
        <v>30</v>
      </c>
      <c r="P350" s="2">
        <v>7.9</v>
      </c>
      <c r="Q350" s="2">
        <v>13.17</v>
      </c>
      <c r="R350" s="3">
        <f t="shared" si="25"/>
        <v>4441.4590000000007</v>
      </c>
      <c r="S350" s="3">
        <f t="shared" si="26"/>
        <v>7404.3057000000008</v>
      </c>
      <c r="T350" s="3">
        <f t="shared" si="27"/>
        <v>2962.8467000000001</v>
      </c>
      <c r="U350" s="4">
        <f t="shared" si="28"/>
        <v>0.4001518602885345</v>
      </c>
      <c r="V350" s="5">
        <f t="shared" si="29"/>
        <v>40.254236000000006</v>
      </c>
    </row>
    <row r="351" spans="1:22" x14ac:dyDescent="0.25">
      <c r="A351" s="2" t="s">
        <v>385</v>
      </c>
      <c r="B351" s="2" t="s">
        <v>18</v>
      </c>
      <c r="C351" s="2" t="s">
        <v>27</v>
      </c>
      <c r="D351" s="2" t="s">
        <v>28</v>
      </c>
      <c r="E351" s="2">
        <v>632.89</v>
      </c>
      <c r="F351" s="2">
        <v>15.62</v>
      </c>
      <c r="G351" s="2">
        <v>28.42</v>
      </c>
      <c r="H351" s="2">
        <v>1.3</v>
      </c>
      <c r="I351" s="2">
        <v>0.1</v>
      </c>
      <c r="J351" s="2">
        <v>10</v>
      </c>
      <c r="K351" s="2" t="s">
        <v>34</v>
      </c>
      <c r="L351" s="2">
        <v>4.1900000000000004</v>
      </c>
      <c r="M351" s="2" t="s">
        <v>37</v>
      </c>
      <c r="N351" s="2">
        <v>57.68</v>
      </c>
      <c r="O351" s="2" t="s">
        <v>30</v>
      </c>
      <c r="P351" s="2">
        <v>7.58</v>
      </c>
      <c r="Q351" s="2">
        <v>5.29</v>
      </c>
      <c r="R351" s="3">
        <f t="shared" si="25"/>
        <v>4797.3062</v>
      </c>
      <c r="S351" s="3">
        <f t="shared" si="26"/>
        <v>3347.9881</v>
      </c>
      <c r="T351" s="3">
        <f t="shared" si="27"/>
        <v>-1449.3181</v>
      </c>
      <c r="U351" s="4">
        <f t="shared" si="28"/>
        <v>-0.43289224952741018</v>
      </c>
      <c r="V351" s="5">
        <f t="shared" si="29"/>
        <v>26.518091000000005</v>
      </c>
    </row>
    <row r="352" spans="1:22" x14ac:dyDescent="0.25">
      <c r="A352" s="2" t="s">
        <v>386</v>
      </c>
      <c r="B352" s="2" t="s">
        <v>26</v>
      </c>
      <c r="C352" s="2" t="s">
        <v>27</v>
      </c>
      <c r="D352" s="2" t="s">
        <v>20</v>
      </c>
      <c r="E352" s="2">
        <v>538.67999999999995</v>
      </c>
      <c r="F352" s="2">
        <v>9.44</v>
      </c>
      <c r="G352" s="2">
        <v>28.21</v>
      </c>
      <c r="H352" s="2">
        <v>0.2</v>
      </c>
      <c r="I352" s="2">
        <v>0.8</v>
      </c>
      <c r="J352" s="2">
        <v>2</v>
      </c>
      <c r="K352" s="2" t="s">
        <v>21</v>
      </c>
      <c r="L352" s="2">
        <v>0.5</v>
      </c>
      <c r="M352" s="2" t="s">
        <v>22</v>
      </c>
      <c r="N352" s="2">
        <v>80.790000000000006</v>
      </c>
      <c r="O352" s="2" t="s">
        <v>30</v>
      </c>
      <c r="P352" s="2">
        <v>7.94</v>
      </c>
      <c r="Q352" s="2">
        <v>5.78</v>
      </c>
      <c r="R352" s="3">
        <f t="shared" si="25"/>
        <v>4277.1192000000001</v>
      </c>
      <c r="S352" s="3">
        <f t="shared" si="26"/>
        <v>3113.5704000000001</v>
      </c>
      <c r="T352" s="3">
        <f t="shared" si="27"/>
        <v>-1163.5488</v>
      </c>
      <c r="U352" s="4">
        <f t="shared" si="28"/>
        <v>-0.37370242214532873</v>
      </c>
      <c r="V352" s="5">
        <f t="shared" si="29"/>
        <v>2.6933999999999996</v>
      </c>
    </row>
    <row r="353" spans="1:22" x14ac:dyDescent="0.25">
      <c r="A353" s="2" t="s">
        <v>387</v>
      </c>
      <c r="B353" s="2" t="s">
        <v>32</v>
      </c>
      <c r="C353" s="2" t="s">
        <v>43</v>
      </c>
      <c r="D353" s="2" t="s">
        <v>28</v>
      </c>
      <c r="E353" s="2">
        <v>609.1</v>
      </c>
      <c r="F353" s="2">
        <v>8.09</v>
      </c>
      <c r="G353" s="2">
        <v>24.63</v>
      </c>
      <c r="H353" s="2">
        <v>1.6</v>
      </c>
      <c r="I353" s="2">
        <v>0.4</v>
      </c>
      <c r="J353" s="2">
        <v>27</v>
      </c>
      <c r="K353" s="2" t="s">
        <v>29</v>
      </c>
      <c r="L353" s="2">
        <v>2.04</v>
      </c>
      <c r="M353" s="2" t="s">
        <v>37</v>
      </c>
      <c r="N353" s="2">
        <v>79.819999999999993</v>
      </c>
      <c r="O353" s="2" t="s">
        <v>24</v>
      </c>
      <c r="P353" s="2">
        <v>7.95</v>
      </c>
      <c r="Q353" s="2">
        <v>5.7</v>
      </c>
      <c r="R353" s="3">
        <f t="shared" si="25"/>
        <v>4842.3450000000003</v>
      </c>
      <c r="S353" s="3">
        <f t="shared" si="26"/>
        <v>3471.8700000000003</v>
      </c>
      <c r="T353" s="3">
        <f t="shared" si="27"/>
        <v>-1370.4749999999999</v>
      </c>
      <c r="U353" s="4">
        <f t="shared" si="28"/>
        <v>-0.39473684210526311</v>
      </c>
      <c r="V353" s="5">
        <f t="shared" si="29"/>
        <v>12.425640000000001</v>
      </c>
    </row>
    <row r="354" spans="1:22" x14ac:dyDescent="0.25">
      <c r="A354" s="2" t="s">
        <v>388</v>
      </c>
      <c r="B354" s="2" t="s">
        <v>32</v>
      </c>
      <c r="C354" s="2" t="s">
        <v>19</v>
      </c>
      <c r="D354" s="2" t="s">
        <v>28</v>
      </c>
      <c r="E354" s="2">
        <v>701.23</v>
      </c>
      <c r="F354" s="2">
        <v>8.1999999999999993</v>
      </c>
      <c r="G354" s="2">
        <v>22.73</v>
      </c>
      <c r="H354" s="2">
        <v>0.8</v>
      </c>
      <c r="I354" s="2">
        <v>1.6</v>
      </c>
      <c r="J354" s="2">
        <v>6</v>
      </c>
      <c r="K354" s="2" t="s">
        <v>34</v>
      </c>
      <c r="L354" s="2">
        <v>8.8800000000000008</v>
      </c>
      <c r="M354" s="2" t="s">
        <v>40</v>
      </c>
      <c r="N354" s="2">
        <v>72.11</v>
      </c>
      <c r="O354" s="2" t="s">
        <v>23</v>
      </c>
      <c r="P354" s="2">
        <v>9.75</v>
      </c>
      <c r="Q354" s="2">
        <v>10.93</v>
      </c>
      <c r="R354" s="3">
        <f t="shared" si="25"/>
        <v>6836.9925000000003</v>
      </c>
      <c r="S354" s="3">
        <f t="shared" si="26"/>
        <v>7664.4439000000002</v>
      </c>
      <c r="T354" s="3">
        <f t="shared" si="27"/>
        <v>827.45139999999992</v>
      </c>
      <c r="U354" s="4">
        <f t="shared" si="28"/>
        <v>0.10795974382433668</v>
      </c>
      <c r="V354" s="5">
        <f t="shared" si="29"/>
        <v>62.269224000000001</v>
      </c>
    </row>
    <row r="355" spans="1:22" x14ac:dyDescent="0.25">
      <c r="A355" s="2" t="s">
        <v>389</v>
      </c>
      <c r="B355" s="2" t="s">
        <v>26</v>
      </c>
      <c r="C355" s="2" t="s">
        <v>27</v>
      </c>
      <c r="D355" s="2" t="s">
        <v>20</v>
      </c>
      <c r="E355" s="2">
        <v>602.37</v>
      </c>
      <c r="F355" s="2">
        <v>13.87</v>
      </c>
      <c r="G355" s="2">
        <v>23.93</v>
      </c>
      <c r="H355" s="2">
        <v>0.3</v>
      </c>
      <c r="I355" s="2">
        <v>1.4</v>
      </c>
      <c r="J355" s="2">
        <v>17</v>
      </c>
      <c r="K355" s="2" t="s">
        <v>34</v>
      </c>
      <c r="L355" s="2">
        <v>2.62</v>
      </c>
      <c r="M355" s="2" t="s">
        <v>37</v>
      </c>
      <c r="N355" s="2">
        <v>73.8</v>
      </c>
      <c r="O355" s="2" t="s">
        <v>30</v>
      </c>
      <c r="P355" s="2">
        <v>5.43</v>
      </c>
      <c r="Q355" s="2">
        <v>11.03</v>
      </c>
      <c r="R355" s="3">
        <f t="shared" si="25"/>
        <v>3270.8690999999999</v>
      </c>
      <c r="S355" s="3">
        <f t="shared" si="26"/>
        <v>6644.1410999999998</v>
      </c>
      <c r="T355" s="3">
        <f t="shared" si="27"/>
        <v>3373.2719999999999</v>
      </c>
      <c r="U355" s="4">
        <f t="shared" si="28"/>
        <v>0.50770625566636451</v>
      </c>
      <c r="V355" s="5">
        <f t="shared" si="29"/>
        <v>15.782094000000003</v>
      </c>
    </row>
    <row r="356" spans="1:22" x14ac:dyDescent="0.25">
      <c r="A356" s="2" t="s">
        <v>390</v>
      </c>
      <c r="B356" s="2" t="s">
        <v>26</v>
      </c>
      <c r="C356" s="2" t="s">
        <v>33</v>
      </c>
      <c r="D356" s="2" t="s">
        <v>28</v>
      </c>
      <c r="E356" s="2">
        <v>524.92999999999995</v>
      </c>
      <c r="F356" s="2">
        <v>12.55</v>
      </c>
      <c r="G356" s="2">
        <v>21.11</v>
      </c>
      <c r="H356" s="2">
        <v>3.8</v>
      </c>
      <c r="I356" s="2">
        <v>2.4</v>
      </c>
      <c r="J356" s="2">
        <v>5</v>
      </c>
      <c r="K356" s="2" t="s">
        <v>29</v>
      </c>
      <c r="L356" s="2">
        <v>1.57</v>
      </c>
      <c r="M356" s="2" t="s">
        <v>40</v>
      </c>
      <c r="N356" s="2">
        <v>81.150000000000006</v>
      </c>
      <c r="O356" s="2" t="s">
        <v>30</v>
      </c>
      <c r="P356" s="2">
        <v>9.15</v>
      </c>
      <c r="Q356" s="2">
        <v>14.06</v>
      </c>
      <c r="R356" s="3">
        <f t="shared" si="25"/>
        <v>4803.1094999999996</v>
      </c>
      <c r="S356" s="3">
        <f t="shared" si="26"/>
        <v>7380.5157999999992</v>
      </c>
      <c r="T356" s="3">
        <f t="shared" si="27"/>
        <v>2577.4062999999996</v>
      </c>
      <c r="U356" s="4">
        <f t="shared" si="28"/>
        <v>0.34921763869132288</v>
      </c>
      <c r="V356" s="5">
        <f t="shared" si="29"/>
        <v>8.2414009999999998</v>
      </c>
    </row>
    <row r="357" spans="1:22" x14ac:dyDescent="0.25">
      <c r="A357" s="2" t="s">
        <v>391</v>
      </c>
      <c r="B357" s="2" t="s">
        <v>18</v>
      </c>
      <c r="C357" s="2" t="s">
        <v>19</v>
      </c>
      <c r="D357" s="2" t="s">
        <v>28</v>
      </c>
      <c r="E357" s="2">
        <v>604.51</v>
      </c>
      <c r="F357" s="2">
        <v>13.18</v>
      </c>
      <c r="G357" s="2">
        <v>23.96</v>
      </c>
      <c r="H357" s="2">
        <v>1.5</v>
      </c>
      <c r="I357" s="2">
        <v>0</v>
      </c>
      <c r="J357" s="2">
        <v>5</v>
      </c>
      <c r="K357" s="2" t="s">
        <v>21</v>
      </c>
      <c r="L357" s="2">
        <v>6.98</v>
      </c>
      <c r="M357" s="2" t="s">
        <v>37</v>
      </c>
      <c r="N357" s="2">
        <v>79.17</v>
      </c>
      <c r="O357" s="2" t="s">
        <v>24</v>
      </c>
      <c r="P357" s="2">
        <v>3.15</v>
      </c>
      <c r="Q357" s="2">
        <v>9.68</v>
      </c>
      <c r="R357" s="3">
        <f t="shared" si="25"/>
        <v>1904.2065</v>
      </c>
      <c r="S357" s="3">
        <f t="shared" si="26"/>
        <v>5851.6567999999997</v>
      </c>
      <c r="T357" s="3">
        <f t="shared" si="27"/>
        <v>3947.4502999999995</v>
      </c>
      <c r="U357" s="4">
        <f t="shared" si="28"/>
        <v>0.67458677685950408</v>
      </c>
      <c r="V357" s="5">
        <f t="shared" si="29"/>
        <v>42.194797999999999</v>
      </c>
    </row>
    <row r="358" spans="1:22" x14ac:dyDescent="0.25">
      <c r="A358" s="2" t="s">
        <v>392</v>
      </c>
      <c r="B358" s="2" t="s">
        <v>45</v>
      </c>
      <c r="C358" s="2" t="s">
        <v>33</v>
      </c>
      <c r="D358" s="2" t="s">
        <v>20</v>
      </c>
      <c r="E358" s="2">
        <v>514.49</v>
      </c>
      <c r="F358" s="2">
        <v>8.07</v>
      </c>
      <c r="G358" s="2">
        <v>20.18</v>
      </c>
      <c r="H358" s="2">
        <v>5.4</v>
      </c>
      <c r="I358" s="2">
        <v>1.7</v>
      </c>
      <c r="J358" s="2">
        <v>15</v>
      </c>
      <c r="K358" s="2" t="s">
        <v>29</v>
      </c>
      <c r="L358" s="2">
        <v>4.6900000000000004</v>
      </c>
      <c r="M358" s="2" t="s">
        <v>40</v>
      </c>
      <c r="N358" s="2">
        <v>68.709999999999994</v>
      </c>
      <c r="O358" s="2" t="s">
        <v>23</v>
      </c>
      <c r="P358" s="2">
        <v>5.0199999999999996</v>
      </c>
      <c r="Q358" s="2">
        <v>5.68</v>
      </c>
      <c r="R358" s="3">
        <f t="shared" si="25"/>
        <v>2582.7397999999998</v>
      </c>
      <c r="S358" s="3">
        <f t="shared" si="26"/>
        <v>2922.3031999999998</v>
      </c>
      <c r="T358" s="3">
        <f t="shared" si="27"/>
        <v>339.5634</v>
      </c>
      <c r="U358" s="4">
        <f t="shared" si="28"/>
        <v>0.11619718309859156</v>
      </c>
      <c r="V358" s="5">
        <f t="shared" si="29"/>
        <v>24.129581000000002</v>
      </c>
    </row>
    <row r="359" spans="1:22" x14ac:dyDescent="0.25">
      <c r="A359" s="2" t="s">
        <v>393</v>
      </c>
      <c r="B359" s="2" t="s">
        <v>26</v>
      </c>
      <c r="C359" s="2" t="s">
        <v>19</v>
      </c>
      <c r="D359" s="2" t="s">
        <v>20</v>
      </c>
      <c r="E359" s="2">
        <v>502.39</v>
      </c>
      <c r="F359" s="2">
        <v>12.23</v>
      </c>
      <c r="G359" s="2">
        <v>32.549999999999997</v>
      </c>
      <c r="H359" s="2">
        <v>3.3</v>
      </c>
      <c r="I359" s="2">
        <v>2.8</v>
      </c>
      <c r="J359" s="2">
        <v>15</v>
      </c>
      <c r="K359" s="2" t="s">
        <v>34</v>
      </c>
      <c r="L359" s="2">
        <v>8.07</v>
      </c>
      <c r="M359" s="2" t="s">
        <v>40</v>
      </c>
      <c r="N359" s="2">
        <v>94.21</v>
      </c>
      <c r="O359" s="2" t="s">
        <v>23</v>
      </c>
      <c r="P359" s="2">
        <v>3.34</v>
      </c>
      <c r="Q359" s="2">
        <v>7.1</v>
      </c>
      <c r="R359" s="3">
        <f t="shared" si="25"/>
        <v>1677.9825999999998</v>
      </c>
      <c r="S359" s="3">
        <f t="shared" si="26"/>
        <v>3566.9689999999996</v>
      </c>
      <c r="T359" s="3">
        <f t="shared" si="27"/>
        <v>1888.9863999999998</v>
      </c>
      <c r="U359" s="4">
        <f t="shared" si="28"/>
        <v>0.52957746478873235</v>
      </c>
      <c r="V359" s="5">
        <f t="shared" si="29"/>
        <v>40.542873</v>
      </c>
    </row>
    <row r="360" spans="1:22" x14ac:dyDescent="0.25">
      <c r="A360" s="2" t="s">
        <v>394</v>
      </c>
      <c r="B360" s="2" t="s">
        <v>32</v>
      </c>
      <c r="C360" s="2" t="s">
        <v>33</v>
      </c>
      <c r="D360" s="2" t="s">
        <v>28</v>
      </c>
      <c r="E360" s="2">
        <v>464.86</v>
      </c>
      <c r="F360" s="2">
        <v>15.18</v>
      </c>
      <c r="G360" s="2">
        <v>26.33</v>
      </c>
      <c r="H360" s="2">
        <v>2.4</v>
      </c>
      <c r="I360" s="2">
        <v>1.6</v>
      </c>
      <c r="J360" s="2">
        <v>20</v>
      </c>
      <c r="K360" s="2" t="s">
        <v>34</v>
      </c>
      <c r="L360" s="2">
        <v>8.68</v>
      </c>
      <c r="M360" s="2" t="s">
        <v>22</v>
      </c>
      <c r="N360" s="2">
        <v>83.38</v>
      </c>
      <c r="O360" s="2" t="s">
        <v>24</v>
      </c>
      <c r="P360" s="2">
        <v>7.56</v>
      </c>
      <c r="Q360" s="2">
        <v>5.08</v>
      </c>
      <c r="R360" s="3">
        <f t="shared" si="25"/>
        <v>3514.3415999999997</v>
      </c>
      <c r="S360" s="3">
        <f t="shared" si="26"/>
        <v>2361.4888000000001</v>
      </c>
      <c r="T360" s="3">
        <f t="shared" si="27"/>
        <v>-1152.8527999999997</v>
      </c>
      <c r="U360" s="4">
        <f t="shared" si="28"/>
        <v>-0.48818897637795261</v>
      </c>
      <c r="V360" s="5">
        <f t="shared" si="29"/>
        <v>40.349848000000001</v>
      </c>
    </row>
    <row r="361" spans="1:22" x14ac:dyDescent="0.25">
      <c r="A361" s="2" t="s">
        <v>395</v>
      </c>
      <c r="B361" s="2" t="s">
        <v>18</v>
      </c>
      <c r="C361" s="2" t="s">
        <v>43</v>
      </c>
      <c r="D361" s="2" t="s">
        <v>28</v>
      </c>
      <c r="E361" s="2">
        <v>656.34</v>
      </c>
      <c r="F361" s="2">
        <v>12.43</v>
      </c>
      <c r="G361" s="2">
        <v>39.46</v>
      </c>
      <c r="H361" s="2">
        <v>0</v>
      </c>
      <c r="I361" s="2">
        <v>0.1</v>
      </c>
      <c r="J361" s="2">
        <v>11</v>
      </c>
      <c r="K361" s="2" t="s">
        <v>34</v>
      </c>
      <c r="L361" s="2">
        <v>8.5399999999999991</v>
      </c>
      <c r="M361" s="2" t="s">
        <v>37</v>
      </c>
      <c r="N361" s="2">
        <v>60.27</v>
      </c>
      <c r="O361" s="2" t="s">
        <v>30</v>
      </c>
      <c r="P361" s="2">
        <v>3.71</v>
      </c>
      <c r="Q361" s="2">
        <v>12.77</v>
      </c>
      <c r="R361" s="3">
        <f t="shared" si="25"/>
        <v>2435.0214000000001</v>
      </c>
      <c r="S361" s="3">
        <f t="shared" si="26"/>
        <v>8381.4618000000009</v>
      </c>
      <c r="T361" s="3">
        <f t="shared" si="27"/>
        <v>5946.4404000000013</v>
      </c>
      <c r="U361" s="4">
        <f t="shared" si="28"/>
        <v>0.7094753328112765</v>
      </c>
      <c r="V361" s="5">
        <f t="shared" si="29"/>
        <v>56.051435999999995</v>
      </c>
    </row>
    <row r="362" spans="1:22" x14ac:dyDescent="0.25">
      <c r="A362" s="2" t="s">
        <v>396</v>
      </c>
      <c r="B362" s="2" t="s">
        <v>26</v>
      </c>
      <c r="C362" s="2" t="s">
        <v>27</v>
      </c>
      <c r="D362" s="2" t="s">
        <v>20</v>
      </c>
      <c r="E362" s="2">
        <v>418.16</v>
      </c>
      <c r="F362" s="2">
        <v>15.32</v>
      </c>
      <c r="G362" s="2">
        <v>23.87</v>
      </c>
      <c r="H362" s="2">
        <v>1.1000000000000001</v>
      </c>
      <c r="I362" s="2">
        <v>0.1</v>
      </c>
      <c r="J362" s="2">
        <v>5</v>
      </c>
      <c r="K362" s="2" t="s">
        <v>29</v>
      </c>
      <c r="L362" s="2">
        <v>3.47</v>
      </c>
      <c r="M362" s="2" t="s">
        <v>22</v>
      </c>
      <c r="N362" s="2">
        <v>66</v>
      </c>
      <c r="O362" s="2" t="s">
        <v>24</v>
      </c>
      <c r="P362" s="2">
        <v>8.92</v>
      </c>
      <c r="Q362" s="2">
        <v>13.16</v>
      </c>
      <c r="R362" s="3">
        <f t="shared" si="25"/>
        <v>3729.9872</v>
      </c>
      <c r="S362" s="3">
        <f t="shared" si="26"/>
        <v>5502.9856</v>
      </c>
      <c r="T362" s="3">
        <f t="shared" si="27"/>
        <v>1772.9983999999999</v>
      </c>
      <c r="U362" s="4">
        <f t="shared" si="28"/>
        <v>0.32218844984802431</v>
      </c>
      <c r="V362" s="5">
        <f t="shared" si="29"/>
        <v>14.510152000000003</v>
      </c>
    </row>
    <row r="363" spans="1:22" x14ac:dyDescent="0.25">
      <c r="A363" s="2" t="s">
        <v>397</v>
      </c>
      <c r="B363" s="2" t="s">
        <v>32</v>
      </c>
      <c r="C363" s="2" t="s">
        <v>33</v>
      </c>
      <c r="D363" s="2" t="s">
        <v>28</v>
      </c>
      <c r="E363" s="2">
        <v>653.24</v>
      </c>
      <c r="F363" s="2">
        <v>10.33</v>
      </c>
      <c r="G363" s="2">
        <v>26.92</v>
      </c>
      <c r="H363" s="2">
        <v>0.4</v>
      </c>
      <c r="I363" s="2">
        <v>0</v>
      </c>
      <c r="J363" s="2">
        <v>28</v>
      </c>
      <c r="K363" s="2" t="s">
        <v>21</v>
      </c>
      <c r="L363" s="2">
        <v>5.3</v>
      </c>
      <c r="M363" s="2" t="s">
        <v>22</v>
      </c>
      <c r="N363" s="2">
        <v>89.39</v>
      </c>
      <c r="O363" s="2" t="s">
        <v>23</v>
      </c>
      <c r="P363" s="2">
        <v>7.53</v>
      </c>
      <c r="Q363" s="2">
        <v>14.98</v>
      </c>
      <c r="R363" s="3">
        <f t="shared" si="25"/>
        <v>4918.8972000000003</v>
      </c>
      <c r="S363" s="3">
        <f t="shared" si="26"/>
        <v>9785.5352000000003</v>
      </c>
      <c r="T363" s="3">
        <f t="shared" si="27"/>
        <v>4866.6379999999999</v>
      </c>
      <c r="U363" s="4">
        <f t="shared" si="28"/>
        <v>0.49732977303070758</v>
      </c>
      <c r="V363" s="5">
        <f t="shared" si="29"/>
        <v>34.621720000000003</v>
      </c>
    </row>
    <row r="364" spans="1:22" x14ac:dyDescent="0.25">
      <c r="A364" s="2" t="s">
        <v>398</v>
      </c>
      <c r="B364" s="2" t="s">
        <v>32</v>
      </c>
      <c r="C364" s="2" t="s">
        <v>19</v>
      </c>
      <c r="D364" s="2" t="s">
        <v>28</v>
      </c>
      <c r="E364" s="2">
        <v>549.99</v>
      </c>
      <c r="F364" s="2">
        <v>16.13</v>
      </c>
      <c r="G364" s="2">
        <v>27.16</v>
      </c>
      <c r="H364" s="2">
        <v>4.8</v>
      </c>
      <c r="I364" s="2">
        <v>1</v>
      </c>
      <c r="J364" s="2">
        <v>1</v>
      </c>
      <c r="K364" s="2" t="s">
        <v>34</v>
      </c>
      <c r="L364" s="2">
        <v>6.68</v>
      </c>
      <c r="M364" s="2" t="s">
        <v>37</v>
      </c>
      <c r="N364" s="2">
        <v>55.23</v>
      </c>
      <c r="O364" s="2" t="s">
        <v>30</v>
      </c>
      <c r="P364" s="2">
        <v>3.2</v>
      </c>
      <c r="Q364" s="2">
        <v>9.1199999999999992</v>
      </c>
      <c r="R364" s="3">
        <f t="shared" si="25"/>
        <v>1759.9680000000001</v>
      </c>
      <c r="S364" s="3">
        <f t="shared" si="26"/>
        <v>5015.9087999999992</v>
      </c>
      <c r="T364" s="3">
        <f t="shared" si="27"/>
        <v>3255.9407999999994</v>
      </c>
      <c r="U364" s="4">
        <f t="shared" si="28"/>
        <v>0.64912280701754388</v>
      </c>
      <c r="V364" s="5">
        <f t="shared" si="29"/>
        <v>36.739331999999997</v>
      </c>
    </row>
    <row r="365" spans="1:22" x14ac:dyDescent="0.25">
      <c r="A365" s="2" t="s">
        <v>399</v>
      </c>
      <c r="B365" s="2" t="s">
        <v>45</v>
      </c>
      <c r="C365" s="2" t="s">
        <v>27</v>
      </c>
      <c r="D365" s="2" t="s">
        <v>28</v>
      </c>
      <c r="E365" s="2">
        <v>360.07</v>
      </c>
      <c r="F365" s="2">
        <v>13.88</v>
      </c>
      <c r="G365" s="2">
        <v>20.170000000000002</v>
      </c>
      <c r="H365" s="2">
        <v>0.4</v>
      </c>
      <c r="I365" s="2">
        <v>1</v>
      </c>
      <c r="J365" s="2">
        <v>11</v>
      </c>
      <c r="K365" s="2" t="s">
        <v>21</v>
      </c>
      <c r="L365" s="2">
        <v>3.56</v>
      </c>
      <c r="M365" s="2" t="s">
        <v>22</v>
      </c>
      <c r="N365" s="2">
        <v>87.51</v>
      </c>
      <c r="O365" s="2" t="s">
        <v>30</v>
      </c>
      <c r="P365" s="2">
        <v>8</v>
      </c>
      <c r="Q365" s="2">
        <v>5.19</v>
      </c>
      <c r="R365" s="3">
        <f t="shared" si="25"/>
        <v>2880.56</v>
      </c>
      <c r="S365" s="3">
        <f t="shared" si="26"/>
        <v>1868.7633000000001</v>
      </c>
      <c r="T365" s="3">
        <f t="shared" si="27"/>
        <v>-1011.7966999999999</v>
      </c>
      <c r="U365" s="4">
        <f t="shared" si="28"/>
        <v>-0.54142581888246621</v>
      </c>
      <c r="V365" s="5">
        <f t="shared" si="29"/>
        <v>12.818491999999999</v>
      </c>
    </row>
    <row r="366" spans="1:22" x14ac:dyDescent="0.25">
      <c r="A366" s="2" t="s">
        <v>400</v>
      </c>
      <c r="B366" s="2" t="s">
        <v>18</v>
      </c>
      <c r="C366" s="2" t="s">
        <v>27</v>
      </c>
      <c r="D366" s="2" t="s">
        <v>28</v>
      </c>
      <c r="E366" s="2">
        <v>536.76</v>
      </c>
      <c r="F366" s="2">
        <v>10.11</v>
      </c>
      <c r="G366" s="2">
        <v>36.78</v>
      </c>
      <c r="H366" s="2">
        <v>0.7</v>
      </c>
      <c r="I366" s="2">
        <v>4.3</v>
      </c>
      <c r="J366" s="2">
        <v>11</v>
      </c>
      <c r="K366" s="2" t="s">
        <v>34</v>
      </c>
      <c r="L366" s="2">
        <v>0.89</v>
      </c>
      <c r="M366" s="2" t="s">
        <v>22</v>
      </c>
      <c r="N366" s="2">
        <v>67.94</v>
      </c>
      <c r="O366" s="2" t="s">
        <v>23</v>
      </c>
      <c r="P366" s="2">
        <v>9.0299999999999994</v>
      </c>
      <c r="Q366" s="2">
        <v>7.35</v>
      </c>
      <c r="R366" s="3">
        <f t="shared" si="25"/>
        <v>4846.9427999999998</v>
      </c>
      <c r="S366" s="3">
        <f t="shared" si="26"/>
        <v>3945.1859999999997</v>
      </c>
      <c r="T366" s="3">
        <f t="shared" si="27"/>
        <v>-901.75680000000011</v>
      </c>
      <c r="U366" s="4">
        <f t="shared" si="28"/>
        <v>-0.22857142857142862</v>
      </c>
      <c r="V366" s="5">
        <f t="shared" si="29"/>
        <v>4.777164</v>
      </c>
    </row>
    <row r="367" spans="1:22" x14ac:dyDescent="0.25">
      <c r="A367" s="2" t="s">
        <v>401</v>
      </c>
      <c r="B367" s="2" t="s">
        <v>18</v>
      </c>
      <c r="C367" s="2" t="s">
        <v>19</v>
      </c>
      <c r="D367" s="2" t="s">
        <v>28</v>
      </c>
      <c r="E367" s="2">
        <v>290</v>
      </c>
      <c r="F367" s="2">
        <v>10.37</v>
      </c>
      <c r="G367" s="2">
        <v>20.64</v>
      </c>
      <c r="H367" s="2">
        <v>1.5</v>
      </c>
      <c r="I367" s="2">
        <v>0.5</v>
      </c>
      <c r="J367" s="2">
        <v>6</v>
      </c>
      <c r="K367" s="2" t="s">
        <v>21</v>
      </c>
      <c r="L367" s="2">
        <v>5.21</v>
      </c>
      <c r="M367" s="2" t="s">
        <v>22</v>
      </c>
      <c r="N367" s="2">
        <v>77.58</v>
      </c>
      <c r="O367" s="2" t="s">
        <v>30</v>
      </c>
      <c r="P367" s="2">
        <v>7.63</v>
      </c>
      <c r="Q367" s="2">
        <v>10.88</v>
      </c>
      <c r="R367" s="3">
        <f t="shared" si="25"/>
        <v>2212.6999999999998</v>
      </c>
      <c r="S367" s="3">
        <f t="shared" si="26"/>
        <v>3155.2000000000003</v>
      </c>
      <c r="T367" s="3">
        <f t="shared" si="27"/>
        <v>942.50000000000045</v>
      </c>
      <c r="U367" s="4">
        <f t="shared" si="28"/>
        <v>0.29871323529411775</v>
      </c>
      <c r="V367" s="5">
        <f t="shared" si="29"/>
        <v>15.109000000000002</v>
      </c>
    </row>
    <row r="368" spans="1:22" x14ac:dyDescent="0.25">
      <c r="A368" s="2" t="s">
        <v>402</v>
      </c>
      <c r="B368" s="2" t="s">
        <v>45</v>
      </c>
      <c r="C368" s="2" t="s">
        <v>33</v>
      </c>
      <c r="D368" s="2" t="s">
        <v>28</v>
      </c>
      <c r="E368" s="2">
        <v>562.54999999999995</v>
      </c>
      <c r="F368" s="2">
        <v>14.28</v>
      </c>
      <c r="G368" s="2">
        <v>38.799999999999997</v>
      </c>
      <c r="H368" s="2">
        <v>0.6</v>
      </c>
      <c r="I368" s="2">
        <v>0.4</v>
      </c>
      <c r="J368" s="2">
        <v>23</v>
      </c>
      <c r="K368" s="2" t="s">
        <v>29</v>
      </c>
      <c r="L368" s="2">
        <v>0.62</v>
      </c>
      <c r="M368" s="2" t="s">
        <v>37</v>
      </c>
      <c r="N368" s="2">
        <v>64.03</v>
      </c>
      <c r="O368" s="2" t="s">
        <v>24</v>
      </c>
      <c r="P368" s="2">
        <v>3.21</v>
      </c>
      <c r="Q368" s="2">
        <v>14.62</v>
      </c>
      <c r="R368" s="3">
        <f t="shared" si="25"/>
        <v>1805.7854999999997</v>
      </c>
      <c r="S368" s="3">
        <f t="shared" si="26"/>
        <v>8224.4809999999998</v>
      </c>
      <c r="T368" s="3">
        <f t="shared" si="27"/>
        <v>6418.6954999999998</v>
      </c>
      <c r="U368" s="4">
        <f t="shared" si="28"/>
        <v>0.780437756497948</v>
      </c>
      <c r="V368" s="5">
        <f t="shared" si="29"/>
        <v>3.4878099999999996</v>
      </c>
    </row>
    <row r="369" spans="1:22" x14ac:dyDescent="0.25">
      <c r="A369" s="2" t="s">
        <v>403</v>
      </c>
      <c r="B369" s="2" t="s">
        <v>45</v>
      </c>
      <c r="C369" s="2" t="s">
        <v>43</v>
      </c>
      <c r="D369" s="2" t="s">
        <v>28</v>
      </c>
      <c r="E369" s="2">
        <v>588.52</v>
      </c>
      <c r="F369" s="2">
        <v>16.3</v>
      </c>
      <c r="G369" s="2">
        <v>37.840000000000003</v>
      </c>
      <c r="H369" s="2">
        <v>0.5</v>
      </c>
      <c r="I369" s="2">
        <v>1</v>
      </c>
      <c r="J369" s="2">
        <v>8</v>
      </c>
      <c r="K369" s="2" t="s">
        <v>34</v>
      </c>
      <c r="L369" s="2">
        <v>9.5299999999999994</v>
      </c>
      <c r="M369" s="2" t="s">
        <v>22</v>
      </c>
      <c r="N369" s="2">
        <v>99.32</v>
      </c>
      <c r="O369" s="2" t="s">
        <v>23</v>
      </c>
      <c r="P369" s="2">
        <v>9.01</v>
      </c>
      <c r="Q369" s="2">
        <v>6.04</v>
      </c>
      <c r="R369" s="3">
        <f t="shared" si="25"/>
        <v>5302.5652</v>
      </c>
      <c r="S369" s="3">
        <f t="shared" si="26"/>
        <v>3554.6608000000001</v>
      </c>
      <c r="T369" s="3">
        <f t="shared" si="27"/>
        <v>-1747.9043999999999</v>
      </c>
      <c r="U369" s="4">
        <f t="shared" si="28"/>
        <v>-0.49172185430463572</v>
      </c>
      <c r="V369" s="5">
        <f t="shared" si="29"/>
        <v>56.085955999999996</v>
      </c>
    </row>
    <row r="370" spans="1:22" x14ac:dyDescent="0.25">
      <c r="A370" s="2" t="s">
        <v>404</v>
      </c>
      <c r="B370" s="2" t="s">
        <v>18</v>
      </c>
      <c r="C370" s="2" t="s">
        <v>43</v>
      </c>
      <c r="D370" s="2" t="s">
        <v>20</v>
      </c>
      <c r="E370" s="2">
        <v>440.76</v>
      </c>
      <c r="F370" s="2">
        <v>12.16</v>
      </c>
      <c r="G370" s="2">
        <v>30.71</v>
      </c>
      <c r="H370" s="2">
        <v>1.8</v>
      </c>
      <c r="I370" s="2">
        <v>1.7</v>
      </c>
      <c r="J370" s="2">
        <v>2</v>
      </c>
      <c r="K370" s="2" t="s">
        <v>34</v>
      </c>
      <c r="L370" s="2">
        <v>8.07</v>
      </c>
      <c r="M370" s="2" t="s">
        <v>22</v>
      </c>
      <c r="N370" s="2">
        <v>95.29</v>
      </c>
      <c r="O370" s="2" t="s">
        <v>23</v>
      </c>
      <c r="P370" s="2">
        <v>8.1300000000000008</v>
      </c>
      <c r="Q370" s="2">
        <v>6.22</v>
      </c>
      <c r="R370" s="3">
        <f t="shared" si="25"/>
        <v>3583.3788000000004</v>
      </c>
      <c r="S370" s="3">
        <f t="shared" si="26"/>
        <v>2741.5272</v>
      </c>
      <c r="T370" s="3">
        <f t="shared" si="27"/>
        <v>-841.85160000000042</v>
      </c>
      <c r="U370" s="4">
        <f t="shared" si="28"/>
        <v>-0.30707395498392298</v>
      </c>
      <c r="V370" s="5">
        <f t="shared" si="29"/>
        <v>35.569332000000003</v>
      </c>
    </row>
    <row r="371" spans="1:22" x14ac:dyDescent="0.25">
      <c r="A371" s="2" t="s">
        <v>405</v>
      </c>
      <c r="B371" s="2" t="s">
        <v>18</v>
      </c>
      <c r="C371" s="2" t="s">
        <v>33</v>
      </c>
      <c r="D371" s="2" t="s">
        <v>20</v>
      </c>
      <c r="E371" s="2">
        <v>512.35</v>
      </c>
      <c r="F371" s="2">
        <v>10.58</v>
      </c>
      <c r="G371" s="2">
        <v>30.87</v>
      </c>
      <c r="H371" s="2">
        <v>0.2</v>
      </c>
      <c r="I371" s="2">
        <v>2.8</v>
      </c>
      <c r="J371" s="2">
        <v>15</v>
      </c>
      <c r="K371" s="2" t="s">
        <v>34</v>
      </c>
      <c r="L371" s="2">
        <v>2.3199999999999998</v>
      </c>
      <c r="M371" s="2" t="s">
        <v>22</v>
      </c>
      <c r="N371" s="2">
        <v>96.42</v>
      </c>
      <c r="O371" s="2" t="s">
        <v>30</v>
      </c>
      <c r="P371" s="2">
        <v>5.65</v>
      </c>
      <c r="Q371" s="2">
        <v>12.02</v>
      </c>
      <c r="R371" s="3">
        <f t="shared" si="25"/>
        <v>2894.7775000000001</v>
      </c>
      <c r="S371" s="3">
        <f t="shared" si="26"/>
        <v>6158.4470000000001</v>
      </c>
      <c r="T371" s="3">
        <f t="shared" si="27"/>
        <v>3263.6695</v>
      </c>
      <c r="U371" s="4">
        <f t="shared" si="28"/>
        <v>0.52995008319467551</v>
      </c>
      <c r="V371" s="5">
        <f t="shared" si="29"/>
        <v>11.886520000000001</v>
      </c>
    </row>
    <row r="372" spans="1:22" x14ac:dyDescent="0.25">
      <c r="A372" s="2" t="s">
        <v>406</v>
      </c>
      <c r="B372" s="2" t="s">
        <v>26</v>
      </c>
      <c r="C372" s="2" t="s">
        <v>27</v>
      </c>
      <c r="D372" s="2" t="s">
        <v>20</v>
      </c>
      <c r="E372" s="2">
        <v>695.42</v>
      </c>
      <c r="F372" s="2">
        <v>16.670000000000002</v>
      </c>
      <c r="G372" s="2">
        <v>33.08</v>
      </c>
      <c r="H372" s="2">
        <v>0.1</v>
      </c>
      <c r="I372" s="2">
        <v>1.6</v>
      </c>
      <c r="J372" s="2">
        <v>23</v>
      </c>
      <c r="K372" s="2" t="s">
        <v>29</v>
      </c>
      <c r="L372" s="2">
        <v>3.23</v>
      </c>
      <c r="M372" s="2" t="s">
        <v>37</v>
      </c>
      <c r="N372" s="2">
        <v>59.24</v>
      </c>
      <c r="O372" s="2" t="s">
        <v>23</v>
      </c>
      <c r="P372" s="2">
        <v>5.3</v>
      </c>
      <c r="Q372" s="2">
        <v>11.67</v>
      </c>
      <c r="R372" s="3">
        <f t="shared" si="25"/>
        <v>3685.7259999999997</v>
      </c>
      <c r="S372" s="3">
        <f t="shared" si="26"/>
        <v>8115.5513999999994</v>
      </c>
      <c r="T372" s="3">
        <f t="shared" si="27"/>
        <v>4429.8253999999997</v>
      </c>
      <c r="U372" s="4">
        <f t="shared" si="28"/>
        <v>0.54584404455869751</v>
      </c>
      <c r="V372" s="5">
        <f t="shared" si="29"/>
        <v>22.462066</v>
      </c>
    </row>
    <row r="373" spans="1:22" x14ac:dyDescent="0.25">
      <c r="A373" s="2" t="s">
        <v>407</v>
      </c>
      <c r="B373" s="2" t="s">
        <v>26</v>
      </c>
      <c r="C373" s="2" t="s">
        <v>27</v>
      </c>
      <c r="D373" s="2" t="s">
        <v>20</v>
      </c>
      <c r="E373" s="2">
        <v>449.43</v>
      </c>
      <c r="F373" s="2">
        <v>14.69</v>
      </c>
      <c r="G373" s="2">
        <v>27.74</v>
      </c>
      <c r="H373" s="2">
        <v>0.9</v>
      </c>
      <c r="I373" s="2">
        <v>0.6</v>
      </c>
      <c r="J373" s="2">
        <v>22</v>
      </c>
      <c r="K373" s="2" t="s">
        <v>29</v>
      </c>
      <c r="L373" s="2">
        <v>9.84</v>
      </c>
      <c r="M373" s="2" t="s">
        <v>40</v>
      </c>
      <c r="N373" s="2">
        <v>92.08</v>
      </c>
      <c r="O373" s="2" t="s">
        <v>24</v>
      </c>
      <c r="P373" s="2">
        <v>6.36</v>
      </c>
      <c r="Q373" s="2">
        <v>7.51</v>
      </c>
      <c r="R373" s="3">
        <f t="shared" si="25"/>
        <v>2858.3748000000001</v>
      </c>
      <c r="S373" s="3">
        <f t="shared" si="26"/>
        <v>3375.2192999999997</v>
      </c>
      <c r="T373" s="3">
        <f t="shared" si="27"/>
        <v>516.8444999999997</v>
      </c>
      <c r="U373" s="4">
        <f t="shared" si="28"/>
        <v>0.15312916111850858</v>
      </c>
      <c r="V373" s="5">
        <f t="shared" si="29"/>
        <v>44.223911999999999</v>
      </c>
    </row>
    <row r="374" spans="1:22" x14ac:dyDescent="0.25">
      <c r="A374" s="2" t="s">
        <v>408</v>
      </c>
      <c r="B374" s="2" t="s">
        <v>45</v>
      </c>
      <c r="C374" s="2" t="s">
        <v>27</v>
      </c>
      <c r="D374" s="2" t="s">
        <v>20</v>
      </c>
      <c r="E374" s="2">
        <v>394.11</v>
      </c>
      <c r="F374" s="2">
        <v>12.48</v>
      </c>
      <c r="G374" s="2">
        <v>32.94</v>
      </c>
      <c r="H374" s="2">
        <v>2.6</v>
      </c>
      <c r="I374" s="2">
        <v>1</v>
      </c>
      <c r="J374" s="2">
        <v>9</v>
      </c>
      <c r="K374" s="2" t="s">
        <v>21</v>
      </c>
      <c r="L374" s="2">
        <v>4.05</v>
      </c>
      <c r="M374" s="2" t="s">
        <v>40</v>
      </c>
      <c r="N374" s="2">
        <v>76.77</v>
      </c>
      <c r="O374" s="2" t="s">
        <v>23</v>
      </c>
      <c r="P374" s="2">
        <v>9.07</v>
      </c>
      <c r="Q374" s="2">
        <v>13.13</v>
      </c>
      <c r="R374" s="3">
        <f t="shared" si="25"/>
        <v>3574.5777000000003</v>
      </c>
      <c r="S374" s="3">
        <f t="shared" si="26"/>
        <v>5174.6643000000004</v>
      </c>
      <c r="T374" s="3">
        <f t="shared" si="27"/>
        <v>1600.0866000000001</v>
      </c>
      <c r="U374" s="4">
        <f t="shared" si="28"/>
        <v>0.30921553693830922</v>
      </c>
      <c r="V374" s="5">
        <f t="shared" si="29"/>
        <v>15.961455000000001</v>
      </c>
    </row>
    <row r="375" spans="1:22" x14ac:dyDescent="0.25">
      <c r="A375" s="2" t="s">
        <v>409</v>
      </c>
      <c r="B375" s="2" t="s">
        <v>26</v>
      </c>
      <c r="C375" s="2" t="s">
        <v>27</v>
      </c>
      <c r="D375" s="2" t="s">
        <v>28</v>
      </c>
      <c r="E375" s="2">
        <v>648.16999999999996</v>
      </c>
      <c r="F375" s="2">
        <v>12.88</v>
      </c>
      <c r="G375" s="2">
        <v>20.9</v>
      </c>
      <c r="H375" s="2">
        <v>1.6</v>
      </c>
      <c r="I375" s="2">
        <v>1.9</v>
      </c>
      <c r="J375" s="2">
        <v>15</v>
      </c>
      <c r="K375" s="2" t="s">
        <v>29</v>
      </c>
      <c r="L375" s="2">
        <v>7.95</v>
      </c>
      <c r="M375" s="2" t="s">
        <v>40</v>
      </c>
      <c r="N375" s="2">
        <v>85.39</v>
      </c>
      <c r="O375" s="2" t="s">
        <v>30</v>
      </c>
      <c r="P375" s="2">
        <v>4.76</v>
      </c>
      <c r="Q375" s="2">
        <v>6.29</v>
      </c>
      <c r="R375" s="3">
        <f t="shared" si="25"/>
        <v>3085.2891999999997</v>
      </c>
      <c r="S375" s="3">
        <f t="shared" si="26"/>
        <v>4076.9892999999997</v>
      </c>
      <c r="T375" s="3">
        <f t="shared" si="27"/>
        <v>991.70010000000002</v>
      </c>
      <c r="U375" s="4">
        <f t="shared" si="28"/>
        <v>0.24324324324324326</v>
      </c>
      <c r="V375" s="5">
        <f t="shared" si="29"/>
        <v>51.529515000000004</v>
      </c>
    </row>
    <row r="376" spans="1:22" x14ac:dyDescent="0.25">
      <c r="A376" s="2" t="s">
        <v>410</v>
      </c>
      <c r="B376" s="2" t="s">
        <v>32</v>
      </c>
      <c r="C376" s="2" t="s">
        <v>33</v>
      </c>
      <c r="D376" s="2" t="s">
        <v>28</v>
      </c>
      <c r="E376" s="2">
        <v>696.26</v>
      </c>
      <c r="F376" s="2">
        <v>10.039999999999999</v>
      </c>
      <c r="G376" s="2">
        <v>21.08</v>
      </c>
      <c r="H376" s="2">
        <v>1.1000000000000001</v>
      </c>
      <c r="I376" s="2">
        <v>0.7</v>
      </c>
      <c r="J376" s="2">
        <v>8</v>
      </c>
      <c r="K376" s="2" t="s">
        <v>34</v>
      </c>
      <c r="L376" s="2">
        <v>4.74</v>
      </c>
      <c r="M376" s="2" t="s">
        <v>40</v>
      </c>
      <c r="N376" s="2">
        <v>60.88</v>
      </c>
      <c r="O376" s="2" t="s">
        <v>23</v>
      </c>
      <c r="P376" s="2">
        <v>3.71</v>
      </c>
      <c r="Q376" s="2">
        <v>14.26</v>
      </c>
      <c r="R376" s="3">
        <f t="shared" si="25"/>
        <v>2583.1246000000001</v>
      </c>
      <c r="S376" s="3">
        <f t="shared" si="26"/>
        <v>9928.6675999999989</v>
      </c>
      <c r="T376" s="3">
        <f t="shared" si="27"/>
        <v>7345.5429999999988</v>
      </c>
      <c r="U376" s="4">
        <f t="shared" si="28"/>
        <v>0.73983169705469842</v>
      </c>
      <c r="V376" s="5">
        <f t="shared" si="29"/>
        <v>33.002724000000001</v>
      </c>
    </row>
    <row r="377" spans="1:22" x14ac:dyDescent="0.25">
      <c r="A377" s="2" t="s">
        <v>411</v>
      </c>
      <c r="B377" s="2" t="s">
        <v>26</v>
      </c>
      <c r="C377" s="2" t="s">
        <v>27</v>
      </c>
      <c r="D377" s="2" t="s">
        <v>28</v>
      </c>
      <c r="E377" s="2">
        <v>500.37</v>
      </c>
      <c r="F377" s="2">
        <v>14.27</v>
      </c>
      <c r="G377" s="2">
        <v>29.14</v>
      </c>
      <c r="H377" s="2">
        <v>1.7</v>
      </c>
      <c r="I377" s="2">
        <v>0.2</v>
      </c>
      <c r="J377" s="2">
        <v>16</v>
      </c>
      <c r="K377" s="2" t="s">
        <v>21</v>
      </c>
      <c r="L377" s="2">
        <v>8.7100000000000009</v>
      </c>
      <c r="M377" s="2" t="s">
        <v>22</v>
      </c>
      <c r="N377" s="2">
        <v>85.6</v>
      </c>
      <c r="O377" s="2" t="s">
        <v>30</v>
      </c>
      <c r="P377" s="2">
        <v>9.0500000000000007</v>
      </c>
      <c r="Q377" s="2">
        <v>7.01</v>
      </c>
      <c r="R377" s="3">
        <f t="shared" si="25"/>
        <v>4528.3485000000001</v>
      </c>
      <c r="S377" s="3">
        <f t="shared" si="26"/>
        <v>3507.5936999999999</v>
      </c>
      <c r="T377" s="3">
        <f t="shared" si="27"/>
        <v>-1020.7548000000002</v>
      </c>
      <c r="U377" s="4">
        <f t="shared" si="28"/>
        <v>-0.29101283880171191</v>
      </c>
      <c r="V377" s="5">
        <f t="shared" si="29"/>
        <v>43.582227000000003</v>
      </c>
    </row>
    <row r="378" spans="1:22" x14ac:dyDescent="0.25">
      <c r="A378" s="2" t="s">
        <v>412</v>
      </c>
      <c r="B378" s="2" t="s">
        <v>26</v>
      </c>
      <c r="C378" s="2" t="s">
        <v>19</v>
      </c>
      <c r="D378" s="2" t="s">
        <v>28</v>
      </c>
      <c r="E378" s="2">
        <v>601.15</v>
      </c>
      <c r="F378" s="2">
        <v>11.59</v>
      </c>
      <c r="G378" s="2">
        <v>30.99</v>
      </c>
      <c r="H378" s="2">
        <v>0.9</v>
      </c>
      <c r="I378" s="2">
        <v>0.2</v>
      </c>
      <c r="J378" s="2">
        <v>27</v>
      </c>
      <c r="K378" s="2" t="s">
        <v>29</v>
      </c>
      <c r="L378" s="2">
        <v>7.19</v>
      </c>
      <c r="M378" s="2" t="s">
        <v>37</v>
      </c>
      <c r="N378" s="2">
        <v>95.71</v>
      </c>
      <c r="O378" s="2" t="s">
        <v>30</v>
      </c>
      <c r="P378" s="2">
        <v>3.18</v>
      </c>
      <c r="Q378" s="2">
        <v>5.81</v>
      </c>
      <c r="R378" s="3">
        <f t="shared" si="25"/>
        <v>1911.6569999999999</v>
      </c>
      <c r="S378" s="3">
        <f t="shared" si="26"/>
        <v>3492.6814999999997</v>
      </c>
      <c r="T378" s="3">
        <f t="shared" si="27"/>
        <v>1581.0244999999998</v>
      </c>
      <c r="U378" s="4">
        <f t="shared" si="28"/>
        <v>0.45266781411359724</v>
      </c>
      <c r="V378" s="5">
        <f t="shared" si="29"/>
        <v>43.222684999999998</v>
      </c>
    </row>
    <row r="379" spans="1:22" x14ac:dyDescent="0.25">
      <c r="A379" s="2" t="s">
        <v>413</v>
      </c>
      <c r="B379" s="2" t="s">
        <v>32</v>
      </c>
      <c r="C379" s="2" t="s">
        <v>27</v>
      </c>
      <c r="D379" s="2" t="s">
        <v>20</v>
      </c>
      <c r="E379" s="2">
        <v>634.15</v>
      </c>
      <c r="F379" s="2">
        <v>17.96</v>
      </c>
      <c r="G379" s="2">
        <v>37.76</v>
      </c>
      <c r="H379" s="2">
        <v>5.5</v>
      </c>
      <c r="I379" s="2">
        <v>0</v>
      </c>
      <c r="J379" s="2">
        <v>14</v>
      </c>
      <c r="K379" s="2" t="s">
        <v>21</v>
      </c>
      <c r="L379" s="2">
        <v>0.72</v>
      </c>
      <c r="M379" s="2" t="s">
        <v>22</v>
      </c>
      <c r="N379" s="2">
        <v>63.37</v>
      </c>
      <c r="O379" s="2" t="s">
        <v>24</v>
      </c>
      <c r="P379" s="2">
        <v>9.3800000000000008</v>
      </c>
      <c r="Q379" s="2">
        <v>8.4</v>
      </c>
      <c r="R379" s="3">
        <f t="shared" si="25"/>
        <v>5948.3270000000002</v>
      </c>
      <c r="S379" s="3">
        <f t="shared" si="26"/>
        <v>5326.86</v>
      </c>
      <c r="T379" s="3">
        <f t="shared" si="27"/>
        <v>-621.46700000000055</v>
      </c>
      <c r="U379" s="4">
        <f t="shared" si="28"/>
        <v>-0.11666666666666678</v>
      </c>
      <c r="V379" s="5">
        <f t="shared" si="29"/>
        <v>4.5658799999999999</v>
      </c>
    </row>
    <row r="380" spans="1:22" x14ac:dyDescent="0.25">
      <c r="A380" s="2" t="s">
        <v>414</v>
      </c>
      <c r="B380" s="2" t="s">
        <v>45</v>
      </c>
      <c r="C380" s="2" t="s">
        <v>43</v>
      </c>
      <c r="D380" s="2" t="s">
        <v>28</v>
      </c>
      <c r="E380" s="2">
        <v>425.75</v>
      </c>
      <c r="F380" s="2">
        <v>12.8</v>
      </c>
      <c r="G380" s="2">
        <v>22.09</v>
      </c>
      <c r="H380" s="2">
        <v>0.1</v>
      </c>
      <c r="I380" s="2">
        <v>1.3</v>
      </c>
      <c r="J380" s="2">
        <v>15</v>
      </c>
      <c r="K380" s="2" t="s">
        <v>21</v>
      </c>
      <c r="L380" s="2">
        <v>3.3</v>
      </c>
      <c r="M380" s="2" t="s">
        <v>37</v>
      </c>
      <c r="N380" s="2">
        <v>61.67</v>
      </c>
      <c r="O380" s="2" t="s">
        <v>23</v>
      </c>
      <c r="P380" s="2">
        <v>5.14</v>
      </c>
      <c r="Q380" s="2">
        <v>6.88</v>
      </c>
      <c r="R380" s="3">
        <f t="shared" si="25"/>
        <v>2188.355</v>
      </c>
      <c r="S380" s="3">
        <f t="shared" si="26"/>
        <v>2929.16</v>
      </c>
      <c r="T380" s="3">
        <f t="shared" si="27"/>
        <v>740.80499999999984</v>
      </c>
      <c r="U380" s="4">
        <f t="shared" si="28"/>
        <v>0.252906976744186</v>
      </c>
      <c r="V380" s="5">
        <f t="shared" si="29"/>
        <v>14.04975</v>
      </c>
    </row>
    <row r="381" spans="1:22" x14ac:dyDescent="0.25">
      <c r="A381" s="2" t="s">
        <v>415</v>
      </c>
      <c r="B381" s="2" t="s">
        <v>32</v>
      </c>
      <c r="C381" s="2" t="s">
        <v>27</v>
      </c>
      <c r="D381" s="2" t="s">
        <v>28</v>
      </c>
      <c r="E381" s="2">
        <v>451.47</v>
      </c>
      <c r="F381" s="2">
        <v>12.86</v>
      </c>
      <c r="G381" s="2">
        <v>36.450000000000003</v>
      </c>
      <c r="H381" s="2">
        <v>2.2000000000000002</v>
      </c>
      <c r="I381" s="2">
        <v>0.1</v>
      </c>
      <c r="J381" s="2">
        <v>20</v>
      </c>
      <c r="K381" s="2" t="s">
        <v>21</v>
      </c>
      <c r="L381" s="2">
        <v>5.8</v>
      </c>
      <c r="M381" s="2" t="s">
        <v>22</v>
      </c>
      <c r="N381" s="2">
        <v>55.22</v>
      </c>
      <c r="O381" s="2" t="s">
        <v>24</v>
      </c>
      <c r="P381" s="2">
        <v>6.56</v>
      </c>
      <c r="Q381" s="2">
        <v>10.27</v>
      </c>
      <c r="R381" s="3">
        <f t="shared" si="25"/>
        <v>2961.6432</v>
      </c>
      <c r="S381" s="3">
        <f t="shared" si="26"/>
        <v>4636.5969000000005</v>
      </c>
      <c r="T381" s="3">
        <f t="shared" si="27"/>
        <v>1674.9537000000005</v>
      </c>
      <c r="U381" s="4">
        <f t="shared" si="28"/>
        <v>0.36124634858812082</v>
      </c>
      <c r="V381" s="5">
        <f t="shared" si="29"/>
        <v>26.185260000000003</v>
      </c>
    </row>
    <row r="382" spans="1:22" x14ac:dyDescent="0.25">
      <c r="A382" s="2" t="s">
        <v>416</v>
      </c>
      <c r="B382" s="2" t="s">
        <v>26</v>
      </c>
      <c r="C382" s="2" t="s">
        <v>33</v>
      </c>
      <c r="D382" s="2" t="s">
        <v>20</v>
      </c>
      <c r="E382" s="2">
        <v>623.09</v>
      </c>
      <c r="F382" s="2">
        <v>13.66</v>
      </c>
      <c r="G382" s="2">
        <v>24.2</v>
      </c>
      <c r="H382" s="2">
        <v>4.4000000000000004</v>
      </c>
      <c r="I382" s="2">
        <v>0.3</v>
      </c>
      <c r="J382" s="2">
        <v>13</v>
      </c>
      <c r="K382" s="2" t="s">
        <v>34</v>
      </c>
      <c r="L382" s="2">
        <v>9.3000000000000007</v>
      </c>
      <c r="M382" s="2" t="s">
        <v>40</v>
      </c>
      <c r="N382" s="2">
        <v>63.34</v>
      </c>
      <c r="O382" s="2" t="s">
        <v>24</v>
      </c>
      <c r="P382" s="2">
        <v>3.93</v>
      </c>
      <c r="Q382" s="2">
        <v>11.87</v>
      </c>
      <c r="R382" s="3">
        <f t="shared" si="25"/>
        <v>2448.7437000000004</v>
      </c>
      <c r="S382" s="3">
        <f t="shared" si="26"/>
        <v>7396.0783000000001</v>
      </c>
      <c r="T382" s="3">
        <f t="shared" si="27"/>
        <v>4947.3346000000001</v>
      </c>
      <c r="U382" s="4">
        <f t="shared" si="28"/>
        <v>0.66891322662173547</v>
      </c>
      <c r="V382" s="5">
        <f t="shared" si="29"/>
        <v>57.947370000000006</v>
      </c>
    </row>
    <row r="383" spans="1:22" x14ac:dyDescent="0.25">
      <c r="A383" s="2" t="s">
        <v>417</v>
      </c>
      <c r="B383" s="2" t="s">
        <v>45</v>
      </c>
      <c r="C383" s="2" t="s">
        <v>43</v>
      </c>
      <c r="D383" s="2" t="s">
        <v>28</v>
      </c>
      <c r="E383" s="2">
        <v>668.5</v>
      </c>
      <c r="F383" s="2">
        <v>17.170000000000002</v>
      </c>
      <c r="G383" s="2">
        <v>27.88</v>
      </c>
      <c r="H383" s="2">
        <v>3.3</v>
      </c>
      <c r="I383" s="2">
        <v>0.4</v>
      </c>
      <c r="J383" s="2">
        <v>9</v>
      </c>
      <c r="K383" s="2" t="s">
        <v>34</v>
      </c>
      <c r="L383" s="2">
        <v>1.47</v>
      </c>
      <c r="M383" s="2" t="s">
        <v>40</v>
      </c>
      <c r="N383" s="2">
        <v>76.790000000000006</v>
      </c>
      <c r="O383" s="2" t="s">
        <v>23</v>
      </c>
      <c r="P383" s="2">
        <v>9.32</v>
      </c>
      <c r="Q383" s="2">
        <v>9.91</v>
      </c>
      <c r="R383" s="3">
        <f t="shared" si="25"/>
        <v>6230.42</v>
      </c>
      <c r="S383" s="3">
        <f t="shared" si="26"/>
        <v>6624.835</v>
      </c>
      <c r="T383" s="3">
        <f t="shared" si="27"/>
        <v>394.41499999999996</v>
      </c>
      <c r="U383" s="4">
        <f t="shared" si="28"/>
        <v>5.9535822401614522E-2</v>
      </c>
      <c r="V383" s="5">
        <f t="shared" si="29"/>
        <v>9.8269500000000001</v>
      </c>
    </row>
    <row r="384" spans="1:22" x14ac:dyDescent="0.25">
      <c r="A384" s="2" t="s">
        <v>418</v>
      </c>
      <c r="B384" s="2" t="s">
        <v>26</v>
      </c>
      <c r="C384" s="2" t="s">
        <v>33</v>
      </c>
      <c r="D384" s="2" t="s">
        <v>28</v>
      </c>
      <c r="E384" s="2">
        <v>556.29</v>
      </c>
      <c r="F384" s="2">
        <v>16.010000000000002</v>
      </c>
      <c r="G384" s="2">
        <v>26.33</v>
      </c>
      <c r="H384" s="2">
        <v>0.4</v>
      </c>
      <c r="I384" s="2">
        <v>0.8</v>
      </c>
      <c r="J384" s="2">
        <v>1</v>
      </c>
      <c r="K384" s="2" t="s">
        <v>29</v>
      </c>
      <c r="L384" s="2">
        <v>6.21</v>
      </c>
      <c r="M384" s="2" t="s">
        <v>37</v>
      </c>
      <c r="N384" s="2">
        <v>91.64</v>
      </c>
      <c r="O384" s="2" t="s">
        <v>24</v>
      </c>
      <c r="P384" s="2">
        <v>8.25</v>
      </c>
      <c r="Q384" s="2">
        <v>11.61</v>
      </c>
      <c r="R384" s="3">
        <f t="shared" si="25"/>
        <v>4589.3924999999999</v>
      </c>
      <c r="S384" s="3">
        <f t="shared" si="26"/>
        <v>6458.5268999999989</v>
      </c>
      <c r="T384" s="3">
        <f t="shared" si="27"/>
        <v>1869.134399999999</v>
      </c>
      <c r="U384" s="4">
        <f t="shared" si="28"/>
        <v>0.28940568475452183</v>
      </c>
      <c r="V384" s="5">
        <f t="shared" si="29"/>
        <v>34.545608999999999</v>
      </c>
    </row>
    <row r="385" spans="1:22" x14ac:dyDescent="0.25">
      <c r="A385" s="2" t="s">
        <v>419</v>
      </c>
      <c r="B385" s="2" t="s">
        <v>32</v>
      </c>
      <c r="C385" s="2" t="s">
        <v>33</v>
      </c>
      <c r="D385" s="2" t="s">
        <v>20</v>
      </c>
      <c r="E385" s="2">
        <v>412.02</v>
      </c>
      <c r="F385" s="2">
        <v>12.51</v>
      </c>
      <c r="G385" s="2">
        <v>28</v>
      </c>
      <c r="H385" s="2">
        <v>0.7</v>
      </c>
      <c r="I385" s="2">
        <v>0.5</v>
      </c>
      <c r="J385" s="2">
        <v>27</v>
      </c>
      <c r="K385" s="2" t="s">
        <v>34</v>
      </c>
      <c r="L385" s="2">
        <v>3.37</v>
      </c>
      <c r="M385" s="2" t="s">
        <v>22</v>
      </c>
      <c r="N385" s="2">
        <v>63.94</v>
      </c>
      <c r="O385" s="2" t="s">
        <v>24</v>
      </c>
      <c r="P385" s="2">
        <v>9.4700000000000006</v>
      </c>
      <c r="Q385" s="2">
        <v>8.65</v>
      </c>
      <c r="R385" s="3">
        <f t="shared" si="25"/>
        <v>3901.8294000000001</v>
      </c>
      <c r="S385" s="3">
        <f t="shared" si="26"/>
        <v>3563.973</v>
      </c>
      <c r="T385" s="3">
        <f t="shared" si="27"/>
        <v>-337.85640000000012</v>
      </c>
      <c r="U385" s="4">
        <f t="shared" si="28"/>
        <v>-9.4797687861271712E-2</v>
      </c>
      <c r="V385" s="5">
        <f t="shared" si="29"/>
        <v>13.885073999999999</v>
      </c>
    </row>
    <row r="386" spans="1:22" x14ac:dyDescent="0.25">
      <c r="A386" s="2" t="s">
        <v>420</v>
      </c>
      <c r="B386" s="2" t="s">
        <v>32</v>
      </c>
      <c r="C386" s="2" t="s">
        <v>43</v>
      </c>
      <c r="D386" s="2" t="s">
        <v>28</v>
      </c>
      <c r="E386" s="2">
        <v>698.71</v>
      </c>
      <c r="F386" s="2">
        <v>15.19</v>
      </c>
      <c r="G386" s="2">
        <v>23.01</v>
      </c>
      <c r="H386" s="2">
        <v>2.5</v>
      </c>
      <c r="I386" s="2">
        <v>1.1000000000000001</v>
      </c>
      <c r="J386" s="2">
        <v>6</v>
      </c>
      <c r="K386" s="2" t="s">
        <v>21</v>
      </c>
      <c r="L386" s="2">
        <v>8.9499999999999993</v>
      </c>
      <c r="M386" s="2" t="s">
        <v>40</v>
      </c>
      <c r="N386" s="2">
        <v>81.06</v>
      </c>
      <c r="O386" s="2" t="s">
        <v>30</v>
      </c>
      <c r="P386" s="2">
        <v>7.78</v>
      </c>
      <c r="Q386" s="2">
        <v>5.28</v>
      </c>
      <c r="R386" s="3">
        <f t="shared" si="25"/>
        <v>5435.9638000000004</v>
      </c>
      <c r="S386" s="3">
        <f t="shared" si="26"/>
        <v>3689.1888000000004</v>
      </c>
      <c r="T386" s="3">
        <f t="shared" si="27"/>
        <v>-1746.7750000000001</v>
      </c>
      <c r="U386" s="4">
        <f t="shared" si="28"/>
        <v>-0.47348484848484845</v>
      </c>
      <c r="V386" s="5">
        <f t="shared" si="29"/>
        <v>62.534545000000001</v>
      </c>
    </row>
    <row r="387" spans="1:22" x14ac:dyDescent="0.25">
      <c r="A387" s="2" t="s">
        <v>421</v>
      </c>
      <c r="B387" s="2" t="s">
        <v>26</v>
      </c>
      <c r="C387" s="2" t="s">
        <v>33</v>
      </c>
      <c r="D387" s="2" t="s">
        <v>28</v>
      </c>
      <c r="E387" s="2">
        <v>446.9</v>
      </c>
      <c r="F387" s="2">
        <v>13.86</v>
      </c>
      <c r="G387" s="2">
        <v>30.07</v>
      </c>
      <c r="H387" s="2">
        <v>0.2</v>
      </c>
      <c r="I387" s="2">
        <v>0.1</v>
      </c>
      <c r="J387" s="2">
        <v>8</v>
      </c>
      <c r="K387" s="2" t="s">
        <v>21</v>
      </c>
      <c r="L387" s="2">
        <v>7.77</v>
      </c>
      <c r="M387" s="2" t="s">
        <v>37</v>
      </c>
      <c r="N387" s="2">
        <v>73.98</v>
      </c>
      <c r="O387" s="2" t="s">
        <v>24</v>
      </c>
      <c r="P387" s="2">
        <v>4.29</v>
      </c>
      <c r="Q387" s="2">
        <v>14.74</v>
      </c>
      <c r="R387" s="3">
        <f t="shared" ref="R387:R450" si="30">E387*P387</f>
        <v>1917.201</v>
      </c>
      <c r="S387" s="3">
        <f t="shared" ref="S387:S450" si="31">E387*Q387</f>
        <v>6587.3059999999996</v>
      </c>
      <c r="T387" s="3">
        <f t="shared" ref="T387:T450" si="32">S387-R387</f>
        <v>4670.1049999999996</v>
      </c>
      <c r="U387" s="4">
        <f t="shared" ref="U387:U450" si="33">T387/S387</f>
        <v>0.70895522388059695</v>
      </c>
      <c r="V387" s="5">
        <f t="shared" ref="V387:V450" si="34">E387*L387/100</f>
        <v>34.724129999999995</v>
      </c>
    </row>
    <row r="388" spans="1:22" x14ac:dyDescent="0.25">
      <c r="A388" s="2" t="s">
        <v>422</v>
      </c>
      <c r="B388" s="2" t="s">
        <v>18</v>
      </c>
      <c r="C388" s="2" t="s">
        <v>33</v>
      </c>
      <c r="D388" s="2" t="s">
        <v>28</v>
      </c>
      <c r="E388" s="2">
        <v>466.49</v>
      </c>
      <c r="F388" s="2">
        <v>12.92</v>
      </c>
      <c r="G388" s="2">
        <v>36.03</v>
      </c>
      <c r="H388" s="2">
        <v>3.3</v>
      </c>
      <c r="I388" s="2">
        <v>0.1</v>
      </c>
      <c r="J388" s="2">
        <v>27</v>
      </c>
      <c r="K388" s="2" t="s">
        <v>34</v>
      </c>
      <c r="L388" s="2">
        <v>4.01</v>
      </c>
      <c r="M388" s="2" t="s">
        <v>22</v>
      </c>
      <c r="N388" s="2">
        <v>64.430000000000007</v>
      </c>
      <c r="O388" s="2" t="s">
        <v>23</v>
      </c>
      <c r="P388" s="2">
        <v>5.16</v>
      </c>
      <c r="Q388" s="2">
        <v>13.19</v>
      </c>
      <c r="R388" s="3">
        <f t="shared" si="30"/>
        <v>2407.0884000000001</v>
      </c>
      <c r="S388" s="3">
        <f t="shared" si="31"/>
        <v>6153.0030999999999</v>
      </c>
      <c r="T388" s="3">
        <f t="shared" si="32"/>
        <v>3745.9146999999998</v>
      </c>
      <c r="U388" s="4">
        <f t="shared" si="33"/>
        <v>0.6087945413191812</v>
      </c>
      <c r="V388" s="5">
        <f t="shared" si="34"/>
        <v>18.706249</v>
      </c>
    </row>
    <row r="389" spans="1:22" x14ac:dyDescent="0.25">
      <c r="A389" s="2" t="s">
        <v>423</v>
      </c>
      <c r="B389" s="2" t="s">
        <v>18</v>
      </c>
      <c r="C389" s="2" t="s">
        <v>27</v>
      </c>
      <c r="D389" s="2" t="s">
        <v>28</v>
      </c>
      <c r="E389" s="2">
        <v>534.23</v>
      </c>
      <c r="F389" s="2">
        <v>9.92</v>
      </c>
      <c r="G389" s="2">
        <v>28.83</v>
      </c>
      <c r="H389" s="2">
        <v>2.5</v>
      </c>
      <c r="I389" s="2">
        <v>0.7</v>
      </c>
      <c r="J389" s="2">
        <v>27</v>
      </c>
      <c r="K389" s="2" t="s">
        <v>21</v>
      </c>
      <c r="L389" s="2">
        <v>2.09</v>
      </c>
      <c r="M389" s="2" t="s">
        <v>37</v>
      </c>
      <c r="N389" s="2">
        <v>75.52</v>
      </c>
      <c r="O389" s="2" t="s">
        <v>30</v>
      </c>
      <c r="P389" s="2">
        <v>6.41</v>
      </c>
      <c r="Q389" s="2">
        <v>5.73</v>
      </c>
      <c r="R389" s="3">
        <f t="shared" si="30"/>
        <v>3424.4143000000004</v>
      </c>
      <c r="S389" s="3">
        <f t="shared" si="31"/>
        <v>3061.1379000000002</v>
      </c>
      <c r="T389" s="3">
        <f t="shared" si="32"/>
        <v>-363.27640000000019</v>
      </c>
      <c r="U389" s="4">
        <f t="shared" si="33"/>
        <v>-0.11867364746945905</v>
      </c>
      <c r="V389" s="5">
        <f t="shared" si="34"/>
        <v>11.165407</v>
      </c>
    </row>
    <row r="390" spans="1:22" x14ac:dyDescent="0.25">
      <c r="A390" s="2" t="s">
        <v>424</v>
      </c>
      <c r="B390" s="2" t="s">
        <v>32</v>
      </c>
      <c r="C390" s="2" t="s">
        <v>19</v>
      </c>
      <c r="D390" s="2" t="s">
        <v>28</v>
      </c>
      <c r="E390" s="2">
        <v>655.42</v>
      </c>
      <c r="F390" s="2">
        <v>12.64</v>
      </c>
      <c r="G390" s="2">
        <v>29.81</v>
      </c>
      <c r="H390" s="2">
        <v>2.6</v>
      </c>
      <c r="I390" s="2">
        <v>0.4</v>
      </c>
      <c r="J390" s="2">
        <v>20</v>
      </c>
      <c r="K390" s="2" t="s">
        <v>34</v>
      </c>
      <c r="L390" s="2">
        <v>0.61</v>
      </c>
      <c r="M390" s="2" t="s">
        <v>22</v>
      </c>
      <c r="N390" s="2">
        <v>58.4</v>
      </c>
      <c r="O390" s="2" t="s">
        <v>24</v>
      </c>
      <c r="P390" s="2">
        <v>7.25</v>
      </c>
      <c r="Q390" s="2">
        <v>9.49</v>
      </c>
      <c r="R390" s="3">
        <f t="shared" si="30"/>
        <v>4751.7950000000001</v>
      </c>
      <c r="S390" s="3">
        <f t="shared" si="31"/>
        <v>6219.9358000000002</v>
      </c>
      <c r="T390" s="3">
        <f t="shared" si="32"/>
        <v>1468.1408000000001</v>
      </c>
      <c r="U390" s="4">
        <f t="shared" si="33"/>
        <v>0.23603793466807166</v>
      </c>
      <c r="V390" s="5">
        <f t="shared" si="34"/>
        <v>3.998062</v>
      </c>
    </row>
    <row r="391" spans="1:22" x14ac:dyDescent="0.25">
      <c r="A391" s="2" t="s">
        <v>425</v>
      </c>
      <c r="B391" s="2" t="s">
        <v>32</v>
      </c>
      <c r="C391" s="2" t="s">
        <v>33</v>
      </c>
      <c r="D391" s="2" t="s">
        <v>20</v>
      </c>
      <c r="E391" s="2">
        <v>585.4</v>
      </c>
      <c r="F391" s="2">
        <v>10.46</v>
      </c>
      <c r="G391" s="2">
        <v>36.979999999999997</v>
      </c>
      <c r="H391" s="2">
        <v>0.2</v>
      </c>
      <c r="I391" s="2">
        <v>0.4</v>
      </c>
      <c r="J391" s="2">
        <v>18</v>
      </c>
      <c r="K391" s="2" t="s">
        <v>21</v>
      </c>
      <c r="L391" s="2">
        <v>6.4</v>
      </c>
      <c r="M391" s="2" t="s">
        <v>22</v>
      </c>
      <c r="N391" s="2">
        <v>81.98</v>
      </c>
      <c r="O391" s="2" t="s">
        <v>24</v>
      </c>
      <c r="P391" s="2">
        <v>9.49</v>
      </c>
      <c r="Q391" s="2">
        <v>11.35</v>
      </c>
      <c r="R391" s="3">
        <f t="shared" si="30"/>
        <v>5555.4459999999999</v>
      </c>
      <c r="S391" s="3">
        <f t="shared" si="31"/>
        <v>6644.29</v>
      </c>
      <c r="T391" s="3">
        <f t="shared" si="32"/>
        <v>1088.8440000000001</v>
      </c>
      <c r="U391" s="4">
        <f t="shared" si="33"/>
        <v>0.16387665198237886</v>
      </c>
      <c r="V391" s="5">
        <f t="shared" si="34"/>
        <v>37.465600000000002</v>
      </c>
    </row>
    <row r="392" spans="1:22" x14ac:dyDescent="0.25">
      <c r="A392" s="2" t="s">
        <v>426</v>
      </c>
      <c r="B392" s="2" t="s">
        <v>18</v>
      </c>
      <c r="C392" s="2" t="s">
        <v>33</v>
      </c>
      <c r="D392" s="2" t="s">
        <v>20</v>
      </c>
      <c r="E392" s="2">
        <v>541.49</v>
      </c>
      <c r="F392" s="2">
        <v>17.149999999999999</v>
      </c>
      <c r="G392" s="2">
        <v>34.119999999999997</v>
      </c>
      <c r="H392" s="2">
        <v>2.5</v>
      </c>
      <c r="I392" s="2">
        <v>0.1</v>
      </c>
      <c r="J392" s="2">
        <v>27</v>
      </c>
      <c r="K392" s="2" t="s">
        <v>29</v>
      </c>
      <c r="L392" s="2">
        <v>4.3600000000000003</v>
      </c>
      <c r="M392" s="2" t="s">
        <v>22</v>
      </c>
      <c r="N392" s="2">
        <v>55.78</v>
      </c>
      <c r="O392" s="2" t="s">
        <v>23</v>
      </c>
      <c r="P392" s="2">
        <v>5.69</v>
      </c>
      <c r="Q392" s="2">
        <v>6.91</v>
      </c>
      <c r="R392" s="3">
        <f t="shared" si="30"/>
        <v>3081.0781000000002</v>
      </c>
      <c r="S392" s="3">
        <f t="shared" si="31"/>
        <v>3741.6959000000002</v>
      </c>
      <c r="T392" s="3">
        <f t="shared" si="32"/>
        <v>660.61779999999999</v>
      </c>
      <c r="U392" s="4">
        <f t="shared" si="33"/>
        <v>0.17655571635311143</v>
      </c>
      <c r="V392" s="5">
        <f t="shared" si="34"/>
        <v>23.608964</v>
      </c>
    </row>
    <row r="393" spans="1:22" x14ac:dyDescent="0.25">
      <c r="A393" s="2" t="s">
        <v>427</v>
      </c>
      <c r="B393" s="2" t="s">
        <v>18</v>
      </c>
      <c r="C393" s="2" t="s">
        <v>33</v>
      </c>
      <c r="D393" s="2" t="s">
        <v>20</v>
      </c>
      <c r="E393" s="2">
        <v>546.33000000000004</v>
      </c>
      <c r="F393" s="2">
        <v>11.35</v>
      </c>
      <c r="G393" s="2">
        <v>29.81</v>
      </c>
      <c r="H393" s="2">
        <v>2.2999999999999998</v>
      </c>
      <c r="I393" s="2">
        <v>2.2999999999999998</v>
      </c>
      <c r="J393" s="2">
        <v>18</v>
      </c>
      <c r="K393" s="2" t="s">
        <v>29</v>
      </c>
      <c r="L393" s="2">
        <v>3.49</v>
      </c>
      <c r="M393" s="2" t="s">
        <v>37</v>
      </c>
      <c r="N393" s="2">
        <v>86.55</v>
      </c>
      <c r="O393" s="2" t="s">
        <v>24</v>
      </c>
      <c r="P393" s="2">
        <v>7.92</v>
      </c>
      <c r="Q393" s="2">
        <v>10.78</v>
      </c>
      <c r="R393" s="3">
        <f t="shared" si="30"/>
        <v>4326.9336000000003</v>
      </c>
      <c r="S393" s="3">
        <f t="shared" si="31"/>
        <v>5889.4373999999998</v>
      </c>
      <c r="T393" s="3">
        <f t="shared" si="32"/>
        <v>1562.5037999999995</v>
      </c>
      <c r="U393" s="4">
        <f t="shared" si="33"/>
        <v>0.2653061224489795</v>
      </c>
      <c r="V393" s="5">
        <f t="shared" si="34"/>
        <v>19.066917000000004</v>
      </c>
    </row>
    <row r="394" spans="1:22" x14ac:dyDescent="0.25">
      <c r="A394" s="2" t="s">
        <v>428</v>
      </c>
      <c r="B394" s="2" t="s">
        <v>26</v>
      </c>
      <c r="C394" s="2" t="s">
        <v>27</v>
      </c>
      <c r="D394" s="2" t="s">
        <v>20</v>
      </c>
      <c r="E394" s="2">
        <v>504.35</v>
      </c>
      <c r="F394" s="2">
        <v>17.52</v>
      </c>
      <c r="G394" s="2">
        <v>25.15</v>
      </c>
      <c r="H394" s="2">
        <v>3.6</v>
      </c>
      <c r="I394" s="2">
        <v>1.2</v>
      </c>
      <c r="J394" s="2">
        <v>26</v>
      </c>
      <c r="K394" s="2" t="s">
        <v>34</v>
      </c>
      <c r="L394" s="2">
        <v>9.86</v>
      </c>
      <c r="M394" s="2" t="s">
        <v>37</v>
      </c>
      <c r="N394" s="2">
        <v>58.89</v>
      </c>
      <c r="O394" s="2" t="s">
        <v>23</v>
      </c>
      <c r="P394" s="2">
        <v>9.73</v>
      </c>
      <c r="Q394" s="2">
        <v>10.34</v>
      </c>
      <c r="R394" s="3">
        <f t="shared" si="30"/>
        <v>4907.3255000000008</v>
      </c>
      <c r="S394" s="3">
        <f t="shared" si="31"/>
        <v>5214.9790000000003</v>
      </c>
      <c r="T394" s="3">
        <f t="shared" si="32"/>
        <v>307.65349999999944</v>
      </c>
      <c r="U394" s="4">
        <f t="shared" si="33"/>
        <v>5.899419729206952E-2</v>
      </c>
      <c r="V394" s="5">
        <f t="shared" si="34"/>
        <v>49.728909999999999</v>
      </c>
    </row>
    <row r="395" spans="1:22" x14ac:dyDescent="0.25">
      <c r="A395" s="2" t="s">
        <v>429</v>
      </c>
      <c r="B395" s="2" t="s">
        <v>26</v>
      </c>
      <c r="C395" s="2" t="s">
        <v>19</v>
      </c>
      <c r="D395" s="2" t="s">
        <v>20</v>
      </c>
      <c r="E395" s="2">
        <v>555.80999999999995</v>
      </c>
      <c r="F395" s="2">
        <v>13.33</v>
      </c>
      <c r="G395" s="2">
        <v>37.700000000000003</v>
      </c>
      <c r="H395" s="2">
        <v>0.1</v>
      </c>
      <c r="I395" s="2">
        <v>0.1</v>
      </c>
      <c r="J395" s="2">
        <v>17</v>
      </c>
      <c r="K395" s="2" t="s">
        <v>34</v>
      </c>
      <c r="L395" s="2">
        <v>4.93</v>
      </c>
      <c r="M395" s="2" t="s">
        <v>22</v>
      </c>
      <c r="N395" s="2">
        <v>99.91</v>
      </c>
      <c r="O395" s="2" t="s">
        <v>24</v>
      </c>
      <c r="P395" s="2">
        <v>4.07</v>
      </c>
      <c r="Q395" s="2">
        <v>7.08</v>
      </c>
      <c r="R395" s="3">
        <f t="shared" si="30"/>
        <v>2262.1466999999998</v>
      </c>
      <c r="S395" s="3">
        <f t="shared" si="31"/>
        <v>3935.1347999999998</v>
      </c>
      <c r="T395" s="3">
        <f t="shared" si="32"/>
        <v>1672.9881</v>
      </c>
      <c r="U395" s="4">
        <f t="shared" si="33"/>
        <v>0.42514124293785316</v>
      </c>
      <c r="V395" s="5">
        <f t="shared" si="34"/>
        <v>27.401432999999997</v>
      </c>
    </row>
    <row r="396" spans="1:22" x14ac:dyDescent="0.25">
      <c r="A396" s="2" t="s">
        <v>430</v>
      </c>
      <c r="B396" s="2" t="s">
        <v>18</v>
      </c>
      <c r="C396" s="2" t="s">
        <v>43</v>
      </c>
      <c r="D396" s="2" t="s">
        <v>20</v>
      </c>
      <c r="E396" s="2">
        <v>247.04</v>
      </c>
      <c r="F396" s="2">
        <v>14.32</v>
      </c>
      <c r="G396" s="2">
        <v>31.54</v>
      </c>
      <c r="H396" s="2">
        <v>0</v>
      </c>
      <c r="I396" s="2">
        <v>0.1</v>
      </c>
      <c r="J396" s="2">
        <v>21</v>
      </c>
      <c r="K396" s="2" t="s">
        <v>34</v>
      </c>
      <c r="L396" s="2">
        <v>7.62</v>
      </c>
      <c r="M396" s="2" t="s">
        <v>40</v>
      </c>
      <c r="N396" s="2">
        <v>91.18</v>
      </c>
      <c r="O396" s="2" t="s">
        <v>24</v>
      </c>
      <c r="P396" s="2">
        <v>9.0399999999999991</v>
      </c>
      <c r="Q396" s="2">
        <v>6.41</v>
      </c>
      <c r="R396" s="3">
        <f t="shared" si="30"/>
        <v>2233.2415999999998</v>
      </c>
      <c r="S396" s="3">
        <f t="shared" si="31"/>
        <v>1583.5264</v>
      </c>
      <c r="T396" s="3">
        <f t="shared" si="32"/>
        <v>-649.71519999999987</v>
      </c>
      <c r="U396" s="4">
        <f t="shared" si="33"/>
        <v>-0.4102964118564742</v>
      </c>
      <c r="V396" s="5">
        <f t="shared" si="34"/>
        <v>18.824448</v>
      </c>
    </row>
    <row r="397" spans="1:22" x14ac:dyDescent="0.25">
      <c r="A397" s="2" t="s">
        <v>431</v>
      </c>
      <c r="B397" s="2" t="s">
        <v>26</v>
      </c>
      <c r="C397" s="2" t="s">
        <v>27</v>
      </c>
      <c r="D397" s="2" t="s">
        <v>28</v>
      </c>
      <c r="E397" s="2">
        <v>470.34</v>
      </c>
      <c r="F397" s="2">
        <v>13.43</v>
      </c>
      <c r="G397" s="2">
        <v>24.42</v>
      </c>
      <c r="H397" s="2">
        <v>0.9</v>
      </c>
      <c r="I397" s="2">
        <v>3.7</v>
      </c>
      <c r="J397" s="2">
        <v>16</v>
      </c>
      <c r="K397" s="2" t="s">
        <v>34</v>
      </c>
      <c r="L397" s="2">
        <v>2.19</v>
      </c>
      <c r="M397" s="2" t="s">
        <v>22</v>
      </c>
      <c r="N397" s="2">
        <v>67.19</v>
      </c>
      <c r="O397" s="2" t="s">
        <v>23</v>
      </c>
      <c r="P397" s="2">
        <v>5.94</v>
      </c>
      <c r="Q397" s="2">
        <v>12.59</v>
      </c>
      <c r="R397" s="3">
        <f t="shared" si="30"/>
        <v>2793.8195999999998</v>
      </c>
      <c r="S397" s="3">
        <f t="shared" si="31"/>
        <v>5921.5805999999993</v>
      </c>
      <c r="T397" s="3">
        <f t="shared" si="32"/>
        <v>3127.7609999999995</v>
      </c>
      <c r="U397" s="4">
        <f t="shared" si="33"/>
        <v>0.52819698173153296</v>
      </c>
      <c r="V397" s="5">
        <f t="shared" si="34"/>
        <v>10.300445999999999</v>
      </c>
    </row>
    <row r="398" spans="1:22" x14ac:dyDescent="0.25">
      <c r="A398" s="2" t="s">
        <v>432</v>
      </c>
      <c r="B398" s="2" t="s">
        <v>26</v>
      </c>
      <c r="C398" s="2" t="s">
        <v>27</v>
      </c>
      <c r="D398" s="2" t="s">
        <v>20</v>
      </c>
      <c r="E398" s="2">
        <v>524.13</v>
      </c>
      <c r="F398" s="2">
        <v>9.2899999999999991</v>
      </c>
      <c r="G398" s="2">
        <v>25.38</v>
      </c>
      <c r="H398" s="2">
        <v>0.3</v>
      </c>
      <c r="I398" s="2">
        <v>1.1000000000000001</v>
      </c>
      <c r="J398" s="2">
        <v>13</v>
      </c>
      <c r="K398" s="2" t="s">
        <v>34</v>
      </c>
      <c r="L398" s="2">
        <v>0.63</v>
      </c>
      <c r="M398" s="2" t="s">
        <v>37</v>
      </c>
      <c r="N398" s="2">
        <v>71.31</v>
      </c>
      <c r="O398" s="2" t="s">
        <v>30</v>
      </c>
      <c r="P398" s="2">
        <v>8.1300000000000008</v>
      </c>
      <c r="Q398" s="2">
        <v>8.23</v>
      </c>
      <c r="R398" s="3">
        <f t="shared" si="30"/>
        <v>4261.1769000000004</v>
      </c>
      <c r="S398" s="3">
        <f t="shared" si="31"/>
        <v>4313.5898999999999</v>
      </c>
      <c r="T398" s="3">
        <f t="shared" si="32"/>
        <v>52.412999999999556</v>
      </c>
      <c r="U398" s="4">
        <f t="shared" si="33"/>
        <v>1.2150668286755669E-2</v>
      </c>
      <c r="V398" s="5">
        <f t="shared" si="34"/>
        <v>3.302019</v>
      </c>
    </row>
    <row r="399" spans="1:22" x14ac:dyDescent="0.25">
      <c r="A399" s="2" t="s">
        <v>433</v>
      </c>
      <c r="B399" s="2" t="s">
        <v>45</v>
      </c>
      <c r="C399" s="2" t="s">
        <v>19</v>
      </c>
      <c r="D399" s="2" t="s">
        <v>20</v>
      </c>
      <c r="E399" s="2">
        <v>384.9</v>
      </c>
      <c r="F399" s="2">
        <v>11.76</v>
      </c>
      <c r="G399" s="2">
        <v>36.06</v>
      </c>
      <c r="H399" s="2">
        <v>1.6</v>
      </c>
      <c r="I399" s="2">
        <v>0.5</v>
      </c>
      <c r="J399" s="2">
        <v>22</v>
      </c>
      <c r="K399" s="2" t="s">
        <v>21</v>
      </c>
      <c r="L399" s="2">
        <v>4.47</v>
      </c>
      <c r="M399" s="2" t="s">
        <v>22</v>
      </c>
      <c r="N399" s="2">
        <v>62.96</v>
      </c>
      <c r="O399" s="2" t="s">
        <v>23</v>
      </c>
      <c r="P399" s="2">
        <v>5.05</v>
      </c>
      <c r="Q399" s="2">
        <v>7.44</v>
      </c>
      <c r="R399" s="3">
        <f t="shared" si="30"/>
        <v>1943.7449999999999</v>
      </c>
      <c r="S399" s="3">
        <f t="shared" si="31"/>
        <v>2863.6559999999999</v>
      </c>
      <c r="T399" s="3">
        <f t="shared" si="32"/>
        <v>919.91100000000006</v>
      </c>
      <c r="U399" s="4">
        <f t="shared" si="33"/>
        <v>0.32123655913978499</v>
      </c>
      <c r="V399" s="5">
        <f t="shared" si="34"/>
        <v>17.205029999999997</v>
      </c>
    </row>
    <row r="400" spans="1:22" x14ac:dyDescent="0.25">
      <c r="A400" s="2" t="s">
        <v>434</v>
      </c>
      <c r="B400" s="2" t="s">
        <v>26</v>
      </c>
      <c r="C400" s="2" t="s">
        <v>19</v>
      </c>
      <c r="D400" s="2" t="s">
        <v>28</v>
      </c>
      <c r="E400" s="2">
        <v>538.63</v>
      </c>
      <c r="F400" s="2">
        <v>8.99</v>
      </c>
      <c r="G400" s="2">
        <v>20.88</v>
      </c>
      <c r="H400" s="2">
        <v>5</v>
      </c>
      <c r="I400" s="2">
        <v>1.2</v>
      </c>
      <c r="J400" s="2">
        <v>4</v>
      </c>
      <c r="K400" s="2" t="s">
        <v>29</v>
      </c>
      <c r="L400" s="2">
        <v>6.82</v>
      </c>
      <c r="M400" s="2" t="s">
        <v>37</v>
      </c>
      <c r="N400" s="2">
        <v>88.36</v>
      </c>
      <c r="O400" s="2" t="s">
        <v>30</v>
      </c>
      <c r="P400" s="2">
        <v>5.34</v>
      </c>
      <c r="Q400" s="2">
        <v>12.38</v>
      </c>
      <c r="R400" s="3">
        <f t="shared" si="30"/>
        <v>2876.2842000000001</v>
      </c>
      <c r="S400" s="3">
        <f t="shared" si="31"/>
        <v>6668.2394000000004</v>
      </c>
      <c r="T400" s="3">
        <f t="shared" si="32"/>
        <v>3791.9552000000003</v>
      </c>
      <c r="U400" s="4">
        <f t="shared" si="33"/>
        <v>0.56865912762520199</v>
      </c>
      <c r="V400" s="5">
        <f t="shared" si="34"/>
        <v>36.734566000000001</v>
      </c>
    </row>
    <row r="401" spans="1:22" x14ac:dyDescent="0.25">
      <c r="A401" s="2" t="s">
        <v>435</v>
      </c>
      <c r="B401" s="2" t="s">
        <v>32</v>
      </c>
      <c r="C401" s="2" t="s">
        <v>27</v>
      </c>
      <c r="D401" s="2" t="s">
        <v>28</v>
      </c>
      <c r="E401" s="2">
        <v>479.55</v>
      </c>
      <c r="F401" s="2">
        <v>14.23</v>
      </c>
      <c r="G401" s="2">
        <v>39.840000000000003</v>
      </c>
      <c r="H401" s="2">
        <v>1</v>
      </c>
      <c r="I401" s="2">
        <v>1.4</v>
      </c>
      <c r="J401" s="2">
        <v>4</v>
      </c>
      <c r="K401" s="2" t="s">
        <v>21</v>
      </c>
      <c r="L401" s="2">
        <v>5.31</v>
      </c>
      <c r="M401" s="2" t="s">
        <v>22</v>
      </c>
      <c r="N401" s="2">
        <v>69.040000000000006</v>
      </c>
      <c r="O401" s="2" t="s">
        <v>30</v>
      </c>
      <c r="P401" s="2">
        <v>3.19</v>
      </c>
      <c r="Q401" s="2">
        <v>12.36</v>
      </c>
      <c r="R401" s="3">
        <f t="shared" si="30"/>
        <v>1529.7645</v>
      </c>
      <c r="S401" s="3">
        <f t="shared" si="31"/>
        <v>5927.2380000000003</v>
      </c>
      <c r="T401" s="3">
        <f t="shared" si="32"/>
        <v>4397.4735000000001</v>
      </c>
      <c r="U401" s="4">
        <f t="shared" si="33"/>
        <v>0.74190938511326854</v>
      </c>
      <c r="V401" s="5">
        <f t="shared" si="34"/>
        <v>25.464105</v>
      </c>
    </row>
    <row r="402" spans="1:22" x14ac:dyDescent="0.25">
      <c r="A402" s="2" t="s">
        <v>436</v>
      </c>
      <c r="B402" s="2" t="s">
        <v>26</v>
      </c>
      <c r="C402" s="2" t="s">
        <v>43</v>
      </c>
      <c r="D402" s="2" t="s">
        <v>20</v>
      </c>
      <c r="E402" s="2">
        <v>675.55</v>
      </c>
      <c r="F402" s="2">
        <v>12.47</v>
      </c>
      <c r="G402" s="2">
        <v>22.61</v>
      </c>
      <c r="H402" s="2">
        <v>3.7</v>
      </c>
      <c r="I402" s="2">
        <v>1.5</v>
      </c>
      <c r="J402" s="2">
        <v>21</v>
      </c>
      <c r="K402" s="2" t="s">
        <v>29</v>
      </c>
      <c r="L402" s="2">
        <v>8.9600000000000009</v>
      </c>
      <c r="M402" s="2" t="s">
        <v>22</v>
      </c>
      <c r="N402" s="2">
        <v>87.76</v>
      </c>
      <c r="O402" s="2" t="s">
        <v>23</v>
      </c>
      <c r="P402" s="2">
        <v>9.8000000000000007</v>
      </c>
      <c r="Q402" s="2">
        <v>7.76</v>
      </c>
      <c r="R402" s="3">
        <f t="shared" si="30"/>
        <v>6620.39</v>
      </c>
      <c r="S402" s="3">
        <f t="shared" si="31"/>
        <v>5242.2679999999991</v>
      </c>
      <c r="T402" s="3">
        <f t="shared" si="32"/>
        <v>-1378.1220000000012</v>
      </c>
      <c r="U402" s="4">
        <f t="shared" si="33"/>
        <v>-0.26288659793814462</v>
      </c>
      <c r="V402" s="5">
        <f t="shared" si="34"/>
        <v>60.52928</v>
      </c>
    </row>
    <row r="403" spans="1:22" x14ac:dyDescent="0.25">
      <c r="A403" s="2" t="s">
        <v>437</v>
      </c>
      <c r="B403" s="2" t="s">
        <v>26</v>
      </c>
      <c r="C403" s="2" t="s">
        <v>27</v>
      </c>
      <c r="D403" s="2" t="s">
        <v>28</v>
      </c>
      <c r="E403" s="2">
        <v>657.3</v>
      </c>
      <c r="F403" s="2">
        <v>15.78</v>
      </c>
      <c r="G403" s="2">
        <v>35.92</v>
      </c>
      <c r="H403" s="2">
        <v>0</v>
      </c>
      <c r="I403" s="2">
        <v>0.6</v>
      </c>
      <c r="J403" s="2">
        <v>14</v>
      </c>
      <c r="K403" s="2" t="s">
        <v>21</v>
      </c>
      <c r="L403" s="2">
        <v>4.62</v>
      </c>
      <c r="M403" s="2" t="s">
        <v>40</v>
      </c>
      <c r="N403" s="2">
        <v>50.92</v>
      </c>
      <c r="O403" s="2" t="s">
        <v>23</v>
      </c>
      <c r="P403" s="2">
        <v>8.69</v>
      </c>
      <c r="Q403" s="2">
        <v>13.73</v>
      </c>
      <c r="R403" s="3">
        <f t="shared" si="30"/>
        <v>5711.936999999999</v>
      </c>
      <c r="S403" s="3">
        <f t="shared" si="31"/>
        <v>9024.7289999999994</v>
      </c>
      <c r="T403" s="3">
        <f t="shared" si="32"/>
        <v>3312.7920000000004</v>
      </c>
      <c r="U403" s="4">
        <f t="shared" si="33"/>
        <v>0.36707938820101971</v>
      </c>
      <c r="V403" s="5">
        <f t="shared" si="34"/>
        <v>30.367259999999998</v>
      </c>
    </row>
    <row r="404" spans="1:22" x14ac:dyDescent="0.25">
      <c r="A404" s="2" t="s">
        <v>438</v>
      </c>
      <c r="B404" s="2" t="s">
        <v>18</v>
      </c>
      <c r="C404" s="2" t="s">
        <v>19</v>
      </c>
      <c r="D404" s="2" t="s">
        <v>20</v>
      </c>
      <c r="E404" s="2">
        <v>453.42</v>
      </c>
      <c r="F404" s="2">
        <v>10.199999999999999</v>
      </c>
      <c r="G404" s="2">
        <v>27.9</v>
      </c>
      <c r="H404" s="2">
        <v>0.4</v>
      </c>
      <c r="I404" s="2">
        <v>0.6</v>
      </c>
      <c r="J404" s="2">
        <v>5</v>
      </c>
      <c r="K404" s="2" t="s">
        <v>21</v>
      </c>
      <c r="L404" s="2">
        <v>3.45</v>
      </c>
      <c r="M404" s="2" t="s">
        <v>40</v>
      </c>
      <c r="N404" s="2">
        <v>56.78</v>
      </c>
      <c r="O404" s="2" t="s">
        <v>24</v>
      </c>
      <c r="P404" s="2">
        <v>3.66</v>
      </c>
      <c r="Q404" s="2">
        <v>11.88</v>
      </c>
      <c r="R404" s="3">
        <f t="shared" si="30"/>
        <v>1659.5172000000002</v>
      </c>
      <c r="S404" s="3">
        <f t="shared" si="31"/>
        <v>5386.6296000000002</v>
      </c>
      <c r="T404" s="3">
        <f t="shared" si="32"/>
        <v>3727.1124</v>
      </c>
      <c r="U404" s="4">
        <f t="shared" si="33"/>
        <v>0.69191919191919193</v>
      </c>
      <c r="V404" s="5">
        <f t="shared" si="34"/>
        <v>15.642990000000003</v>
      </c>
    </row>
    <row r="405" spans="1:22" x14ac:dyDescent="0.25">
      <c r="A405" s="2" t="s">
        <v>439</v>
      </c>
      <c r="B405" s="2" t="s">
        <v>32</v>
      </c>
      <c r="C405" s="2" t="s">
        <v>43</v>
      </c>
      <c r="D405" s="2" t="s">
        <v>28</v>
      </c>
      <c r="E405" s="2">
        <v>484.92</v>
      </c>
      <c r="F405" s="2">
        <v>9.65</v>
      </c>
      <c r="G405" s="2">
        <v>29.84</v>
      </c>
      <c r="H405" s="2">
        <v>0.1</v>
      </c>
      <c r="I405" s="2">
        <v>0</v>
      </c>
      <c r="J405" s="2">
        <v>16</v>
      </c>
      <c r="K405" s="2" t="s">
        <v>21</v>
      </c>
      <c r="L405" s="2">
        <v>9.1999999999999993</v>
      </c>
      <c r="M405" s="2" t="s">
        <v>37</v>
      </c>
      <c r="N405" s="2">
        <v>68.25</v>
      </c>
      <c r="O405" s="2" t="s">
        <v>24</v>
      </c>
      <c r="P405" s="2">
        <v>10</v>
      </c>
      <c r="Q405" s="2">
        <v>8.4600000000000009</v>
      </c>
      <c r="R405" s="3">
        <f t="shared" si="30"/>
        <v>4849.2</v>
      </c>
      <c r="S405" s="3">
        <f t="shared" si="31"/>
        <v>4102.4232000000002</v>
      </c>
      <c r="T405" s="3">
        <f t="shared" si="32"/>
        <v>-746.77679999999964</v>
      </c>
      <c r="U405" s="4">
        <f t="shared" si="33"/>
        <v>-0.18203309692671385</v>
      </c>
      <c r="V405" s="5">
        <f t="shared" si="34"/>
        <v>44.612639999999999</v>
      </c>
    </row>
    <row r="406" spans="1:22" x14ac:dyDescent="0.25">
      <c r="A406" s="2" t="s">
        <v>440</v>
      </c>
      <c r="B406" s="2" t="s">
        <v>26</v>
      </c>
      <c r="C406" s="2" t="s">
        <v>19</v>
      </c>
      <c r="D406" s="2" t="s">
        <v>20</v>
      </c>
      <c r="E406" s="2">
        <v>492.61</v>
      </c>
      <c r="F406" s="2">
        <v>12.06</v>
      </c>
      <c r="G406" s="2">
        <v>37.61</v>
      </c>
      <c r="H406" s="2">
        <v>0.8</v>
      </c>
      <c r="I406" s="2">
        <v>2.6</v>
      </c>
      <c r="J406" s="2">
        <v>14</v>
      </c>
      <c r="K406" s="2" t="s">
        <v>34</v>
      </c>
      <c r="L406" s="2">
        <v>4.3600000000000003</v>
      </c>
      <c r="M406" s="2" t="s">
        <v>22</v>
      </c>
      <c r="N406" s="2">
        <v>55.45</v>
      </c>
      <c r="O406" s="2" t="s">
        <v>30</v>
      </c>
      <c r="P406" s="2">
        <v>7.24</v>
      </c>
      <c r="Q406" s="2">
        <v>9.27</v>
      </c>
      <c r="R406" s="3">
        <f t="shared" si="30"/>
        <v>3566.4964</v>
      </c>
      <c r="S406" s="3">
        <f t="shared" si="31"/>
        <v>4566.4947000000002</v>
      </c>
      <c r="T406" s="3">
        <f t="shared" si="32"/>
        <v>999.9983000000002</v>
      </c>
      <c r="U406" s="4">
        <f t="shared" si="33"/>
        <v>0.21898597626752969</v>
      </c>
      <c r="V406" s="5">
        <f t="shared" si="34"/>
        <v>21.477796000000001</v>
      </c>
    </row>
    <row r="407" spans="1:22" x14ac:dyDescent="0.25">
      <c r="A407" s="2" t="s">
        <v>441</v>
      </c>
      <c r="B407" s="2" t="s">
        <v>26</v>
      </c>
      <c r="C407" s="2" t="s">
        <v>43</v>
      </c>
      <c r="D407" s="2" t="s">
        <v>28</v>
      </c>
      <c r="E407" s="2">
        <v>454.83</v>
      </c>
      <c r="F407" s="2">
        <v>17.27</v>
      </c>
      <c r="G407" s="2">
        <v>28.26</v>
      </c>
      <c r="H407" s="2">
        <v>4.8</v>
      </c>
      <c r="I407" s="2">
        <v>0.9</v>
      </c>
      <c r="J407" s="2">
        <v>14</v>
      </c>
      <c r="K407" s="2" t="s">
        <v>29</v>
      </c>
      <c r="L407" s="2">
        <v>3.06</v>
      </c>
      <c r="M407" s="2" t="s">
        <v>37</v>
      </c>
      <c r="N407" s="2">
        <v>80.06</v>
      </c>
      <c r="O407" s="2" t="s">
        <v>24</v>
      </c>
      <c r="P407" s="2">
        <v>8.98</v>
      </c>
      <c r="Q407" s="2">
        <v>12.27</v>
      </c>
      <c r="R407" s="3">
        <f t="shared" si="30"/>
        <v>4084.3733999999999</v>
      </c>
      <c r="S407" s="3">
        <f t="shared" si="31"/>
        <v>5580.7640999999994</v>
      </c>
      <c r="T407" s="3">
        <f t="shared" si="32"/>
        <v>1496.3906999999995</v>
      </c>
      <c r="U407" s="4">
        <f t="shared" si="33"/>
        <v>0.2681336593317033</v>
      </c>
      <c r="V407" s="5">
        <f t="shared" si="34"/>
        <v>13.917797999999999</v>
      </c>
    </row>
    <row r="408" spans="1:22" x14ac:dyDescent="0.25">
      <c r="A408" s="2" t="s">
        <v>442</v>
      </c>
      <c r="B408" s="2" t="s">
        <v>45</v>
      </c>
      <c r="C408" s="2" t="s">
        <v>33</v>
      </c>
      <c r="D408" s="2" t="s">
        <v>28</v>
      </c>
      <c r="E408" s="2">
        <v>519.5</v>
      </c>
      <c r="F408" s="2">
        <v>15.1</v>
      </c>
      <c r="G408" s="2">
        <v>30.75</v>
      </c>
      <c r="H408" s="2">
        <v>0.2</v>
      </c>
      <c r="I408" s="2">
        <v>0.2</v>
      </c>
      <c r="J408" s="2">
        <v>14</v>
      </c>
      <c r="K408" s="2" t="s">
        <v>34</v>
      </c>
      <c r="L408" s="2">
        <v>1.43</v>
      </c>
      <c r="M408" s="2" t="s">
        <v>22</v>
      </c>
      <c r="N408" s="2">
        <v>52.54</v>
      </c>
      <c r="O408" s="2" t="s">
        <v>23</v>
      </c>
      <c r="P408" s="2">
        <v>3.47</v>
      </c>
      <c r="Q408" s="2">
        <v>7.12</v>
      </c>
      <c r="R408" s="3">
        <f t="shared" si="30"/>
        <v>1802.6650000000002</v>
      </c>
      <c r="S408" s="3">
        <f t="shared" si="31"/>
        <v>3698.84</v>
      </c>
      <c r="T408" s="3">
        <f t="shared" si="32"/>
        <v>1896.175</v>
      </c>
      <c r="U408" s="4">
        <f t="shared" si="33"/>
        <v>0.51264044943820219</v>
      </c>
      <c r="V408" s="5">
        <f t="shared" si="34"/>
        <v>7.4288499999999997</v>
      </c>
    </row>
    <row r="409" spans="1:22" x14ac:dyDescent="0.25">
      <c r="A409" s="2" t="s">
        <v>443</v>
      </c>
      <c r="B409" s="2" t="s">
        <v>26</v>
      </c>
      <c r="C409" s="2" t="s">
        <v>19</v>
      </c>
      <c r="D409" s="2" t="s">
        <v>20</v>
      </c>
      <c r="E409" s="2">
        <v>424.17</v>
      </c>
      <c r="F409" s="2">
        <v>12.19</v>
      </c>
      <c r="G409" s="2">
        <v>20.99</v>
      </c>
      <c r="H409" s="2">
        <v>1.9</v>
      </c>
      <c r="I409" s="2">
        <v>2.5</v>
      </c>
      <c r="J409" s="2">
        <v>25</v>
      </c>
      <c r="K409" s="2" t="s">
        <v>34</v>
      </c>
      <c r="L409" s="2">
        <v>8.0399999999999991</v>
      </c>
      <c r="M409" s="2" t="s">
        <v>22</v>
      </c>
      <c r="N409" s="2">
        <v>92.99</v>
      </c>
      <c r="O409" s="2" t="s">
        <v>30</v>
      </c>
      <c r="P409" s="2">
        <v>5.73</v>
      </c>
      <c r="Q409" s="2">
        <v>9.69</v>
      </c>
      <c r="R409" s="3">
        <f t="shared" si="30"/>
        <v>2430.4941000000003</v>
      </c>
      <c r="S409" s="3">
        <f t="shared" si="31"/>
        <v>4110.2073</v>
      </c>
      <c r="T409" s="3">
        <f t="shared" si="32"/>
        <v>1679.7131999999997</v>
      </c>
      <c r="U409" s="4">
        <f t="shared" si="33"/>
        <v>0.40866873065015474</v>
      </c>
      <c r="V409" s="5">
        <f t="shared" si="34"/>
        <v>34.103268</v>
      </c>
    </row>
    <row r="410" spans="1:22" x14ac:dyDescent="0.25">
      <c r="A410" s="2" t="s">
        <v>444</v>
      </c>
      <c r="B410" s="2" t="s">
        <v>26</v>
      </c>
      <c r="C410" s="2" t="s">
        <v>19</v>
      </c>
      <c r="D410" s="2" t="s">
        <v>20</v>
      </c>
      <c r="E410" s="2">
        <v>386.94</v>
      </c>
      <c r="F410" s="2">
        <v>13.17</v>
      </c>
      <c r="G410" s="2">
        <v>20.05</v>
      </c>
      <c r="H410" s="2">
        <v>1.2</v>
      </c>
      <c r="I410" s="2">
        <v>2.5</v>
      </c>
      <c r="J410" s="2">
        <v>24</v>
      </c>
      <c r="K410" s="2" t="s">
        <v>21</v>
      </c>
      <c r="L410" s="2">
        <v>8.34</v>
      </c>
      <c r="M410" s="2" t="s">
        <v>22</v>
      </c>
      <c r="N410" s="2">
        <v>88.07</v>
      </c>
      <c r="O410" s="2" t="s">
        <v>24</v>
      </c>
      <c r="P410" s="2">
        <v>7.69</v>
      </c>
      <c r="Q410" s="2">
        <v>11.54</v>
      </c>
      <c r="R410" s="3">
        <f t="shared" si="30"/>
        <v>2975.5686000000001</v>
      </c>
      <c r="S410" s="3">
        <f t="shared" si="31"/>
        <v>4465.2875999999997</v>
      </c>
      <c r="T410" s="3">
        <f t="shared" si="32"/>
        <v>1489.7189999999996</v>
      </c>
      <c r="U410" s="4">
        <f t="shared" si="33"/>
        <v>0.33362218370883878</v>
      </c>
      <c r="V410" s="5">
        <f t="shared" si="34"/>
        <v>32.270795999999997</v>
      </c>
    </row>
    <row r="411" spans="1:22" x14ac:dyDescent="0.25">
      <c r="A411" s="2" t="s">
        <v>445</v>
      </c>
      <c r="B411" s="2" t="s">
        <v>45</v>
      </c>
      <c r="C411" s="2" t="s">
        <v>27</v>
      </c>
      <c r="D411" s="2" t="s">
        <v>20</v>
      </c>
      <c r="E411" s="2">
        <v>562.27</v>
      </c>
      <c r="F411" s="2">
        <v>8.84</v>
      </c>
      <c r="G411" s="2">
        <v>24.9</v>
      </c>
      <c r="H411" s="2">
        <v>5.6</v>
      </c>
      <c r="I411" s="2">
        <v>4.5</v>
      </c>
      <c r="J411" s="2">
        <v>25</v>
      </c>
      <c r="K411" s="2" t="s">
        <v>29</v>
      </c>
      <c r="L411" s="2">
        <v>0.82</v>
      </c>
      <c r="M411" s="2" t="s">
        <v>40</v>
      </c>
      <c r="N411" s="2">
        <v>60.81</v>
      </c>
      <c r="O411" s="2" t="s">
        <v>24</v>
      </c>
      <c r="P411" s="2">
        <v>3.75</v>
      </c>
      <c r="Q411" s="2">
        <v>10.39</v>
      </c>
      <c r="R411" s="3">
        <f t="shared" si="30"/>
        <v>2108.5124999999998</v>
      </c>
      <c r="S411" s="3">
        <f t="shared" si="31"/>
        <v>5841.9853000000003</v>
      </c>
      <c r="T411" s="3">
        <f t="shared" si="32"/>
        <v>3733.4728000000005</v>
      </c>
      <c r="U411" s="4">
        <f t="shared" si="33"/>
        <v>0.63907603464870077</v>
      </c>
      <c r="V411" s="5">
        <f t="shared" si="34"/>
        <v>4.6106139999999991</v>
      </c>
    </row>
    <row r="412" spans="1:22" x14ac:dyDescent="0.25">
      <c r="A412" s="2" t="s">
        <v>446</v>
      </c>
      <c r="B412" s="2" t="s">
        <v>18</v>
      </c>
      <c r="C412" s="2" t="s">
        <v>19</v>
      </c>
      <c r="D412" s="2" t="s">
        <v>20</v>
      </c>
      <c r="E412" s="2">
        <v>562.95000000000005</v>
      </c>
      <c r="F412" s="2">
        <v>17.850000000000001</v>
      </c>
      <c r="G412" s="2">
        <v>33.61</v>
      </c>
      <c r="H412" s="2">
        <v>0.3</v>
      </c>
      <c r="I412" s="2">
        <v>2.1</v>
      </c>
      <c r="J412" s="2">
        <v>29</v>
      </c>
      <c r="K412" s="2" t="s">
        <v>29</v>
      </c>
      <c r="L412" s="2">
        <v>3.91</v>
      </c>
      <c r="M412" s="2" t="s">
        <v>37</v>
      </c>
      <c r="N412" s="2">
        <v>74.19</v>
      </c>
      <c r="O412" s="2" t="s">
        <v>23</v>
      </c>
      <c r="P412" s="2">
        <v>6.42</v>
      </c>
      <c r="Q412" s="2">
        <v>11.08</v>
      </c>
      <c r="R412" s="3">
        <f t="shared" si="30"/>
        <v>3614.1390000000001</v>
      </c>
      <c r="S412" s="3">
        <f t="shared" si="31"/>
        <v>6237.4860000000008</v>
      </c>
      <c r="T412" s="3">
        <f t="shared" si="32"/>
        <v>2623.3470000000007</v>
      </c>
      <c r="U412" s="4">
        <f t="shared" si="33"/>
        <v>0.42057761732851989</v>
      </c>
      <c r="V412" s="5">
        <f t="shared" si="34"/>
        <v>22.011345000000002</v>
      </c>
    </row>
    <row r="413" spans="1:22" x14ac:dyDescent="0.25">
      <c r="A413" s="2" t="s">
        <v>447</v>
      </c>
      <c r="B413" s="2" t="s">
        <v>26</v>
      </c>
      <c r="C413" s="2" t="s">
        <v>19</v>
      </c>
      <c r="D413" s="2" t="s">
        <v>20</v>
      </c>
      <c r="E413" s="2">
        <v>419.57</v>
      </c>
      <c r="F413" s="2">
        <v>14.66</v>
      </c>
      <c r="G413" s="2">
        <v>22.43</v>
      </c>
      <c r="H413" s="2">
        <v>0.5</v>
      </c>
      <c r="I413" s="2">
        <v>6.1</v>
      </c>
      <c r="J413" s="2">
        <v>14</v>
      </c>
      <c r="K413" s="2" t="s">
        <v>29</v>
      </c>
      <c r="L413" s="2">
        <v>7.62</v>
      </c>
      <c r="M413" s="2" t="s">
        <v>22</v>
      </c>
      <c r="N413" s="2">
        <v>72.59</v>
      </c>
      <c r="O413" s="2" t="s">
        <v>23</v>
      </c>
      <c r="P413" s="2">
        <v>6.1</v>
      </c>
      <c r="Q413" s="2">
        <v>10.46</v>
      </c>
      <c r="R413" s="3">
        <f t="shared" si="30"/>
        <v>2559.377</v>
      </c>
      <c r="S413" s="3">
        <f t="shared" si="31"/>
        <v>4388.7022000000006</v>
      </c>
      <c r="T413" s="3">
        <f t="shared" si="32"/>
        <v>1829.3252000000007</v>
      </c>
      <c r="U413" s="4">
        <f t="shared" si="33"/>
        <v>0.41682600382409185</v>
      </c>
      <c r="V413" s="5">
        <f t="shared" si="34"/>
        <v>31.971233999999999</v>
      </c>
    </row>
    <row r="414" spans="1:22" x14ac:dyDescent="0.25">
      <c r="A414" s="2" t="s">
        <v>448</v>
      </c>
      <c r="B414" s="2" t="s">
        <v>45</v>
      </c>
      <c r="C414" s="2" t="s">
        <v>33</v>
      </c>
      <c r="D414" s="2" t="s">
        <v>28</v>
      </c>
      <c r="E414" s="2">
        <v>589.54</v>
      </c>
      <c r="F414" s="2">
        <v>10.85</v>
      </c>
      <c r="G414" s="2">
        <v>22.28</v>
      </c>
      <c r="H414" s="2">
        <v>0.1</v>
      </c>
      <c r="I414" s="2">
        <v>0.3</v>
      </c>
      <c r="J414" s="2">
        <v>19</v>
      </c>
      <c r="K414" s="2" t="s">
        <v>29</v>
      </c>
      <c r="L414" s="2">
        <v>9.49</v>
      </c>
      <c r="M414" s="2" t="s">
        <v>22</v>
      </c>
      <c r="N414" s="2">
        <v>86.24</v>
      </c>
      <c r="O414" s="2" t="s">
        <v>24</v>
      </c>
      <c r="P414" s="2">
        <v>4.51</v>
      </c>
      <c r="Q414" s="2">
        <v>6.99</v>
      </c>
      <c r="R414" s="3">
        <f t="shared" si="30"/>
        <v>2658.8253999999997</v>
      </c>
      <c r="S414" s="3">
        <f t="shared" si="31"/>
        <v>4120.8846000000003</v>
      </c>
      <c r="T414" s="3">
        <f t="shared" si="32"/>
        <v>1462.0592000000006</v>
      </c>
      <c r="U414" s="4">
        <f t="shared" si="33"/>
        <v>0.35479256080114463</v>
      </c>
      <c r="V414" s="5">
        <f t="shared" si="34"/>
        <v>55.947345999999996</v>
      </c>
    </row>
    <row r="415" spans="1:22" x14ac:dyDescent="0.25">
      <c r="A415" s="2" t="s">
        <v>449</v>
      </c>
      <c r="B415" s="2" t="s">
        <v>32</v>
      </c>
      <c r="C415" s="2" t="s">
        <v>19</v>
      </c>
      <c r="D415" s="2" t="s">
        <v>20</v>
      </c>
      <c r="E415" s="2">
        <v>436.84</v>
      </c>
      <c r="F415" s="2">
        <v>13.86</v>
      </c>
      <c r="G415" s="2">
        <v>28.22</v>
      </c>
      <c r="H415" s="2">
        <v>1.1000000000000001</v>
      </c>
      <c r="I415" s="2">
        <v>1.8</v>
      </c>
      <c r="J415" s="2">
        <v>3</v>
      </c>
      <c r="K415" s="2" t="s">
        <v>34</v>
      </c>
      <c r="L415" s="2">
        <v>4.09</v>
      </c>
      <c r="M415" s="2" t="s">
        <v>37</v>
      </c>
      <c r="N415" s="2">
        <v>70.08</v>
      </c>
      <c r="O415" s="2" t="s">
        <v>30</v>
      </c>
      <c r="P415" s="2">
        <v>5.0999999999999996</v>
      </c>
      <c r="Q415" s="2">
        <v>9.1</v>
      </c>
      <c r="R415" s="3">
        <f t="shared" si="30"/>
        <v>2227.8839999999996</v>
      </c>
      <c r="S415" s="3">
        <f t="shared" si="31"/>
        <v>3975.2439999999997</v>
      </c>
      <c r="T415" s="3">
        <f t="shared" si="32"/>
        <v>1747.3600000000001</v>
      </c>
      <c r="U415" s="4">
        <f t="shared" si="33"/>
        <v>0.43956043956043961</v>
      </c>
      <c r="V415" s="5">
        <f t="shared" si="34"/>
        <v>17.866755999999999</v>
      </c>
    </row>
    <row r="416" spans="1:22" x14ac:dyDescent="0.25">
      <c r="A416" s="2" t="s">
        <v>450</v>
      </c>
      <c r="B416" s="2" t="s">
        <v>18</v>
      </c>
      <c r="C416" s="2" t="s">
        <v>33</v>
      </c>
      <c r="D416" s="2" t="s">
        <v>20</v>
      </c>
      <c r="E416" s="2">
        <v>525.32000000000005</v>
      </c>
      <c r="F416" s="2">
        <v>9.09</v>
      </c>
      <c r="G416" s="2">
        <v>32.96</v>
      </c>
      <c r="H416" s="2">
        <v>0.7</v>
      </c>
      <c r="I416" s="2">
        <v>1.7</v>
      </c>
      <c r="J416" s="2">
        <v>17</v>
      </c>
      <c r="K416" s="2" t="s">
        <v>34</v>
      </c>
      <c r="L416" s="2">
        <v>8.7799999999999994</v>
      </c>
      <c r="M416" s="2" t="s">
        <v>37</v>
      </c>
      <c r="N416" s="2">
        <v>51.65</v>
      </c>
      <c r="O416" s="2" t="s">
        <v>30</v>
      </c>
      <c r="P416" s="2">
        <v>9.77</v>
      </c>
      <c r="Q416" s="2">
        <v>10.32</v>
      </c>
      <c r="R416" s="3">
        <f t="shared" si="30"/>
        <v>5132.3764000000001</v>
      </c>
      <c r="S416" s="3">
        <f t="shared" si="31"/>
        <v>5421.3024000000005</v>
      </c>
      <c r="T416" s="3">
        <f t="shared" si="32"/>
        <v>288.92600000000039</v>
      </c>
      <c r="U416" s="4">
        <f t="shared" si="33"/>
        <v>5.329457364341092E-2</v>
      </c>
      <c r="V416" s="5">
        <f t="shared" si="34"/>
        <v>46.123096000000004</v>
      </c>
    </row>
    <row r="417" spans="1:22" x14ac:dyDescent="0.25">
      <c r="A417" s="2" t="s">
        <v>451</v>
      </c>
      <c r="B417" s="2" t="s">
        <v>32</v>
      </c>
      <c r="C417" s="2" t="s">
        <v>33</v>
      </c>
      <c r="D417" s="2" t="s">
        <v>28</v>
      </c>
      <c r="E417" s="2">
        <v>582.03</v>
      </c>
      <c r="F417" s="2">
        <v>17.66</v>
      </c>
      <c r="G417" s="2">
        <v>34.24</v>
      </c>
      <c r="H417" s="2">
        <v>4.0999999999999996</v>
      </c>
      <c r="I417" s="2">
        <v>0.3</v>
      </c>
      <c r="J417" s="2">
        <v>14</v>
      </c>
      <c r="K417" s="2" t="s">
        <v>29</v>
      </c>
      <c r="L417" s="2">
        <v>4.24</v>
      </c>
      <c r="M417" s="2" t="s">
        <v>22</v>
      </c>
      <c r="N417" s="2">
        <v>63.69</v>
      </c>
      <c r="O417" s="2" t="s">
        <v>23</v>
      </c>
      <c r="P417" s="2">
        <v>5.0199999999999996</v>
      </c>
      <c r="Q417" s="2">
        <v>12.8</v>
      </c>
      <c r="R417" s="3">
        <f t="shared" si="30"/>
        <v>2921.7905999999998</v>
      </c>
      <c r="S417" s="3">
        <f t="shared" si="31"/>
        <v>7449.9840000000004</v>
      </c>
      <c r="T417" s="3">
        <f t="shared" si="32"/>
        <v>4528.1934000000001</v>
      </c>
      <c r="U417" s="4">
        <f t="shared" si="33"/>
        <v>0.60781249999999998</v>
      </c>
      <c r="V417" s="5">
        <f t="shared" si="34"/>
        <v>24.678072</v>
      </c>
    </row>
    <row r="418" spans="1:22" x14ac:dyDescent="0.25">
      <c r="A418" s="2" t="s">
        <v>452</v>
      </c>
      <c r="B418" s="2" t="s">
        <v>32</v>
      </c>
      <c r="C418" s="2" t="s">
        <v>33</v>
      </c>
      <c r="D418" s="2" t="s">
        <v>28</v>
      </c>
      <c r="E418" s="2">
        <v>496.64</v>
      </c>
      <c r="F418" s="2">
        <v>9.75</v>
      </c>
      <c r="G418" s="2">
        <v>23.57</v>
      </c>
      <c r="H418" s="2">
        <v>1.9</v>
      </c>
      <c r="I418" s="2">
        <v>0.1</v>
      </c>
      <c r="J418" s="2">
        <v>10</v>
      </c>
      <c r="K418" s="2" t="s">
        <v>34</v>
      </c>
      <c r="L418" s="2">
        <v>2.21</v>
      </c>
      <c r="M418" s="2" t="s">
        <v>40</v>
      </c>
      <c r="N418" s="2">
        <v>73.31</v>
      </c>
      <c r="O418" s="2" t="s">
        <v>23</v>
      </c>
      <c r="P418" s="2">
        <v>4.49</v>
      </c>
      <c r="Q418" s="2">
        <v>11.54</v>
      </c>
      <c r="R418" s="3">
        <f t="shared" si="30"/>
        <v>2229.9135999999999</v>
      </c>
      <c r="S418" s="3">
        <f t="shared" si="31"/>
        <v>5731.2255999999998</v>
      </c>
      <c r="T418" s="3">
        <f t="shared" si="32"/>
        <v>3501.3119999999999</v>
      </c>
      <c r="U418" s="4">
        <f t="shared" si="33"/>
        <v>0.61091854419410752</v>
      </c>
      <c r="V418" s="5">
        <f t="shared" si="34"/>
        <v>10.975743999999999</v>
      </c>
    </row>
    <row r="419" spans="1:22" x14ac:dyDescent="0.25">
      <c r="A419" s="2" t="s">
        <v>453</v>
      </c>
      <c r="B419" s="2" t="s">
        <v>45</v>
      </c>
      <c r="C419" s="2" t="s">
        <v>33</v>
      </c>
      <c r="D419" s="2" t="s">
        <v>20</v>
      </c>
      <c r="E419" s="2">
        <v>545.47</v>
      </c>
      <c r="F419" s="2">
        <v>14.48</v>
      </c>
      <c r="G419" s="2">
        <v>21.59</v>
      </c>
      <c r="H419" s="2">
        <v>1.9</v>
      </c>
      <c r="I419" s="2">
        <v>3.9</v>
      </c>
      <c r="J419" s="2">
        <v>13</v>
      </c>
      <c r="K419" s="2" t="s">
        <v>29</v>
      </c>
      <c r="L419" s="2">
        <v>0.53</v>
      </c>
      <c r="M419" s="2" t="s">
        <v>40</v>
      </c>
      <c r="N419" s="2">
        <v>98.72</v>
      </c>
      <c r="O419" s="2" t="s">
        <v>23</v>
      </c>
      <c r="P419" s="2">
        <v>6.75</v>
      </c>
      <c r="Q419" s="2">
        <v>9.27</v>
      </c>
      <c r="R419" s="3">
        <f t="shared" si="30"/>
        <v>3681.9225000000001</v>
      </c>
      <c r="S419" s="3">
        <f t="shared" si="31"/>
        <v>5056.5069000000003</v>
      </c>
      <c r="T419" s="3">
        <f t="shared" si="32"/>
        <v>1374.5844000000002</v>
      </c>
      <c r="U419" s="4">
        <f t="shared" si="33"/>
        <v>0.2718446601941748</v>
      </c>
      <c r="V419" s="5">
        <f t="shared" si="34"/>
        <v>2.8909910000000001</v>
      </c>
    </row>
    <row r="420" spans="1:22" x14ac:dyDescent="0.25">
      <c r="A420" s="2" t="s">
        <v>454</v>
      </c>
      <c r="B420" s="2" t="s">
        <v>26</v>
      </c>
      <c r="C420" s="2" t="s">
        <v>43</v>
      </c>
      <c r="D420" s="2" t="s">
        <v>28</v>
      </c>
      <c r="E420" s="2">
        <v>448.36</v>
      </c>
      <c r="F420" s="2">
        <v>10.45</v>
      </c>
      <c r="G420" s="2">
        <v>38.81</v>
      </c>
      <c r="H420" s="2">
        <v>1.5</v>
      </c>
      <c r="I420" s="2">
        <v>0.4</v>
      </c>
      <c r="J420" s="2">
        <v>22</v>
      </c>
      <c r="K420" s="2" t="s">
        <v>34</v>
      </c>
      <c r="L420" s="2">
        <v>3.64</v>
      </c>
      <c r="M420" s="2" t="s">
        <v>22</v>
      </c>
      <c r="N420" s="2">
        <v>94.06</v>
      </c>
      <c r="O420" s="2" t="s">
        <v>24</v>
      </c>
      <c r="P420" s="2">
        <v>7.7</v>
      </c>
      <c r="Q420" s="2">
        <v>14.74</v>
      </c>
      <c r="R420" s="3">
        <f t="shared" si="30"/>
        <v>3452.3720000000003</v>
      </c>
      <c r="S420" s="3">
        <f t="shared" si="31"/>
        <v>6608.8263999999999</v>
      </c>
      <c r="T420" s="3">
        <f t="shared" si="32"/>
        <v>3156.4543999999996</v>
      </c>
      <c r="U420" s="4">
        <f t="shared" si="33"/>
        <v>0.4776119402985074</v>
      </c>
      <c r="V420" s="5">
        <f t="shared" si="34"/>
        <v>16.320304</v>
      </c>
    </row>
    <row r="421" spans="1:22" x14ac:dyDescent="0.25">
      <c r="A421" s="2" t="s">
        <v>455</v>
      </c>
      <c r="B421" s="2" t="s">
        <v>45</v>
      </c>
      <c r="C421" s="2" t="s">
        <v>27</v>
      </c>
      <c r="D421" s="2" t="s">
        <v>28</v>
      </c>
      <c r="E421" s="2">
        <v>480.35</v>
      </c>
      <c r="F421" s="2">
        <v>15.18</v>
      </c>
      <c r="G421" s="2">
        <v>25.21</v>
      </c>
      <c r="H421" s="2">
        <v>0.2</v>
      </c>
      <c r="I421" s="2">
        <v>2</v>
      </c>
      <c r="J421" s="2">
        <v>4</v>
      </c>
      <c r="K421" s="2" t="s">
        <v>21</v>
      </c>
      <c r="L421" s="2">
        <v>4.0999999999999996</v>
      </c>
      <c r="M421" s="2" t="s">
        <v>40</v>
      </c>
      <c r="N421" s="2">
        <v>59.07</v>
      </c>
      <c r="O421" s="2" t="s">
        <v>24</v>
      </c>
      <c r="P421" s="2">
        <v>8.08</v>
      </c>
      <c r="Q421" s="2">
        <v>6.08</v>
      </c>
      <c r="R421" s="3">
        <f t="shared" si="30"/>
        <v>3881.2280000000001</v>
      </c>
      <c r="S421" s="3">
        <f t="shared" si="31"/>
        <v>2920.5280000000002</v>
      </c>
      <c r="T421" s="3">
        <f t="shared" si="32"/>
        <v>-960.69999999999982</v>
      </c>
      <c r="U421" s="4">
        <f t="shared" si="33"/>
        <v>-0.32894736842105254</v>
      </c>
      <c r="V421" s="5">
        <f t="shared" si="34"/>
        <v>19.69435</v>
      </c>
    </row>
    <row r="422" spans="1:22" x14ac:dyDescent="0.25">
      <c r="A422" s="2" t="s">
        <v>456</v>
      </c>
      <c r="B422" s="2" t="s">
        <v>45</v>
      </c>
      <c r="C422" s="2" t="s">
        <v>43</v>
      </c>
      <c r="D422" s="2" t="s">
        <v>20</v>
      </c>
      <c r="E422" s="2">
        <v>479.41</v>
      </c>
      <c r="F422" s="2">
        <v>15.77</v>
      </c>
      <c r="G422" s="2">
        <v>37.07</v>
      </c>
      <c r="H422" s="2">
        <v>1.2</v>
      </c>
      <c r="I422" s="2">
        <v>0</v>
      </c>
      <c r="J422" s="2">
        <v>11</v>
      </c>
      <c r="K422" s="2" t="s">
        <v>21</v>
      </c>
      <c r="L422" s="2">
        <v>9.48</v>
      </c>
      <c r="M422" s="2" t="s">
        <v>37</v>
      </c>
      <c r="N422" s="2">
        <v>86.16</v>
      </c>
      <c r="O422" s="2" t="s">
        <v>23</v>
      </c>
      <c r="P422" s="2">
        <v>8.2799999999999994</v>
      </c>
      <c r="Q422" s="2">
        <v>7.07</v>
      </c>
      <c r="R422" s="3">
        <f t="shared" si="30"/>
        <v>3969.5147999999999</v>
      </c>
      <c r="S422" s="3">
        <f t="shared" si="31"/>
        <v>3389.4287000000004</v>
      </c>
      <c r="T422" s="3">
        <f t="shared" si="32"/>
        <v>-580.08609999999953</v>
      </c>
      <c r="U422" s="4">
        <f t="shared" si="33"/>
        <v>-0.17114568599717098</v>
      </c>
      <c r="V422" s="5">
        <f t="shared" si="34"/>
        <v>45.448068000000006</v>
      </c>
    </row>
    <row r="423" spans="1:22" x14ac:dyDescent="0.25">
      <c r="A423" s="2" t="s">
        <v>457</v>
      </c>
      <c r="B423" s="2" t="s">
        <v>45</v>
      </c>
      <c r="C423" s="2" t="s">
        <v>19</v>
      </c>
      <c r="D423" s="2" t="s">
        <v>28</v>
      </c>
      <c r="E423" s="2">
        <v>425.34</v>
      </c>
      <c r="F423" s="2">
        <v>14.73</v>
      </c>
      <c r="G423" s="2">
        <v>37.270000000000003</v>
      </c>
      <c r="H423" s="2">
        <v>15.2</v>
      </c>
      <c r="I423" s="2">
        <v>0</v>
      </c>
      <c r="J423" s="2">
        <v>15</v>
      </c>
      <c r="K423" s="2" t="s">
        <v>29</v>
      </c>
      <c r="L423" s="2">
        <v>2.46</v>
      </c>
      <c r="M423" s="2" t="s">
        <v>40</v>
      </c>
      <c r="N423" s="2">
        <v>96.84</v>
      </c>
      <c r="O423" s="2" t="s">
        <v>30</v>
      </c>
      <c r="P423" s="2">
        <v>3.26</v>
      </c>
      <c r="Q423" s="2">
        <v>8.41</v>
      </c>
      <c r="R423" s="3">
        <f t="shared" si="30"/>
        <v>1386.6083999999998</v>
      </c>
      <c r="S423" s="3">
        <f t="shared" si="31"/>
        <v>3577.1093999999998</v>
      </c>
      <c r="T423" s="3">
        <f t="shared" si="32"/>
        <v>2190.5010000000002</v>
      </c>
      <c r="U423" s="4">
        <f t="shared" si="33"/>
        <v>0.61236623067776463</v>
      </c>
      <c r="V423" s="5">
        <f t="shared" si="34"/>
        <v>10.463363999999999</v>
      </c>
    </row>
    <row r="424" spans="1:22" x14ac:dyDescent="0.25">
      <c r="A424" s="2" t="s">
        <v>458</v>
      </c>
      <c r="B424" s="2" t="s">
        <v>45</v>
      </c>
      <c r="C424" s="2" t="s">
        <v>43</v>
      </c>
      <c r="D424" s="2" t="s">
        <v>28</v>
      </c>
      <c r="E424" s="2">
        <v>482.32</v>
      </c>
      <c r="F424" s="2">
        <v>14.14</v>
      </c>
      <c r="G424" s="2">
        <v>35.450000000000003</v>
      </c>
      <c r="H424" s="2">
        <v>3.6</v>
      </c>
      <c r="I424" s="2">
        <v>0.6</v>
      </c>
      <c r="J424" s="2">
        <v>15</v>
      </c>
      <c r="K424" s="2" t="s">
        <v>29</v>
      </c>
      <c r="L424" s="2">
        <v>4.13</v>
      </c>
      <c r="M424" s="2" t="s">
        <v>37</v>
      </c>
      <c r="N424" s="2">
        <v>50.44</v>
      </c>
      <c r="O424" s="2" t="s">
        <v>23</v>
      </c>
      <c r="P424" s="2">
        <v>5.76</v>
      </c>
      <c r="Q424" s="2">
        <v>7.29</v>
      </c>
      <c r="R424" s="3">
        <f t="shared" si="30"/>
        <v>2778.1632</v>
      </c>
      <c r="S424" s="3">
        <f t="shared" si="31"/>
        <v>3516.1127999999999</v>
      </c>
      <c r="T424" s="3">
        <f t="shared" si="32"/>
        <v>737.94959999999992</v>
      </c>
      <c r="U424" s="4">
        <f t="shared" si="33"/>
        <v>0.20987654320987653</v>
      </c>
      <c r="V424" s="5">
        <f t="shared" si="34"/>
        <v>19.919815999999997</v>
      </c>
    </row>
    <row r="425" spans="1:22" x14ac:dyDescent="0.25">
      <c r="A425" s="2" t="s">
        <v>459</v>
      </c>
      <c r="B425" s="2" t="s">
        <v>18</v>
      </c>
      <c r="C425" s="2" t="s">
        <v>43</v>
      </c>
      <c r="D425" s="2" t="s">
        <v>20</v>
      </c>
      <c r="E425" s="2">
        <v>345.14</v>
      </c>
      <c r="F425" s="2">
        <v>16.920000000000002</v>
      </c>
      <c r="G425" s="2">
        <v>23.38</v>
      </c>
      <c r="H425" s="2">
        <v>4.5</v>
      </c>
      <c r="I425" s="2">
        <v>0.3</v>
      </c>
      <c r="J425" s="2">
        <v>24</v>
      </c>
      <c r="K425" s="2" t="s">
        <v>34</v>
      </c>
      <c r="L425" s="2">
        <v>0.74</v>
      </c>
      <c r="M425" s="2" t="s">
        <v>37</v>
      </c>
      <c r="N425" s="2">
        <v>86.05</v>
      </c>
      <c r="O425" s="2" t="s">
        <v>23</v>
      </c>
      <c r="P425" s="2">
        <v>8.42</v>
      </c>
      <c r="Q425" s="2">
        <v>11.25</v>
      </c>
      <c r="R425" s="3">
        <f t="shared" si="30"/>
        <v>2906.0787999999998</v>
      </c>
      <c r="S425" s="3">
        <f t="shared" si="31"/>
        <v>3882.8249999999998</v>
      </c>
      <c r="T425" s="3">
        <f t="shared" si="32"/>
        <v>976.74620000000004</v>
      </c>
      <c r="U425" s="4">
        <f t="shared" si="33"/>
        <v>0.25155555555555559</v>
      </c>
      <c r="V425" s="5">
        <f t="shared" si="34"/>
        <v>2.554036</v>
      </c>
    </row>
    <row r="426" spans="1:22" x14ac:dyDescent="0.25">
      <c r="A426" s="2" t="s">
        <v>460</v>
      </c>
      <c r="B426" s="2" t="s">
        <v>26</v>
      </c>
      <c r="C426" s="2" t="s">
        <v>19</v>
      </c>
      <c r="D426" s="2" t="s">
        <v>20</v>
      </c>
      <c r="E426" s="2">
        <v>450.88</v>
      </c>
      <c r="F426" s="2">
        <v>8.7899999999999991</v>
      </c>
      <c r="G426" s="2">
        <v>36.44</v>
      </c>
      <c r="H426" s="2">
        <v>3.5</v>
      </c>
      <c r="I426" s="2">
        <v>1.2</v>
      </c>
      <c r="J426" s="2">
        <v>2</v>
      </c>
      <c r="K426" s="2" t="s">
        <v>29</v>
      </c>
      <c r="L426" s="2">
        <v>7.75</v>
      </c>
      <c r="M426" s="2" t="s">
        <v>37</v>
      </c>
      <c r="N426" s="2">
        <v>72.97</v>
      </c>
      <c r="O426" s="2" t="s">
        <v>30</v>
      </c>
      <c r="P426" s="2">
        <v>9.33</v>
      </c>
      <c r="Q426" s="2">
        <v>5.4</v>
      </c>
      <c r="R426" s="3">
        <f t="shared" si="30"/>
        <v>4206.7103999999999</v>
      </c>
      <c r="S426" s="3">
        <f t="shared" si="31"/>
        <v>2434.752</v>
      </c>
      <c r="T426" s="3">
        <f t="shared" si="32"/>
        <v>-1771.9584</v>
      </c>
      <c r="U426" s="4">
        <f t="shared" si="33"/>
        <v>-0.72777777777777775</v>
      </c>
      <c r="V426" s="5">
        <f t="shared" si="34"/>
        <v>34.943200000000004</v>
      </c>
    </row>
    <row r="427" spans="1:22" x14ac:dyDescent="0.25">
      <c r="A427" s="2" t="s">
        <v>461</v>
      </c>
      <c r="B427" s="2" t="s">
        <v>32</v>
      </c>
      <c r="C427" s="2" t="s">
        <v>19</v>
      </c>
      <c r="D427" s="2" t="s">
        <v>28</v>
      </c>
      <c r="E427" s="2">
        <v>471.51</v>
      </c>
      <c r="F427" s="2">
        <v>11.31</v>
      </c>
      <c r="G427" s="2">
        <v>35.39</v>
      </c>
      <c r="H427" s="2">
        <v>0.2</v>
      </c>
      <c r="I427" s="2">
        <v>0.8</v>
      </c>
      <c r="J427" s="2">
        <v>11</v>
      </c>
      <c r="K427" s="2" t="s">
        <v>29</v>
      </c>
      <c r="L427" s="2">
        <v>9.19</v>
      </c>
      <c r="M427" s="2" t="s">
        <v>37</v>
      </c>
      <c r="N427" s="2">
        <v>84.01</v>
      </c>
      <c r="O427" s="2" t="s">
        <v>30</v>
      </c>
      <c r="P427" s="2">
        <v>7.22</v>
      </c>
      <c r="Q427" s="2">
        <v>6.77</v>
      </c>
      <c r="R427" s="3">
        <f t="shared" si="30"/>
        <v>3404.3021999999996</v>
      </c>
      <c r="S427" s="3">
        <f t="shared" si="31"/>
        <v>3192.1226999999999</v>
      </c>
      <c r="T427" s="3">
        <f t="shared" si="32"/>
        <v>-212.17949999999973</v>
      </c>
      <c r="U427" s="4">
        <f t="shared" si="33"/>
        <v>-6.6469719350073772E-2</v>
      </c>
      <c r="V427" s="5">
        <f t="shared" si="34"/>
        <v>43.331768999999994</v>
      </c>
    </row>
    <row r="428" spans="1:22" x14ac:dyDescent="0.25">
      <c r="A428" s="2" t="s">
        <v>462</v>
      </c>
      <c r="B428" s="2" t="s">
        <v>32</v>
      </c>
      <c r="C428" s="2" t="s">
        <v>19</v>
      </c>
      <c r="D428" s="2" t="s">
        <v>28</v>
      </c>
      <c r="E428" s="2">
        <v>474.38</v>
      </c>
      <c r="F428" s="2">
        <v>10.48</v>
      </c>
      <c r="G428" s="2">
        <v>31.93</v>
      </c>
      <c r="H428" s="2">
        <v>0.5</v>
      </c>
      <c r="I428" s="2">
        <v>0.1</v>
      </c>
      <c r="J428" s="2">
        <v>2</v>
      </c>
      <c r="K428" s="2" t="s">
        <v>34</v>
      </c>
      <c r="L428" s="2">
        <v>2.76</v>
      </c>
      <c r="M428" s="2" t="s">
        <v>40</v>
      </c>
      <c r="N428" s="2">
        <v>80.28</v>
      </c>
      <c r="O428" s="2" t="s">
        <v>30</v>
      </c>
      <c r="P428" s="2">
        <v>3.37</v>
      </c>
      <c r="Q428" s="2">
        <v>7.93</v>
      </c>
      <c r="R428" s="3">
        <f t="shared" si="30"/>
        <v>1598.6605999999999</v>
      </c>
      <c r="S428" s="3">
        <f t="shared" si="31"/>
        <v>3761.8334</v>
      </c>
      <c r="T428" s="3">
        <f t="shared" si="32"/>
        <v>2163.1728000000003</v>
      </c>
      <c r="U428" s="4">
        <f t="shared" si="33"/>
        <v>0.5750315258511981</v>
      </c>
      <c r="V428" s="5">
        <f t="shared" si="34"/>
        <v>13.092887999999999</v>
      </c>
    </row>
    <row r="429" spans="1:22" x14ac:dyDescent="0.25">
      <c r="A429" s="2" t="s">
        <v>463</v>
      </c>
      <c r="B429" s="2" t="s">
        <v>26</v>
      </c>
      <c r="C429" s="2" t="s">
        <v>43</v>
      </c>
      <c r="D429" s="2" t="s">
        <v>20</v>
      </c>
      <c r="E429" s="2">
        <v>475.85</v>
      </c>
      <c r="F429" s="2">
        <v>17.88</v>
      </c>
      <c r="G429" s="2">
        <v>26.74</v>
      </c>
      <c r="H429" s="2">
        <v>0</v>
      </c>
      <c r="I429" s="2">
        <v>0.2</v>
      </c>
      <c r="J429" s="2">
        <v>23</v>
      </c>
      <c r="K429" s="2" t="s">
        <v>29</v>
      </c>
      <c r="L429" s="2">
        <v>4.58</v>
      </c>
      <c r="M429" s="2" t="s">
        <v>37</v>
      </c>
      <c r="N429" s="2">
        <v>99.23</v>
      </c>
      <c r="O429" s="2" t="s">
        <v>30</v>
      </c>
      <c r="P429" s="2">
        <v>5.78</v>
      </c>
      <c r="Q429" s="2">
        <v>11.83</v>
      </c>
      <c r="R429" s="3">
        <f t="shared" si="30"/>
        <v>2750.4130000000005</v>
      </c>
      <c r="S429" s="3">
        <f t="shared" si="31"/>
        <v>5629.3055000000004</v>
      </c>
      <c r="T429" s="3">
        <f t="shared" si="32"/>
        <v>2878.8924999999999</v>
      </c>
      <c r="U429" s="4">
        <f t="shared" si="33"/>
        <v>0.511411665257819</v>
      </c>
      <c r="V429" s="5">
        <f t="shared" si="34"/>
        <v>21.79393</v>
      </c>
    </row>
    <row r="430" spans="1:22" x14ac:dyDescent="0.25">
      <c r="A430" s="2" t="s">
        <v>464</v>
      </c>
      <c r="B430" s="2" t="s">
        <v>32</v>
      </c>
      <c r="C430" s="2" t="s">
        <v>43</v>
      </c>
      <c r="D430" s="2" t="s">
        <v>28</v>
      </c>
      <c r="E430" s="2">
        <v>493.82</v>
      </c>
      <c r="F430" s="2">
        <v>11.89</v>
      </c>
      <c r="G430" s="2">
        <v>25.25</v>
      </c>
      <c r="H430" s="2">
        <v>0.7</v>
      </c>
      <c r="I430" s="2">
        <v>0.5</v>
      </c>
      <c r="J430" s="2">
        <v>29</v>
      </c>
      <c r="K430" s="2" t="s">
        <v>29</v>
      </c>
      <c r="L430" s="2">
        <v>1.66</v>
      </c>
      <c r="M430" s="2" t="s">
        <v>22</v>
      </c>
      <c r="N430" s="2">
        <v>64.44</v>
      </c>
      <c r="O430" s="2" t="s">
        <v>24</v>
      </c>
      <c r="P430" s="2">
        <v>3.52</v>
      </c>
      <c r="Q430" s="2">
        <v>13.76</v>
      </c>
      <c r="R430" s="3">
        <f t="shared" si="30"/>
        <v>1738.2464</v>
      </c>
      <c r="S430" s="3">
        <f t="shared" si="31"/>
        <v>6794.9632000000001</v>
      </c>
      <c r="T430" s="3">
        <f t="shared" si="32"/>
        <v>5056.7168000000001</v>
      </c>
      <c r="U430" s="4">
        <f t="shared" si="33"/>
        <v>0.7441860465116279</v>
      </c>
      <c r="V430" s="5">
        <f t="shared" si="34"/>
        <v>8.1974119999999999</v>
      </c>
    </row>
    <row r="431" spans="1:22" x14ac:dyDescent="0.25">
      <c r="A431" s="2" t="s">
        <v>465</v>
      </c>
      <c r="B431" s="2" t="s">
        <v>26</v>
      </c>
      <c r="C431" s="2" t="s">
        <v>19</v>
      </c>
      <c r="D431" s="2" t="s">
        <v>28</v>
      </c>
      <c r="E431" s="2">
        <v>547.94000000000005</v>
      </c>
      <c r="F431" s="2">
        <v>15.33</v>
      </c>
      <c r="G431" s="2">
        <v>22.44</v>
      </c>
      <c r="H431" s="2">
        <v>0.2</v>
      </c>
      <c r="I431" s="2">
        <v>0.2</v>
      </c>
      <c r="J431" s="2">
        <v>5</v>
      </c>
      <c r="K431" s="2" t="s">
        <v>21</v>
      </c>
      <c r="L431" s="2">
        <v>4.84</v>
      </c>
      <c r="M431" s="2" t="s">
        <v>37</v>
      </c>
      <c r="N431" s="2">
        <v>89.31</v>
      </c>
      <c r="O431" s="2" t="s">
        <v>24</v>
      </c>
      <c r="P431" s="2">
        <v>8.24</v>
      </c>
      <c r="Q431" s="2">
        <v>12.98</v>
      </c>
      <c r="R431" s="3">
        <f t="shared" si="30"/>
        <v>4515.0256000000008</v>
      </c>
      <c r="S431" s="3">
        <f t="shared" si="31"/>
        <v>7112.2612000000008</v>
      </c>
      <c r="T431" s="3">
        <f t="shared" si="32"/>
        <v>2597.2356</v>
      </c>
      <c r="U431" s="4">
        <f t="shared" si="33"/>
        <v>0.3651771956856702</v>
      </c>
      <c r="V431" s="5">
        <f t="shared" si="34"/>
        <v>26.520296000000002</v>
      </c>
    </row>
    <row r="432" spans="1:22" x14ac:dyDescent="0.25">
      <c r="A432" s="2" t="s">
        <v>466</v>
      </c>
      <c r="B432" s="2" t="s">
        <v>32</v>
      </c>
      <c r="C432" s="2" t="s">
        <v>27</v>
      </c>
      <c r="D432" s="2" t="s">
        <v>28</v>
      </c>
      <c r="E432" s="2">
        <v>587.45000000000005</v>
      </c>
      <c r="F432" s="2">
        <v>14.85</v>
      </c>
      <c r="G432" s="2">
        <v>30.2</v>
      </c>
      <c r="H432" s="2">
        <v>1.3</v>
      </c>
      <c r="I432" s="2">
        <v>1.6</v>
      </c>
      <c r="J432" s="2">
        <v>13</v>
      </c>
      <c r="K432" s="2" t="s">
        <v>21</v>
      </c>
      <c r="L432" s="2">
        <v>1.77</v>
      </c>
      <c r="M432" s="2" t="s">
        <v>22</v>
      </c>
      <c r="N432" s="2">
        <v>61.73</v>
      </c>
      <c r="O432" s="2" t="s">
        <v>23</v>
      </c>
      <c r="P432" s="2">
        <v>3.44</v>
      </c>
      <c r="Q432" s="2">
        <v>6.82</v>
      </c>
      <c r="R432" s="3">
        <f t="shared" si="30"/>
        <v>2020.8280000000002</v>
      </c>
      <c r="S432" s="3">
        <f t="shared" si="31"/>
        <v>4006.4090000000006</v>
      </c>
      <c r="T432" s="3">
        <f t="shared" si="32"/>
        <v>1985.5810000000004</v>
      </c>
      <c r="U432" s="4">
        <f t="shared" si="33"/>
        <v>0.49560117302052786</v>
      </c>
      <c r="V432" s="5">
        <f t="shared" si="34"/>
        <v>10.397865000000001</v>
      </c>
    </row>
    <row r="433" spans="1:22" x14ac:dyDescent="0.25">
      <c r="A433" s="2" t="s">
        <v>467</v>
      </c>
      <c r="B433" s="2" t="s">
        <v>45</v>
      </c>
      <c r="C433" s="2" t="s">
        <v>27</v>
      </c>
      <c r="D433" s="2" t="s">
        <v>20</v>
      </c>
      <c r="E433" s="2">
        <v>435.02</v>
      </c>
      <c r="F433" s="2">
        <v>10.119999999999999</v>
      </c>
      <c r="G433" s="2">
        <v>31.71</v>
      </c>
      <c r="H433" s="2">
        <v>2.2999999999999998</v>
      </c>
      <c r="I433" s="2">
        <v>0.5</v>
      </c>
      <c r="J433" s="2">
        <v>1</v>
      </c>
      <c r="K433" s="2" t="s">
        <v>21</v>
      </c>
      <c r="L433" s="2">
        <v>5.47</v>
      </c>
      <c r="M433" s="2" t="s">
        <v>37</v>
      </c>
      <c r="N433" s="2">
        <v>71.78</v>
      </c>
      <c r="O433" s="2" t="s">
        <v>24</v>
      </c>
      <c r="P433" s="2">
        <v>4.3</v>
      </c>
      <c r="Q433" s="2">
        <v>10.65</v>
      </c>
      <c r="R433" s="3">
        <f t="shared" si="30"/>
        <v>1870.5859999999998</v>
      </c>
      <c r="S433" s="3">
        <f t="shared" si="31"/>
        <v>4632.9629999999997</v>
      </c>
      <c r="T433" s="3">
        <f t="shared" si="32"/>
        <v>2762.377</v>
      </c>
      <c r="U433" s="4">
        <f t="shared" si="33"/>
        <v>0.59624413145539912</v>
      </c>
      <c r="V433" s="5">
        <f t="shared" si="34"/>
        <v>23.795593999999998</v>
      </c>
    </row>
    <row r="434" spans="1:22" x14ac:dyDescent="0.25">
      <c r="A434" s="2" t="s">
        <v>468</v>
      </c>
      <c r="B434" s="2" t="s">
        <v>32</v>
      </c>
      <c r="C434" s="2" t="s">
        <v>33</v>
      </c>
      <c r="D434" s="2" t="s">
        <v>28</v>
      </c>
      <c r="E434" s="2">
        <v>379.68</v>
      </c>
      <c r="F434" s="2">
        <v>10.39</v>
      </c>
      <c r="G434" s="2">
        <v>27.19</v>
      </c>
      <c r="H434" s="2">
        <v>4.2</v>
      </c>
      <c r="I434" s="2">
        <v>0.1</v>
      </c>
      <c r="J434" s="2">
        <v>7</v>
      </c>
      <c r="K434" s="2" t="s">
        <v>29</v>
      </c>
      <c r="L434" s="2">
        <v>7.48</v>
      </c>
      <c r="M434" s="2" t="s">
        <v>37</v>
      </c>
      <c r="N434" s="2">
        <v>98.77</v>
      </c>
      <c r="O434" s="2" t="s">
        <v>23</v>
      </c>
      <c r="P434" s="2">
        <v>5.92</v>
      </c>
      <c r="Q434" s="2">
        <v>5.3</v>
      </c>
      <c r="R434" s="3">
        <f t="shared" si="30"/>
        <v>2247.7056000000002</v>
      </c>
      <c r="S434" s="3">
        <f t="shared" si="31"/>
        <v>2012.3039999999999</v>
      </c>
      <c r="T434" s="3">
        <f t="shared" si="32"/>
        <v>-235.40160000000037</v>
      </c>
      <c r="U434" s="4">
        <f t="shared" si="33"/>
        <v>-0.11698113207547189</v>
      </c>
      <c r="V434" s="5">
        <f t="shared" si="34"/>
        <v>28.400064</v>
      </c>
    </row>
    <row r="435" spans="1:22" x14ac:dyDescent="0.25">
      <c r="A435" s="2" t="s">
        <v>469</v>
      </c>
      <c r="B435" s="2" t="s">
        <v>26</v>
      </c>
      <c r="C435" s="2" t="s">
        <v>19</v>
      </c>
      <c r="D435" s="2" t="s">
        <v>28</v>
      </c>
      <c r="E435" s="2">
        <v>395.8</v>
      </c>
      <c r="F435" s="2">
        <v>10.81</v>
      </c>
      <c r="G435" s="2">
        <v>29.51</v>
      </c>
      <c r="H435" s="2">
        <v>2.8</v>
      </c>
      <c r="I435" s="2">
        <v>0.7</v>
      </c>
      <c r="J435" s="2">
        <v>7</v>
      </c>
      <c r="K435" s="2" t="s">
        <v>34</v>
      </c>
      <c r="L435" s="2">
        <v>5.76</v>
      </c>
      <c r="M435" s="2" t="s">
        <v>40</v>
      </c>
      <c r="N435" s="2">
        <v>88.31</v>
      </c>
      <c r="O435" s="2" t="s">
        <v>23</v>
      </c>
      <c r="P435" s="2">
        <v>6.24</v>
      </c>
      <c r="Q435" s="2">
        <v>8.11</v>
      </c>
      <c r="R435" s="3">
        <f t="shared" si="30"/>
        <v>2469.7920000000004</v>
      </c>
      <c r="S435" s="3">
        <f t="shared" si="31"/>
        <v>3209.9379999999996</v>
      </c>
      <c r="T435" s="3">
        <f t="shared" si="32"/>
        <v>740.14599999999928</v>
      </c>
      <c r="U435" s="4">
        <f t="shared" si="33"/>
        <v>0.23057953144266319</v>
      </c>
      <c r="V435" s="5">
        <f t="shared" si="34"/>
        <v>22.798079999999999</v>
      </c>
    </row>
    <row r="436" spans="1:22" x14ac:dyDescent="0.25">
      <c r="A436" s="2" t="s">
        <v>470</v>
      </c>
      <c r="B436" s="2" t="s">
        <v>26</v>
      </c>
      <c r="C436" s="2" t="s">
        <v>33</v>
      </c>
      <c r="D436" s="2" t="s">
        <v>20</v>
      </c>
      <c r="E436" s="2">
        <v>451.28</v>
      </c>
      <c r="F436" s="2">
        <v>12.11</v>
      </c>
      <c r="G436" s="2">
        <v>27.27</v>
      </c>
      <c r="H436" s="2">
        <v>5.6</v>
      </c>
      <c r="I436" s="2">
        <v>0.1</v>
      </c>
      <c r="J436" s="2">
        <v>10</v>
      </c>
      <c r="K436" s="2" t="s">
        <v>21</v>
      </c>
      <c r="L436" s="2">
        <v>2.83</v>
      </c>
      <c r="M436" s="2" t="s">
        <v>37</v>
      </c>
      <c r="N436" s="2">
        <v>65.790000000000006</v>
      </c>
      <c r="O436" s="2" t="s">
        <v>30</v>
      </c>
      <c r="P436" s="2">
        <v>5.85</v>
      </c>
      <c r="Q436" s="2">
        <v>13.06</v>
      </c>
      <c r="R436" s="3">
        <f t="shared" si="30"/>
        <v>2639.9879999999998</v>
      </c>
      <c r="S436" s="3">
        <f t="shared" si="31"/>
        <v>5893.7168000000001</v>
      </c>
      <c r="T436" s="3">
        <f t="shared" si="32"/>
        <v>3253.7288000000003</v>
      </c>
      <c r="U436" s="4">
        <f t="shared" si="33"/>
        <v>0.55206738131699851</v>
      </c>
      <c r="V436" s="5">
        <f t="shared" si="34"/>
        <v>12.771224</v>
      </c>
    </row>
    <row r="437" spans="1:22" x14ac:dyDescent="0.25">
      <c r="A437" s="2" t="s">
        <v>471</v>
      </c>
      <c r="B437" s="2" t="s">
        <v>26</v>
      </c>
      <c r="C437" s="2" t="s">
        <v>27</v>
      </c>
      <c r="D437" s="2" t="s">
        <v>28</v>
      </c>
      <c r="E437" s="2">
        <v>464.81</v>
      </c>
      <c r="F437" s="2">
        <v>10.34</v>
      </c>
      <c r="G437" s="2">
        <v>32.82</v>
      </c>
      <c r="H437" s="2">
        <v>0.1</v>
      </c>
      <c r="I437" s="2">
        <v>0.1</v>
      </c>
      <c r="J437" s="2">
        <v>6</v>
      </c>
      <c r="K437" s="2" t="s">
        <v>29</v>
      </c>
      <c r="L437" s="2">
        <v>3.86</v>
      </c>
      <c r="M437" s="2" t="s">
        <v>37</v>
      </c>
      <c r="N437" s="2">
        <v>80.97</v>
      </c>
      <c r="O437" s="2" t="s">
        <v>30</v>
      </c>
      <c r="P437" s="2">
        <v>6.24</v>
      </c>
      <c r="Q437" s="2">
        <v>9.57</v>
      </c>
      <c r="R437" s="3">
        <f t="shared" si="30"/>
        <v>2900.4144000000001</v>
      </c>
      <c r="S437" s="3">
        <f t="shared" si="31"/>
        <v>4448.2317000000003</v>
      </c>
      <c r="T437" s="3">
        <f t="shared" si="32"/>
        <v>1547.8173000000002</v>
      </c>
      <c r="U437" s="4">
        <f t="shared" si="33"/>
        <v>0.34796238244514111</v>
      </c>
      <c r="V437" s="5">
        <f t="shared" si="34"/>
        <v>17.941666000000001</v>
      </c>
    </row>
    <row r="438" spans="1:22" x14ac:dyDescent="0.25">
      <c r="A438" s="2" t="s">
        <v>472</v>
      </c>
      <c r="B438" s="2" t="s">
        <v>26</v>
      </c>
      <c r="C438" s="2" t="s">
        <v>33</v>
      </c>
      <c r="D438" s="2" t="s">
        <v>28</v>
      </c>
      <c r="E438" s="2">
        <v>423</v>
      </c>
      <c r="F438" s="2">
        <v>8.1999999999999993</v>
      </c>
      <c r="G438" s="2">
        <v>38.03</v>
      </c>
      <c r="H438" s="2">
        <v>0</v>
      </c>
      <c r="I438" s="2">
        <v>0.3</v>
      </c>
      <c r="J438" s="2">
        <v>20</v>
      </c>
      <c r="K438" s="2" t="s">
        <v>21</v>
      </c>
      <c r="L438" s="2">
        <v>6.57</v>
      </c>
      <c r="M438" s="2" t="s">
        <v>40</v>
      </c>
      <c r="N438" s="2">
        <v>52.48</v>
      </c>
      <c r="O438" s="2" t="s">
        <v>24</v>
      </c>
      <c r="P438" s="2">
        <v>7.99</v>
      </c>
      <c r="Q438" s="2">
        <v>6.5</v>
      </c>
      <c r="R438" s="3">
        <f t="shared" si="30"/>
        <v>3379.77</v>
      </c>
      <c r="S438" s="3">
        <f t="shared" si="31"/>
        <v>2749.5</v>
      </c>
      <c r="T438" s="3">
        <f t="shared" si="32"/>
        <v>-630.27</v>
      </c>
      <c r="U438" s="4">
        <f t="shared" si="33"/>
        <v>-0.22923076923076924</v>
      </c>
      <c r="V438" s="5">
        <f t="shared" si="34"/>
        <v>27.7911</v>
      </c>
    </row>
    <row r="439" spans="1:22" x14ac:dyDescent="0.25">
      <c r="A439" s="2" t="s">
        <v>473</v>
      </c>
      <c r="B439" s="2" t="s">
        <v>26</v>
      </c>
      <c r="C439" s="2" t="s">
        <v>19</v>
      </c>
      <c r="D439" s="2" t="s">
        <v>20</v>
      </c>
      <c r="E439" s="2">
        <v>370.39</v>
      </c>
      <c r="F439" s="2">
        <v>16.79</v>
      </c>
      <c r="G439" s="2">
        <v>23.28</v>
      </c>
      <c r="H439" s="2">
        <v>2.2000000000000002</v>
      </c>
      <c r="I439" s="2">
        <v>2</v>
      </c>
      <c r="J439" s="2">
        <v>12</v>
      </c>
      <c r="K439" s="2" t="s">
        <v>34</v>
      </c>
      <c r="L439" s="2">
        <v>6.1</v>
      </c>
      <c r="M439" s="2" t="s">
        <v>40</v>
      </c>
      <c r="N439" s="2">
        <v>63.32</v>
      </c>
      <c r="O439" s="2" t="s">
        <v>24</v>
      </c>
      <c r="P439" s="2">
        <v>5.58</v>
      </c>
      <c r="Q439" s="2">
        <v>9.39</v>
      </c>
      <c r="R439" s="3">
        <f t="shared" si="30"/>
        <v>2066.7761999999998</v>
      </c>
      <c r="S439" s="3">
        <f t="shared" si="31"/>
        <v>3477.9621000000002</v>
      </c>
      <c r="T439" s="3">
        <f t="shared" si="32"/>
        <v>1411.1859000000004</v>
      </c>
      <c r="U439" s="4">
        <f t="shared" si="33"/>
        <v>0.40575079872204484</v>
      </c>
      <c r="V439" s="5">
        <f t="shared" si="34"/>
        <v>22.593789999999998</v>
      </c>
    </row>
    <row r="440" spans="1:22" x14ac:dyDescent="0.25">
      <c r="A440" s="2" t="s">
        <v>474</v>
      </c>
      <c r="B440" s="2" t="s">
        <v>18</v>
      </c>
      <c r="C440" s="2" t="s">
        <v>19</v>
      </c>
      <c r="D440" s="2" t="s">
        <v>20</v>
      </c>
      <c r="E440" s="2">
        <v>454.39</v>
      </c>
      <c r="F440" s="2">
        <v>17.66</v>
      </c>
      <c r="G440" s="2">
        <v>27.63</v>
      </c>
      <c r="H440" s="2">
        <v>0.7</v>
      </c>
      <c r="I440" s="2">
        <v>2.6</v>
      </c>
      <c r="J440" s="2">
        <v>13</v>
      </c>
      <c r="K440" s="2" t="s">
        <v>34</v>
      </c>
      <c r="L440" s="2">
        <v>1.8</v>
      </c>
      <c r="M440" s="2" t="s">
        <v>22</v>
      </c>
      <c r="N440" s="2">
        <v>85.92</v>
      </c>
      <c r="O440" s="2" t="s">
        <v>24</v>
      </c>
      <c r="P440" s="2">
        <v>6.83</v>
      </c>
      <c r="Q440" s="2">
        <v>6.98</v>
      </c>
      <c r="R440" s="3">
        <f t="shared" si="30"/>
        <v>3103.4836999999998</v>
      </c>
      <c r="S440" s="3">
        <f t="shared" si="31"/>
        <v>3171.6422000000002</v>
      </c>
      <c r="T440" s="3">
        <f t="shared" si="32"/>
        <v>68.158500000000458</v>
      </c>
      <c r="U440" s="4">
        <f t="shared" si="33"/>
        <v>2.1489971346705015E-2</v>
      </c>
      <c r="V440" s="5">
        <f t="shared" si="34"/>
        <v>8.1790200000000013</v>
      </c>
    </row>
    <row r="441" spans="1:22" x14ac:dyDescent="0.25">
      <c r="A441" s="2" t="s">
        <v>475</v>
      </c>
      <c r="B441" s="2" t="s">
        <v>18</v>
      </c>
      <c r="C441" s="2" t="s">
        <v>19</v>
      </c>
      <c r="D441" s="2" t="s">
        <v>20</v>
      </c>
      <c r="E441" s="2">
        <v>518.14</v>
      </c>
      <c r="F441" s="2">
        <v>11.42</v>
      </c>
      <c r="G441" s="2">
        <v>22.82</v>
      </c>
      <c r="H441" s="2">
        <v>0.6</v>
      </c>
      <c r="I441" s="2">
        <v>1.8</v>
      </c>
      <c r="J441" s="2">
        <v>24</v>
      </c>
      <c r="K441" s="2" t="s">
        <v>34</v>
      </c>
      <c r="L441" s="2">
        <v>8.5299999999999994</v>
      </c>
      <c r="M441" s="2" t="s">
        <v>40</v>
      </c>
      <c r="N441" s="2">
        <v>78.5</v>
      </c>
      <c r="O441" s="2" t="s">
        <v>24</v>
      </c>
      <c r="P441" s="2">
        <v>5.12</v>
      </c>
      <c r="Q441" s="2">
        <v>8.93</v>
      </c>
      <c r="R441" s="3">
        <f t="shared" si="30"/>
        <v>2652.8768</v>
      </c>
      <c r="S441" s="3">
        <f t="shared" si="31"/>
        <v>4626.9901999999993</v>
      </c>
      <c r="T441" s="3">
        <f t="shared" si="32"/>
        <v>1974.1133999999993</v>
      </c>
      <c r="U441" s="4">
        <f t="shared" si="33"/>
        <v>0.42665173572228432</v>
      </c>
      <c r="V441" s="5">
        <f t="shared" si="34"/>
        <v>44.197341999999999</v>
      </c>
    </row>
    <row r="442" spans="1:22" x14ac:dyDescent="0.25">
      <c r="A442" s="2" t="s">
        <v>476</v>
      </c>
      <c r="B442" s="2" t="s">
        <v>32</v>
      </c>
      <c r="C442" s="2" t="s">
        <v>43</v>
      </c>
      <c r="D442" s="2" t="s">
        <v>20</v>
      </c>
      <c r="E442" s="2">
        <v>559.5</v>
      </c>
      <c r="F442" s="2">
        <v>11.39</v>
      </c>
      <c r="G442" s="2">
        <v>32.5</v>
      </c>
      <c r="H442" s="2">
        <v>0.8</v>
      </c>
      <c r="I442" s="2">
        <v>0.4</v>
      </c>
      <c r="J442" s="2">
        <v>28</v>
      </c>
      <c r="K442" s="2" t="s">
        <v>34</v>
      </c>
      <c r="L442" s="2">
        <v>5.01</v>
      </c>
      <c r="M442" s="2" t="s">
        <v>22</v>
      </c>
      <c r="N442" s="2">
        <v>73.48</v>
      </c>
      <c r="O442" s="2" t="s">
        <v>30</v>
      </c>
      <c r="P442" s="2">
        <v>5.48</v>
      </c>
      <c r="Q442" s="2">
        <v>9.8800000000000008</v>
      </c>
      <c r="R442" s="3">
        <f t="shared" si="30"/>
        <v>3066.0600000000004</v>
      </c>
      <c r="S442" s="3">
        <f t="shared" si="31"/>
        <v>5527.8600000000006</v>
      </c>
      <c r="T442" s="3">
        <f t="shared" si="32"/>
        <v>2461.8000000000002</v>
      </c>
      <c r="U442" s="4">
        <f t="shared" si="33"/>
        <v>0.44534412955465585</v>
      </c>
      <c r="V442" s="5">
        <f t="shared" si="34"/>
        <v>28.030949999999997</v>
      </c>
    </row>
    <row r="443" spans="1:22" x14ac:dyDescent="0.25">
      <c r="A443" s="2" t="s">
        <v>477</v>
      </c>
      <c r="B443" s="2" t="s">
        <v>26</v>
      </c>
      <c r="C443" s="2" t="s">
        <v>33</v>
      </c>
      <c r="D443" s="2" t="s">
        <v>28</v>
      </c>
      <c r="E443" s="2">
        <v>444.26</v>
      </c>
      <c r="F443" s="2">
        <v>8.07</v>
      </c>
      <c r="G443" s="2">
        <v>34.58</v>
      </c>
      <c r="H443" s="2">
        <v>0.6</v>
      </c>
      <c r="I443" s="2">
        <v>0.3</v>
      </c>
      <c r="J443" s="2">
        <v>11</v>
      </c>
      <c r="K443" s="2" t="s">
        <v>34</v>
      </c>
      <c r="L443" s="2">
        <v>2.04</v>
      </c>
      <c r="M443" s="2" t="s">
        <v>37</v>
      </c>
      <c r="N443" s="2">
        <v>84.54</v>
      </c>
      <c r="O443" s="2" t="s">
        <v>30</v>
      </c>
      <c r="P443" s="2">
        <v>7.3</v>
      </c>
      <c r="Q443" s="2">
        <v>8.5</v>
      </c>
      <c r="R443" s="3">
        <f t="shared" si="30"/>
        <v>3243.098</v>
      </c>
      <c r="S443" s="3">
        <f t="shared" si="31"/>
        <v>3776.21</v>
      </c>
      <c r="T443" s="3">
        <f t="shared" si="32"/>
        <v>533.11200000000008</v>
      </c>
      <c r="U443" s="4">
        <f t="shared" si="33"/>
        <v>0.14117647058823532</v>
      </c>
      <c r="V443" s="5">
        <f t="shared" si="34"/>
        <v>9.0629039999999996</v>
      </c>
    </row>
    <row r="444" spans="1:22" x14ac:dyDescent="0.25">
      <c r="A444" s="2" t="s">
        <v>478</v>
      </c>
      <c r="B444" s="2" t="s">
        <v>32</v>
      </c>
      <c r="C444" s="2" t="s">
        <v>27</v>
      </c>
      <c r="D444" s="2" t="s">
        <v>28</v>
      </c>
      <c r="E444" s="2">
        <v>458.7</v>
      </c>
      <c r="F444" s="2">
        <v>14.8</v>
      </c>
      <c r="G444" s="2">
        <v>38.64</v>
      </c>
      <c r="H444" s="2">
        <v>1.4</v>
      </c>
      <c r="I444" s="2">
        <v>0.8</v>
      </c>
      <c r="J444" s="2">
        <v>18</v>
      </c>
      <c r="K444" s="2" t="s">
        <v>34</v>
      </c>
      <c r="L444" s="2">
        <v>1.67</v>
      </c>
      <c r="M444" s="2" t="s">
        <v>22</v>
      </c>
      <c r="N444" s="2">
        <v>69.92</v>
      </c>
      <c r="O444" s="2" t="s">
        <v>24</v>
      </c>
      <c r="P444" s="2">
        <v>6.43</v>
      </c>
      <c r="Q444" s="2">
        <v>14.37</v>
      </c>
      <c r="R444" s="3">
        <f t="shared" si="30"/>
        <v>2949.4409999999998</v>
      </c>
      <c r="S444" s="3">
        <f t="shared" si="31"/>
        <v>6591.5189999999993</v>
      </c>
      <c r="T444" s="3">
        <f t="shared" si="32"/>
        <v>3642.0779999999995</v>
      </c>
      <c r="U444" s="4">
        <f t="shared" si="33"/>
        <v>0.55254001391788443</v>
      </c>
      <c r="V444" s="5">
        <f t="shared" si="34"/>
        <v>7.6602899999999998</v>
      </c>
    </row>
    <row r="445" spans="1:22" x14ac:dyDescent="0.25">
      <c r="A445" s="2" t="s">
        <v>479</v>
      </c>
      <c r="B445" s="2" t="s">
        <v>26</v>
      </c>
      <c r="C445" s="2" t="s">
        <v>27</v>
      </c>
      <c r="D445" s="2" t="s">
        <v>20</v>
      </c>
      <c r="E445" s="2">
        <v>407.33</v>
      </c>
      <c r="F445" s="2">
        <v>16.25</v>
      </c>
      <c r="G445" s="2">
        <v>25.58</v>
      </c>
      <c r="H445" s="2">
        <v>1.2</v>
      </c>
      <c r="I445" s="2">
        <v>1.3</v>
      </c>
      <c r="J445" s="2">
        <v>2</v>
      </c>
      <c r="K445" s="2" t="s">
        <v>29</v>
      </c>
      <c r="L445" s="2">
        <v>9.67</v>
      </c>
      <c r="M445" s="2" t="s">
        <v>40</v>
      </c>
      <c r="N445" s="2">
        <v>51.31</v>
      </c>
      <c r="O445" s="2" t="s">
        <v>23</v>
      </c>
      <c r="P445" s="2">
        <v>8.06</v>
      </c>
      <c r="Q445" s="2">
        <v>10.63</v>
      </c>
      <c r="R445" s="3">
        <f t="shared" si="30"/>
        <v>3283.0798</v>
      </c>
      <c r="S445" s="3">
        <f t="shared" si="31"/>
        <v>4329.9179000000004</v>
      </c>
      <c r="T445" s="3">
        <f t="shared" si="32"/>
        <v>1046.8381000000004</v>
      </c>
      <c r="U445" s="4">
        <f t="shared" si="33"/>
        <v>0.24176857949200384</v>
      </c>
      <c r="V445" s="5">
        <f t="shared" si="34"/>
        <v>39.388810999999997</v>
      </c>
    </row>
    <row r="446" spans="1:22" x14ac:dyDescent="0.25">
      <c r="A446" s="2" t="s">
        <v>480</v>
      </c>
      <c r="B446" s="2" t="s">
        <v>26</v>
      </c>
      <c r="C446" s="2" t="s">
        <v>27</v>
      </c>
      <c r="D446" s="2" t="s">
        <v>20</v>
      </c>
      <c r="E446" s="2">
        <v>496.86</v>
      </c>
      <c r="F446" s="2">
        <v>9.4700000000000006</v>
      </c>
      <c r="G446" s="2">
        <v>39</v>
      </c>
      <c r="H446" s="2">
        <v>1.4</v>
      </c>
      <c r="I446" s="2">
        <v>5</v>
      </c>
      <c r="J446" s="2">
        <v>16</v>
      </c>
      <c r="K446" s="2" t="s">
        <v>21</v>
      </c>
      <c r="L446" s="2">
        <v>3.17</v>
      </c>
      <c r="M446" s="2" t="s">
        <v>37</v>
      </c>
      <c r="N446" s="2">
        <v>72.05</v>
      </c>
      <c r="O446" s="2" t="s">
        <v>30</v>
      </c>
      <c r="P446" s="2">
        <v>6.92</v>
      </c>
      <c r="Q446" s="2">
        <v>13.43</v>
      </c>
      <c r="R446" s="3">
        <f t="shared" si="30"/>
        <v>3438.2712000000001</v>
      </c>
      <c r="S446" s="3">
        <f t="shared" si="31"/>
        <v>6672.8298000000004</v>
      </c>
      <c r="T446" s="3">
        <f t="shared" si="32"/>
        <v>3234.5586000000003</v>
      </c>
      <c r="U446" s="4">
        <f t="shared" si="33"/>
        <v>0.48473566641846616</v>
      </c>
      <c r="V446" s="5">
        <f t="shared" si="34"/>
        <v>15.750462000000001</v>
      </c>
    </row>
    <row r="447" spans="1:22" x14ac:dyDescent="0.25">
      <c r="A447" s="2" t="s">
        <v>481</v>
      </c>
      <c r="B447" s="2" t="s">
        <v>18</v>
      </c>
      <c r="C447" s="2" t="s">
        <v>43</v>
      </c>
      <c r="D447" s="2" t="s">
        <v>28</v>
      </c>
      <c r="E447" s="2">
        <v>415.16</v>
      </c>
      <c r="F447" s="2">
        <v>9.6</v>
      </c>
      <c r="G447" s="2">
        <v>21.27</v>
      </c>
      <c r="H447" s="2">
        <v>2.2000000000000002</v>
      </c>
      <c r="I447" s="2">
        <v>0.1</v>
      </c>
      <c r="J447" s="2">
        <v>2</v>
      </c>
      <c r="K447" s="2" t="s">
        <v>34</v>
      </c>
      <c r="L447" s="2">
        <v>9.1300000000000008</v>
      </c>
      <c r="M447" s="2" t="s">
        <v>22</v>
      </c>
      <c r="N447" s="2">
        <v>95.11</v>
      </c>
      <c r="O447" s="2" t="s">
        <v>30</v>
      </c>
      <c r="P447" s="2">
        <v>8.6300000000000008</v>
      </c>
      <c r="Q447" s="2">
        <v>12.61</v>
      </c>
      <c r="R447" s="3">
        <f t="shared" si="30"/>
        <v>3582.8308000000006</v>
      </c>
      <c r="S447" s="3">
        <f t="shared" si="31"/>
        <v>5235.1675999999998</v>
      </c>
      <c r="T447" s="3">
        <f t="shared" si="32"/>
        <v>1652.3367999999991</v>
      </c>
      <c r="U447" s="4">
        <f t="shared" si="33"/>
        <v>0.31562252180808864</v>
      </c>
      <c r="V447" s="5">
        <f t="shared" si="34"/>
        <v>37.904108000000008</v>
      </c>
    </row>
    <row r="448" spans="1:22" x14ac:dyDescent="0.25">
      <c r="A448" s="2" t="s">
        <v>482</v>
      </c>
      <c r="B448" s="2" t="s">
        <v>18</v>
      </c>
      <c r="C448" s="2" t="s">
        <v>43</v>
      </c>
      <c r="D448" s="2" t="s">
        <v>20</v>
      </c>
      <c r="E448" s="2">
        <v>557.30999999999995</v>
      </c>
      <c r="F448" s="2">
        <v>15.9</v>
      </c>
      <c r="G448" s="2">
        <v>32.06</v>
      </c>
      <c r="H448" s="2">
        <v>1</v>
      </c>
      <c r="I448" s="2">
        <v>0.1</v>
      </c>
      <c r="J448" s="2">
        <v>19</v>
      </c>
      <c r="K448" s="2" t="s">
        <v>21</v>
      </c>
      <c r="L448" s="2">
        <v>4.4000000000000004</v>
      </c>
      <c r="M448" s="2" t="s">
        <v>22</v>
      </c>
      <c r="N448" s="2">
        <v>92.83</v>
      </c>
      <c r="O448" s="2" t="s">
        <v>30</v>
      </c>
      <c r="P448" s="2">
        <v>6.1</v>
      </c>
      <c r="Q448" s="2">
        <v>11.61</v>
      </c>
      <c r="R448" s="3">
        <f t="shared" si="30"/>
        <v>3399.5909999999994</v>
      </c>
      <c r="S448" s="3">
        <f t="shared" si="31"/>
        <v>6470.369099999999</v>
      </c>
      <c r="T448" s="3">
        <f t="shared" si="32"/>
        <v>3070.7780999999995</v>
      </c>
      <c r="U448" s="4">
        <f t="shared" si="33"/>
        <v>0.47459086993970717</v>
      </c>
      <c r="V448" s="5">
        <f t="shared" si="34"/>
        <v>24.521639999999998</v>
      </c>
    </row>
    <row r="449" spans="1:22" x14ac:dyDescent="0.25">
      <c r="A449" s="2" t="s">
        <v>483</v>
      </c>
      <c r="B449" s="2" t="s">
        <v>45</v>
      </c>
      <c r="C449" s="2" t="s">
        <v>19</v>
      </c>
      <c r="D449" s="2" t="s">
        <v>28</v>
      </c>
      <c r="E449" s="2">
        <v>321.41000000000003</v>
      </c>
      <c r="F449" s="2">
        <v>14.16</v>
      </c>
      <c r="G449" s="2">
        <v>21.14</v>
      </c>
      <c r="H449" s="2">
        <v>0.6</v>
      </c>
      <c r="I449" s="2">
        <v>1.2</v>
      </c>
      <c r="J449" s="2">
        <v>6</v>
      </c>
      <c r="K449" s="2" t="s">
        <v>21</v>
      </c>
      <c r="L449" s="2">
        <v>4.17</v>
      </c>
      <c r="M449" s="2" t="s">
        <v>22</v>
      </c>
      <c r="N449" s="2">
        <v>70.45</v>
      </c>
      <c r="O449" s="2" t="s">
        <v>30</v>
      </c>
      <c r="P449" s="2">
        <v>6.44</v>
      </c>
      <c r="Q449" s="2">
        <v>9.9700000000000006</v>
      </c>
      <c r="R449" s="3">
        <f t="shared" si="30"/>
        <v>2069.8804000000005</v>
      </c>
      <c r="S449" s="3">
        <f t="shared" si="31"/>
        <v>3204.4577000000004</v>
      </c>
      <c r="T449" s="3">
        <f t="shared" si="32"/>
        <v>1134.5772999999999</v>
      </c>
      <c r="U449" s="4">
        <f t="shared" si="33"/>
        <v>0.35406218655967897</v>
      </c>
      <c r="V449" s="5">
        <f t="shared" si="34"/>
        <v>13.402797</v>
      </c>
    </row>
    <row r="450" spans="1:22" x14ac:dyDescent="0.25">
      <c r="A450" s="2" t="s">
        <v>484</v>
      </c>
      <c r="B450" s="2" t="s">
        <v>18</v>
      </c>
      <c r="C450" s="2" t="s">
        <v>27</v>
      </c>
      <c r="D450" s="2" t="s">
        <v>20</v>
      </c>
      <c r="E450" s="2">
        <v>464.04</v>
      </c>
      <c r="F450" s="2">
        <v>8.4499999999999993</v>
      </c>
      <c r="G450" s="2">
        <v>37.880000000000003</v>
      </c>
      <c r="H450" s="2">
        <v>0.4</v>
      </c>
      <c r="I450" s="2">
        <v>1.8</v>
      </c>
      <c r="J450" s="2">
        <v>1</v>
      </c>
      <c r="K450" s="2" t="s">
        <v>29</v>
      </c>
      <c r="L450" s="2">
        <v>7.16</v>
      </c>
      <c r="M450" s="2" t="s">
        <v>37</v>
      </c>
      <c r="N450" s="2">
        <v>51.11</v>
      </c>
      <c r="O450" s="2" t="s">
        <v>24</v>
      </c>
      <c r="P450" s="2">
        <v>7.69</v>
      </c>
      <c r="Q450" s="2">
        <v>5.0199999999999996</v>
      </c>
      <c r="R450" s="3">
        <f t="shared" si="30"/>
        <v>3568.4676000000004</v>
      </c>
      <c r="S450" s="3">
        <f t="shared" si="31"/>
        <v>2329.4807999999998</v>
      </c>
      <c r="T450" s="3">
        <f t="shared" si="32"/>
        <v>-1238.9868000000006</v>
      </c>
      <c r="U450" s="4">
        <f t="shared" si="33"/>
        <v>-0.53187250996015967</v>
      </c>
      <c r="V450" s="5">
        <f t="shared" si="34"/>
        <v>33.225264000000003</v>
      </c>
    </row>
    <row r="451" spans="1:22" x14ac:dyDescent="0.25">
      <c r="A451" s="2" t="s">
        <v>485</v>
      </c>
      <c r="B451" s="2" t="s">
        <v>45</v>
      </c>
      <c r="C451" s="2" t="s">
        <v>43</v>
      </c>
      <c r="D451" s="2" t="s">
        <v>28</v>
      </c>
      <c r="E451" s="2">
        <v>530.11</v>
      </c>
      <c r="F451" s="2">
        <v>14.23</v>
      </c>
      <c r="G451" s="2">
        <v>30.6</v>
      </c>
      <c r="H451" s="2">
        <v>0.9</v>
      </c>
      <c r="I451" s="2">
        <v>1.9</v>
      </c>
      <c r="J451" s="2">
        <v>11</v>
      </c>
      <c r="K451" s="2" t="s">
        <v>34</v>
      </c>
      <c r="L451" s="2">
        <v>0.59</v>
      </c>
      <c r="M451" s="2" t="s">
        <v>22</v>
      </c>
      <c r="N451" s="2">
        <v>81.819999999999993</v>
      </c>
      <c r="O451" s="2" t="s">
        <v>24</v>
      </c>
      <c r="P451" s="2">
        <v>4.55</v>
      </c>
      <c r="Q451" s="2">
        <v>11.13</v>
      </c>
      <c r="R451" s="3">
        <f t="shared" ref="R451:R514" si="35">E451*P451</f>
        <v>2412.0005000000001</v>
      </c>
      <c r="S451" s="3">
        <f t="shared" ref="S451:S514" si="36">E451*Q451</f>
        <v>5900.1243000000004</v>
      </c>
      <c r="T451" s="3">
        <f t="shared" ref="T451:T514" si="37">S451-R451</f>
        <v>3488.1238000000003</v>
      </c>
      <c r="U451" s="4">
        <f t="shared" ref="U451:U514" si="38">T451/S451</f>
        <v>0.5911949685534591</v>
      </c>
      <c r="V451" s="5">
        <f t="shared" ref="V451:V514" si="39">E451*L451/100</f>
        <v>3.1276489999999999</v>
      </c>
    </row>
    <row r="452" spans="1:22" x14ac:dyDescent="0.25">
      <c r="A452" s="2" t="s">
        <v>486</v>
      </c>
      <c r="B452" s="2" t="s">
        <v>45</v>
      </c>
      <c r="C452" s="2" t="s">
        <v>19</v>
      </c>
      <c r="D452" s="2" t="s">
        <v>20</v>
      </c>
      <c r="E452" s="2">
        <v>518.38</v>
      </c>
      <c r="F452" s="2">
        <v>11.09</v>
      </c>
      <c r="G452" s="2">
        <v>33.39</v>
      </c>
      <c r="H452" s="2">
        <v>2.7</v>
      </c>
      <c r="I452" s="2">
        <v>1.1000000000000001</v>
      </c>
      <c r="J452" s="2">
        <v>18</v>
      </c>
      <c r="K452" s="2" t="s">
        <v>34</v>
      </c>
      <c r="L452" s="2">
        <v>3.71</v>
      </c>
      <c r="M452" s="2" t="s">
        <v>22</v>
      </c>
      <c r="N452" s="2">
        <v>87.06</v>
      </c>
      <c r="O452" s="2" t="s">
        <v>23</v>
      </c>
      <c r="P452" s="2">
        <v>5.7</v>
      </c>
      <c r="Q452" s="2">
        <v>8.56</v>
      </c>
      <c r="R452" s="3">
        <f t="shared" si="35"/>
        <v>2954.7660000000001</v>
      </c>
      <c r="S452" s="3">
        <f t="shared" si="36"/>
        <v>4437.3328000000001</v>
      </c>
      <c r="T452" s="3">
        <f t="shared" si="37"/>
        <v>1482.5668000000001</v>
      </c>
      <c r="U452" s="4">
        <f t="shared" si="38"/>
        <v>0.33411214953271029</v>
      </c>
      <c r="V452" s="5">
        <f t="shared" si="39"/>
        <v>19.231897999999997</v>
      </c>
    </row>
    <row r="453" spans="1:22" x14ac:dyDescent="0.25">
      <c r="A453" s="2" t="s">
        <v>487</v>
      </c>
      <c r="B453" s="2" t="s">
        <v>45</v>
      </c>
      <c r="C453" s="2" t="s">
        <v>27</v>
      </c>
      <c r="D453" s="2" t="s">
        <v>20</v>
      </c>
      <c r="E453" s="2">
        <v>769.3</v>
      </c>
      <c r="F453" s="2">
        <v>11.69</v>
      </c>
      <c r="G453" s="2">
        <v>36.630000000000003</v>
      </c>
      <c r="H453" s="2">
        <v>2.8</v>
      </c>
      <c r="I453" s="2">
        <v>3.1</v>
      </c>
      <c r="J453" s="2">
        <v>10</v>
      </c>
      <c r="K453" s="2" t="s">
        <v>29</v>
      </c>
      <c r="L453" s="2">
        <v>3.38</v>
      </c>
      <c r="M453" s="2" t="s">
        <v>40</v>
      </c>
      <c r="N453" s="2">
        <v>64.709999999999994</v>
      </c>
      <c r="O453" s="2" t="s">
        <v>30</v>
      </c>
      <c r="P453" s="2">
        <v>7.37</v>
      </c>
      <c r="Q453" s="2">
        <v>6.18</v>
      </c>
      <c r="R453" s="3">
        <f t="shared" si="35"/>
        <v>5669.741</v>
      </c>
      <c r="S453" s="3">
        <f t="shared" si="36"/>
        <v>4754.2739999999994</v>
      </c>
      <c r="T453" s="3">
        <f t="shared" si="37"/>
        <v>-915.46700000000055</v>
      </c>
      <c r="U453" s="4">
        <f t="shared" si="38"/>
        <v>-0.19255663430420725</v>
      </c>
      <c r="V453" s="5">
        <f t="shared" si="39"/>
        <v>26.00234</v>
      </c>
    </row>
    <row r="454" spans="1:22" x14ac:dyDescent="0.25">
      <c r="A454" s="2" t="s">
        <v>488</v>
      </c>
      <c r="B454" s="2" t="s">
        <v>45</v>
      </c>
      <c r="C454" s="2" t="s">
        <v>33</v>
      </c>
      <c r="D454" s="2" t="s">
        <v>28</v>
      </c>
      <c r="E454" s="2">
        <v>534.98</v>
      </c>
      <c r="F454" s="2">
        <v>15.7</v>
      </c>
      <c r="G454" s="2">
        <v>23.01</v>
      </c>
      <c r="H454" s="2">
        <v>2.2000000000000002</v>
      </c>
      <c r="I454" s="2">
        <v>0.7</v>
      </c>
      <c r="J454" s="2">
        <v>18</v>
      </c>
      <c r="K454" s="2" t="s">
        <v>29</v>
      </c>
      <c r="L454" s="2">
        <v>8.75</v>
      </c>
      <c r="M454" s="2" t="s">
        <v>22</v>
      </c>
      <c r="N454" s="2">
        <v>73.83</v>
      </c>
      <c r="O454" s="2" t="s">
        <v>24</v>
      </c>
      <c r="P454" s="2">
        <v>3.2</v>
      </c>
      <c r="Q454" s="2">
        <v>9.4499999999999993</v>
      </c>
      <c r="R454" s="3">
        <f t="shared" si="35"/>
        <v>1711.9360000000001</v>
      </c>
      <c r="S454" s="3">
        <f t="shared" si="36"/>
        <v>5055.5609999999997</v>
      </c>
      <c r="T454" s="3">
        <f t="shared" si="37"/>
        <v>3343.6249999999995</v>
      </c>
      <c r="U454" s="4">
        <f t="shared" si="38"/>
        <v>0.66137566137566128</v>
      </c>
      <c r="V454" s="5">
        <f t="shared" si="39"/>
        <v>46.810749999999999</v>
      </c>
    </row>
    <row r="455" spans="1:22" x14ac:dyDescent="0.25">
      <c r="A455" s="2" t="s">
        <v>489</v>
      </c>
      <c r="B455" s="2" t="s">
        <v>45</v>
      </c>
      <c r="C455" s="2" t="s">
        <v>19</v>
      </c>
      <c r="D455" s="2" t="s">
        <v>20</v>
      </c>
      <c r="E455" s="2">
        <v>399.59</v>
      </c>
      <c r="F455" s="2">
        <v>16.11</v>
      </c>
      <c r="G455" s="2">
        <v>20.77</v>
      </c>
      <c r="H455" s="2">
        <v>0.5</v>
      </c>
      <c r="I455" s="2">
        <v>2.5</v>
      </c>
      <c r="J455" s="2">
        <v>28</v>
      </c>
      <c r="K455" s="2" t="s">
        <v>29</v>
      </c>
      <c r="L455" s="2">
        <v>5.53</v>
      </c>
      <c r="M455" s="2" t="s">
        <v>37</v>
      </c>
      <c r="N455" s="2">
        <v>99.59</v>
      </c>
      <c r="O455" s="2" t="s">
        <v>24</v>
      </c>
      <c r="P455" s="2">
        <v>6.06</v>
      </c>
      <c r="Q455" s="2">
        <v>12.36</v>
      </c>
      <c r="R455" s="3">
        <f t="shared" si="35"/>
        <v>2421.5153999999998</v>
      </c>
      <c r="S455" s="3">
        <f t="shared" si="36"/>
        <v>4938.9323999999997</v>
      </c>
      <c r="T455" s="3">
        <f t="shared" si="37"/>
        <v>2517.4169999999999</v>
      </c>
      <c r="U455" s="4">
        <f t="shared" si="38"/>
        <v>0.50970873786407767</v>
      </c>
      <c r="V455" s="5">
        <f t="shared" si="39"/>
        <v>22.097327</v>
      </c>
    </row>
    <row r="456" spans="1:22" x14ac:dyDescent="0.25">
      <c r="A456" s="2" t="s">
        <v>490</v>
      </c>
      <c r="B456" s="2" t="s">
        <v>32</v>
      </c>
      <c r="C456" s="2" t="s">
        <v>43</v>
      </c>
      <c r="D456" s="2" t="s">
        <v>28</v>
      </c>
      <c r="E456" s="2">
        <v>490.45</v>
      </c>
      <c r="F456" s="2">
        <v>12</v>
      </c>
      <c r="G456" s="2">
        <v>37.58</v>
      </c>
      <c r="H456" s="2">
        <v>1.8</v>
      </c>
      <c r="I456" s="2">
        <v>3.4</v>
      </c>
      <c r="J456" s="2">
        <v>1</v>
      </c>
      <c r="K456" s="2" t="s">
        <v>29</v>
      </c>
      <c r="L456" s="2">
        <v>3.96</v>
      </c>
      <c r="M456" s="2" t="s">
        <v>40</v>
      </c>
      <c r="N456" s="2">
        <v>78.819999999999993</v>
      </c>
      <c r="O456" s="2" t="s">
        <v>30</v>
      </c>
      <c r="P456" s="2">
        <v>7.19</v>
      </c>
      <c r="Q456" s="2">
        <v>14.62</v>
      </c>
      <c r="R456" s="3">
        <f t="shared" si="35"/>
        <v>3526.3355000000001</v>
      </c>
      <c r="S456" s="3">
        <f t="shared" si="36"/>
        <v>7170.378999999999</v>
      </c>
      <c r="T456" s="3">
        <f t="shared" si="37"/>
        <v>3644.0434999999989</v>
      </c>
      <c r="U456" s="4">
        <f t="shared" si="38"/>
        <v>0.50820793433652522</v>
      </c>
      <c r="V456" s="5">
        <f t="shared" si="39"/>
        <v>19.42182</v>
      </c>
    </row>
    <row r="457" spans="1:22" x14ac:dyDescent="0.25">
      <c r="A457" s="2" t="s">
        <v>491</v>
      </c>
      <c r="B457" s="2" t="s">
        <v>18</v>
      </c>
      <c r="C457" s="2" t="s">
        <v>43</v>
      </c>
      <c r="D457" s="2" t="s">
        <v>28</v>
      </c>
      <c r="E457" s="2">
        <v>322.38</v>
      </c>
      <c r="F457" s="2">
        <v>17.47</v>
      </c>
      <c r="G457" s="2">
        <v>26.3</v>
      </c>
      <c r="H457" s="2">
        <v>1.7</v>
      </c>
      <c r="I457" s="2">
        <v>1.9</v>
      </c>
      <c r="J457" s="2">
        <v>19</v>
      </c>
      <c r="K457" s="2" t="s">
        <v>29</v>
      </c>
      <c r="L457" s="2">
        <v>3.03</v>
      </c>
      <c r="M457" s="2" t="s">
        <v>37</v>
      </c>
      <c r="N457" s="2">
        <v>67.55</v>
      </c>
      <c r="O457" s="2" t="s">
        <v>24</v>
      </c>
      <c r="P457" s="2">
        <v>9.77</v>
      </c>
      <c r="Q457" s="2">
        <v>8.74</v>
      </c>
      <c r="R457" s="3">
        <f t="shared" si="35"/>
        <v>3149.6525999999999</v>
      </c>
      <c r="S457" s="3">
        <f t="shared" si="36"/>
        <v>2817.6012000000001</v>
      </c>
      <c r="T457" s="3">
        <f t="shared" si="37"/>
        <v>-332.05139999999983</v>
      </c>
      <c r="U457" s="4">
        <f t="shared" si="38"/>
        <v>-0.11784897025171619</v>
      </c>
      <c r="V457" s="5">
        <f t="shared" si="39"/>
        <v>9.7681139999999989</v>
      </c>
    </row>
    <row r="458" spans="1:22" x14ac:dyDescent="0.25">
      <c r="A458" s="2" t="s">
        <v>492</v>
      </c>
      <c r="B458" s="2" t="s">
        <v>45</v>
      </c>
      <c r="C458" s="2" t="s">
        <v>19</v>
      </c>
      <c r="D458" s="2" t="s">
        <v>28</v>
      </c>
      <c r="E458" s="2">
        <v>491.94</v>
      </c>
      <c r="F458" s="2">
        <v>12.06</v>
      </c>
      <c r="G458" s="2">
        <v>22.58</v>
      </c>
      <c r="H458" s="2">
        <v>1.3</v>
      </c>
      <c r="I458" s="2">
        <v>0.4</v>
      </c>
      <c r="J458" s="2">
        <v>16</v>
      </c>
      <c r="K458" s="2" t="s">
        <v>21</v>
      </c>
      <c r="L458" s="2">
        <v>6.11</v>
      </c>
      <c r="M458" s="2" t="s">
        <v>40</v>
      </c>
      <c r="N458" s="2">
        <v>81.37</v>
      </c>
      <c r="O458" s="2" t="s">
        <v>24</v>
      </c>
      <c r="P458" s="2">
        <v>9.14</v>
      </c>
      <c r="Q458" s="2">
        <v>10.43</v>
      </c>
      <c r="R458" s="3">
        <f t="shared" si="35"/>
        <v>4496.3316000000004</v>
      </c>
      <c r="S458" s="3">
        <f t="shared" si="36"/>
        <v>5130.9341999999997</v>
      </c>
      <c r="T458" s="3">
        <f t="shared" si="37"/>
        <v>634.60259999999926</v>
      </c>
      <c r="U458" s="4">
        <f t="shared" si="38"/>
        <v>0.12368168744007657</v>
      </c>
      <c r="V458" s="5">
        <f t="shared" si="39"/>
        <v>30.057534</v>
      </c>
    </row>
    <row r="459" spans="1:22" x14ac:dyDescent="0.25">
      <c r="A459" s="2" t="s">
        <v>493</v>
      </c>
      <c r="B459" s="2" t="s">
        <v>26</v>
      </c>
      <c r="C459" s="2" t="s">
        <v>19</v>
      </c>
      <c r="D459" s="2" t="s">
        <v>28</v>
      </c>
      <c r="E459" s="2">
        <v>416.69</v>
      </c>
      <c r="F459" s="2">
        <v>15.72</v>
      </c>
      <c r="G459" s="2">
        <v>29.37</v>
      </c>
      <c r="H459" s="2">
        <v>1.6</v>
      </c>
      <c r="I459" s="2">
        <v>0.2</v>
      </c>
      <c r="J459" s="2">
        <v>26</v>
      </c>
      <c r="K459" s="2" t="s">
        <v>29</v>
      </c>
      <c r="L459" s="2">
        <v>1.94</v>
      </c>
      <c r="M459" s="2" t="s">
        <v>40</v>
      </c>
      <c r="N459" s="2">
        <v>59</v>
      </c>
      <c r="O459" s="2" t="s">
        <v>24</v>
      </c>
      <c r="P459" s="2">
        <v>4.97</v>
      </c>
      <c r="Q459" s="2">
        <v>13.51</v>
      </c>
      <c r="R459" s="3">
        <f t="shared" si="35"/>
        <v>2070.9492999999998</v>
      </c>
      <c r="S459" s="3">
        <f t="shared" si="36"/>
        <v>5629.4818999999998</v>
      </c>
      <c r="T459" s="3">
        <f t="shared" si="37"/>
        <v>3558.5326</v>
      </c>
      <c r="U459" s="4">
        <f t="shared" si="38"/>
        <v>0.63212435233160624</v>
      </c>
      <c r="V459" s="5">
        <f t="shared" si="39"/>
        <v>8.0837859999999999</v>
      </c>
    </row>
    <row r="460" spans="1:22" x14ac:dyDescent="0.25">
      <c r="A460" s="2" t="s">
        <v>494</v>
      </c>
      <c r="B460" s="2" t="s">
        <v>18</v>
      </c>
      <c r="C460" s="2" t="s">
        <v>43</v>
      </c>
      <c r="D460" s="2" t="s">
        <v>28</v>
      </c>
      <c r="E460" s="2">
        <v>591.54</v>
      </c>
      <c r="F460" s="2">
        <v>12.84</v>
      </c>
      <c r="G460" s="2">
        <v>31.97</v>
      </c>
      <c r="H460" s="2">
        <v>1.4</v>
      </c>
      <c r="I460" s="2">
        <v>0.8</v>
      </c>
      <c r="J460" s="2">
        <v>7</v>
      </c>
      <c r="K460" s="2" t="s">
        <v>34</v>
      </c>
      <c r="L460" s="2">
        <v>2.84</v>
      </c>
      <c r="M460" s="2" t="s">
        <v>22</v>
      </c>
      <c r="N460" s="2">
        <v>59.96</v>
      </c>
      <c r="O460" s="2" t="s">
        <v>23</v>
      </c>
      <c r="P460" s="2">
        <v>6.55</v>
      </c>
      <c r="Q460" s="2">
        <v>8.34</v>
      </c>
      <c r="R460" s="3">
        <f t="shared" si="35"/>
        <v>3874.5869999999995</v>
      </c>
      <c r="S460" s="3">
        <f t="shared" si="36"/>
        <v>4933.4435999999996</v>
      </c>
      <c r="T460" s="3">
        <f t="shared" si="37"/>
        <v>1058.8566000000001</v>
      </c>
      <c r="U460" s="4">
        <f t="shared" si="38"/>
        <v>0.21462829736211034</v>
      </c>
      <c r="V460" s="5">
        <f t="shared" si="39"/>
        <v>16.799735999999999</v>
      </c>
    </row>
    <row r="461" spans="1:22" x14ac:dyDescent="0.25">
      <c r="A461" s="2" t="s">
        <v>495</v>
      </c>
      <c r="B461" s="2" t="s">
        <v>18</v>
      </c>
      <c r="C461" s="2" t="s">
        <v>33</v>
      </c>
      <c r="D461" s="2" t="s">
        <v>20</v>
      </c>
      <c r="E461" s="2">
        <v>445.05</v>
      </c>
      <c r="F461" s="2">
        <v>16.98</v>
      </c>
      <c r="G461" s="2">
        <v>20.62</v>
      </c>
      <c r="H461" s="2">
        <v>1.7</v>
      </c>
      <c r="I461" s="2">
        <v>0.6</v>
      </c>
      <c r="J461" s="2">
        <v>15</v>
      </c>
      <c r="K461" s="2" t="s">
        <v>34</v>
      </c>
      <c r="L461" s="2">
        <v>3.29</v>
      </c>
      <c r="M461" s="2" t="s">
        <v>37</v>
      </c>
      <c r="N461" s="2">
        <v>96.25</v>
      </c>
      <c r="O461" s="2" t="s">
        <v>24</v>
      </c>
      <c r="P461" s="2">
        <v>3.39</v>
      </c>
      <c r="Q461" s="2">
        <v>6.42</v>
      </c>
      <c r="R461" s="3">
        <f t="shared" si="35"/>
        <v>1508.7195000000002</v>
      </c>
      <c r="S461" s="3">
        <f t="shared" si="36"/>
        <v>2857.221</v>
      </c>
      <c r="T461" s="3">
        <f t="shared" si="37"/>
        <v>1348.5014999999999</v>
      </c>
      <c r="U461" s="4">
        <f t="shared" si="38"/>
        <v>0.47196261682242985</v>
      </c>
      <c r="V461" s="5">
        <f t="shared" si="39"/>
        <v>14.642145000000001</v>
      </c>
    </row>
    <row r="462" spans="1:22" x14ac:dyDescent="0.25">
      <c r="A462" s="2" t="s">
        <v>496</v>
      </c>
      <c r="B462" s="2" t="s">
        <v>45</v>
      </c>
      <c r="C462" s="2" t="s">
        <v>27</v>
      </c>
      <c r="D462" s="2" t="s">
        <v>20</v>
      </c>
      <c r="E462" s="2">
        <v>488.32</v>
      </c>
      <c r="F462" s="2">
        <v>17.079999999999998</v>
      </c>
      <c r="G462" s="2">
        <v>25.5</v>
      </c>
      <c r="H462" s="2">
        <v>2.5</v>
      </c>
      <c r="I462" s="2">
        <v>2.1</v>
      </c>
      <c r="J462" s="2">
        <v>29</v>
      </c>
      <c r="K462" s="2" t="s">
        <v>29</v>
      </c>
      <c r="L462" s="2">
        <v>6.28</v>
      </c>
      <c r="M462" s="2" t="s">
        <v>22</v>
      </c>
      <c r="N462" s="2">
        <v>61.96</v>
      </c>
      <c r="O462" s="2" t="s">
        <v>30</v>
      </c>
      <c r="P462" s="2">
        <v>4.6900000000000004</v>
      </c>
      <c r="Q462" s="2">
        <v>7.82</v>
      </c>
      <c r="R462" s="3">
        <f t="shared" si="35"/>
        <v>2290.2208000000001</v>
      </c>
      <c r="S462" s="3">
        <f t="shared" si="36"/>
        <v>3818.6624000000002</v>
      </c>
      <c r="T462" s="3">
        <f t="shared" si="37"/>
        <v>1528.4416000000001</v>
      </c>
      <c r="U462" s="4">
        <f t="shared" si="38"/>
        <v>0.40025575447570333</v>
      </c>
      <c r="V462" s="5">
        <f t="shared" si="39"/>
        <v>30.666496000000002</v>
      </c>
    </row>
    <row r="463" spans="1:22" x14ac:dyDescent="0.25">
      <c r="A463" s="2" t="s">
        <v>497</v>
      </c>
      <c r="B463" s="2" t="s">
        <v>32</v>
      </c>
      <c r="C463" s="2" t="s">
        <v>33</v>
      </c>
      <c r="D463" s="2" t="s">
        <v>28</v>
      </c>
      <c r="E463" s="2">
        <v>436.44</v>
      </c>
      <c r="F463" s="2">
        <v>8.8699999999999992</v>
      </c>
      <c r="G463" s="2">
        <v>20.66</v>
      </c>
      <c r="H463" s="2">
        <v>0.2</v>
      </c>
      <c r="I463" s="2">
        <v>0.1</v>
      </c>
      <c r="J463" s="2">
        <v>1</v>
      </c>
      <c r="K463" s="2" t="s">
        <v>29</v>
      </c>
      <c r="L463" s="2">
        <v>4.05</v>
      </c>
      <c r="M463" s="2" t="s">
        <v>40</v>
      </c>
      <c r="N463" s="2">
        <v>65.540000000000006</v>
      </c>
      <c r="O463" s="2" t="s">
        <v>30</v>
      </c>
      <c r="P463" s="2">
        <v>8.42</v>
      </c>
      <c r="Q463" s="2">
        <v>13.99</v>
      </c>
      <c r="R463" s="3">
        <f t="shared" si="35"/>
        <v>3674.8247999999999</v>
      </c>
      <c r="S463" s="3">
        <f t="shared" si="36"/>
        <v>6105.7956000000004</v>
      </c>
      <c r="T463" s="3">
        <f t="shared" si="37"/>
        <v>2430.9708000000005</v>
      </c>
      <c r="U463" s="4">
        <f t="shared" si="38"/>
        <v>0.39814152966404581</v>
      </c>
      <c r="V463" s="5">
        <f t="shared" si="39"/>
        <v>17.675819999999998</v>
      </c>
    </row>
    <row r="464" spans="1:22" x14ac:dyDescent="0.25">
      <c r="A464" s="2" t="s">
        <v>498</v>
      </c>
      <c r="B464" s="2" t="s">
        <v>45</v>
      </c>
      <c r="C464" s="2" t="s">
        <v>19</v>
      </c>
      <c r="D464" s="2" t="s">
        <v>20</v>
      </c>
      <c r="E464" s="2">
        <v>673.89</v>
      </c>
      <c r="F464" s="2">
        <v>17.36</v>
      </c>
      <c r="G464" s="2">
        <v>28.41</v>
      </c>
      <c r="H464" s="2">
        <v>2.8</v>
      </c>
      <c r="I464" s="2">
        <v>0.3</v>
      </c>
      <c r="J464" s="2">
        <v>23</v>
      </c>
      <c r="K464" s="2" t="s">
        <v>29</v>
      </c>
      <c r="L464" s="2">
        <v>5.3</v>
      </c>
      <c r="M464" s="2" t="s">
        <v>22</v>
      </c>
      <c r="N464" s="2">
        <v>77.19</v>
      </c>
      <c r="O464" s="2" t="s">
        <v>30</v>
      </c>
      <c r="P464" s="2">
        <v>3.86</v>
      </c>
      <c r="Q464" s="2">
        <v>6.59</v>
      </c>
      <c r="R464" s="3">
        <f t="shared" si="35"/>
        <v>2601.2154</v>
      </c>
      <c r="S464" s="3">
        <f t="shared" si="36"/>
        <v>4440.9350999999997</v>
      </c>
      <c r="T464" s="3">
        <f t="shared" si="37"/>
        <v>1839.7196999999996</v>
      </c>
      <c r="U464" s="4">
        <f t="shared" si="38"/>
        <v>0.41426403641881632</v>
      </c>
      <c r="V464" s="5">
        <f t="shared" si="39"/>
        <v>35.716169999999998</v>
      </c>
    </row>
    <row r="465" spans="1:22" x14ac:dyDescent="0.25">
      <c r="A465" s="2" t="s">
        <v>499</v>
      </c>
      <c r="B465" s="2" t="s">
        <v>32</v>
      </c>
      <c r="C465" s="2" t="s">
        <v>33</v>
      </c>
      <c r="D465" s="2" t="s">
        <v>28</v>
      </c>
      <c r="E465" s="2">
        <v>467.88</v>
      </c>
      <c r="F465" s="2">
        <v>16.260000000000002</v>
      </c>
      <c r="G465" s="2">
        <v>37.9</v>
      </c>
      <c r="H465" s="2">
        <v>0.3</v>
      </c>
      <c r="I465" s="2">
        <v>1.4</v>
      </c>
      <c r="J465" s="2">
        <v>21</v>
      </c>
      <c r="K465" s="2" t="s">
        <v>29</v>
      </c>
      <c r="L465" s="2">
        <v>6.68</v>
      </c>
      <c r="M465" s="2" t="s">
        <v>40</v>
      </c>
      <c r="N465" s="2">
        <v>94.98</v>
      </c>
      <c r="O465" s="2" t="s">
        <v>24</v>
      </c>
      <c r="P465" s="2">
        <v>4.8</v>
      </c>
      <c r="Q465" s="2">
        <v>8.2899999999999991</v>
      </c>
      <c r="R465" s="3">
        <f t="shared" si="35"/>
        <v>2245.8240000000001</v>
      </c>
      <c r="S465" s="3">
        <f t="shared" si="36"/>
        <v>3878.7251999999994</v>
      </c>
      <c r="T465" s="3">
        <f t="shared" si="37"/>
        <v>1632.9011999999993</v>
      </c>
      <c r="U465" s="4">
        <f t="shared" si="38"/>
        <v>0.4209891435464414</v>
      </c>
      <c r="V465" s="5">
        <f t="shared" si="39"/>
        <v>31.254384000000002</v>
      </c>
    </row>
    <row r="466" spans="1:22" x14ac:dyDescent="0.25">
      <c r="A466" s="2" t="s">
        <v>500</v>
      </c>
      <c r="B466" s="2" t="s">
        <v>26</v>
      </c>
      <c r="C466" s="2" t="s">
        <v>43</v>
      </c>
      <c r="D466" s="2" t="s">
        <v>20</v>
      </c>
      <c r="E466" s="2">
        <v>683.26</v>
      </c>
      <c r="F466" s="2">
        <v>15.91</v>
      </c>
      <c r="G466" s="2">
        <v>39.65</v>
      </c>
      <c r="H466" s="2">
        <v>0.1</v>
      </c>
      <c r="I466" s="2">
        <v>0.1</v>
      </c>
      <c r="J466" s="2">
        <v>9</v>
      </c>
      <c r="K466" s="2" t="s">
        <v>29</v>
      </c>
      <c r="L466" s="2">
        <v>9.58</v>
      </c>
      <c r="M466" s="2" t="s">
        <v>40</v>
      </c>
      <c r="N466" s="2">
        <v>89.07</v>
      </c>
      <c r="O466" s="2" t="s">
        <v>23</v>
      </c>
      <c r="P466" s="2">
        <v>9.61</v>
      </c>
      <c r="Q466" s="2">
        <v>9.65</v>
      </c>
      <c r="R466" s="3">
        <f t="shared" si="35"/>
        <v>6566.1285999999991</v>
      </c>
      <c r="S466" s="3">
        <f t="shared" si="36"/>
        <v>6593.4589999999998</v>
      </c>
      <c r="T466" s="3">
        <f t="shared" si="37"/>
        <v>27.330400000000736</v>
      </c>
      <c r="U466" s="4">
        <f t="shared" si="38"/>
        <v>4.1450777202073656E-3</v>
      </c>
      <c r="V466" s="5">
        <f t="shared" si="39"/>
        <v>65.456307999999993</v>
      </c>
    </row>
    <row r="467" spans="1:22" x14ac:dyDescent="0.25">
      <c r="A467" s="2" t="s">
        <v>501</v>
      </c>
      <c r="B467" s="2" t="s">
        <v>18</v>
      </c>
      <c r="C467" s="2" t="s">
        <v>19</v>
      </c>
      <c r="D467" s="2" t="s">
        <v>20</v>
      </c>
      <c r="E467" s="2">
        <v>581.41999999999996</v>
      </c>
      <c r="F467" s="2">
        <v>10.01</v>
      </c>
      <c r="G467" s="2">
        <v>32.74</v>
      </c>
      <c r="H467" s="2">
        <v>7.5</v>
      </c>
      <c r="I467" s="2">
        <v>0.4</v>
      </c>
      <c r="J467" s="2">
        <v>2</v>
      </c>
      <c r="K467" s="2" t="s">
        <v>34</v>
      </c>
      <c r="L467" s="2">
        <v>7.77</v>
      </c>
      <c r="M467" s="2" t="s">
        <v>37</v>
      </c>
      <c r="N467" s="2">
        <v>52.19</v>
      </c>
      <c r="O467" s="2" t="s">
        <v>24</v>
      </c>
      <c r="P467" s="2">
        <v>8.77</v>
      </c>
      <c r="Q467" s="2">
        <v>13.47</v>
      </c>
      <c r="R467" s="3">
        <f t="shared" si="35"/>
        <v>5099.0533999999998</v>
      </c>
      <c r="S467" s="3">
        <f t="shared" si="36"/>
        <v>7831.7273999999998</v>
      </c>
      <c r="T467" s="3">
        <f t="shared" si="37"/>
        <v>2732.674</v>
      </c>
      <c r="U467" s="4">
        <f t="shared" si="38"/>
        <v>0.34892353377876761</v>
      </c>
      <c r="V467" s="5">
        <f t="shared" si="39"/>
        <v>45.176333999999997</v>
      </c>
    </row>
    <row r="468" spans="1:22" x14ac:dyDescent="0.25">
      <c r="A468" s="2" t="s">
        <v>502</v>
      </c>
      <c r="B468" s="2" t="s">
        <v>26</v>
      </c>
      <c r="C468" s="2" t="s">
        <v>27</v>
      </c>
      <c r="D468" s="2" t="s">
        <v>20</v>
      </c>
      <c r="E468" s="2">
        <v>548.21</v>
      </c>
      <c r="F468" s="2">
        <v>16.05</v>
      </c>
      <c r="G468" s="2">
        <v>23.23</v>
      </c>
      <c r="H468" s="2">
        <v>6.3</v>
      </c>
      <c r="I468" s="2">
        <v>0.5</v>
      </c>
      <c r="J468" s="2">
        <v>17</v>
      </c>
      <c r="K468" s="2" t="s">
        <v>21</v>
      </c>
      <c r="L468" s="2">
        <v>4.3499999999999996</v>
      </c>
      <c r="M468" s="2" t="s">
        <v>37</v>
      </c>
      <c r="N468" s="2">
        <v>84.65</v>
      </c>
      <c r="O468" s="2" t="s">
        <v>30</v>
      </c>
      <c r="P468" s="2">
        <v>8.4700000000000006</v>
      </c>
      <c r="Q468" s="2">
        <v>14.38</v>
      </c>
      <c r="R468" s="3">
        <f t="shared" si="35"/>
        <v>4643.3387000000002</v>
      </c>
      <c r="S468" s="3">
        <f t="shared" si="36"/>
        <v>7883.2598000000007</v>
      </c>
      <c r="T468" s="3">
        <f t="shared" si="37"/>
        <v>3239.9211000000005</v>
      </c>
      <c r="U468" s="4">
        <f t="shared" si="38"/>
        <v>0.41098748261474272</v>
      </c>
      <c r="V468" s="5">
        <f t="shared" si="39"/>
        <v>23.847134999999998</v>
      </c>
    </row>
    <row r="469" spans="1:22" x14ac:dyDescent="0.25">
      <c r="A469" s="2" t="s">
        <v>503</v>
      </c>
      <c r="B469" s="2" t="s">
        <v>32</v>
      </c>
      <c r="C469" s="2" t="s">
        <v>43</v>
      </c>
      <c r="D469" s="2" t="s">
        <v>20</v>
      </c>
      <c r="E469" s="2">
        <v>536.87</v>
      </c>
      <c r="F469" s="2">
        <v>16.5</v>
      </c>
      <c r="G469" s="2">
        <v>38.119999999999997</v>
      </c>
      <c r="H469" s="2">
        <v>0.1</v>
      </c>
      <c r="I469" s="2">
        <v>1</v>
      </c>
      <c r="J469" s="2">
        <v>25</v>
      </c>
      <c r="K469" s="2" t="s">
        <v>29</v>
      </c>
      <c r="L469" s="2">
        <v>7.61</v>
      </c>
      <c r="M469" s="2" t="s">
        <v>37</v>
      </c>
      <c r="N469" s="2">
        <v>75.2</v>
      </c>
      <c r="O469" s="2" t="s">
        <v>23</v>
      </c>
      <c r="P469" s="2">
        <v>9.0500000000000007</v>
      </c>
      <c r="Q469" s="2">
        <v>9.26</v>
      </c>
      <c r="R469" s="3">
        <f t="shared" si="35"/>
        <v>4858.6735000000008</v>
      </c>
      <c r="S469" s="3">
        <f t="shared" si="36"/>
        <v>4971.4161999999997</v>
      </c>
      <c r="T469" s="3">
        <f t="shared" si="37"/>
        <v>112.74269999999888</v>
      </c>
      <c r="U469" s="4">
        <f t="shared" si="38"/>
        <v>2.2678185745140165E-2</v>
      </c>
      <c r="V469" s="5">
        <f t="shared" si="39"/>
        <v>40.855807000000006</v>
      </c>
    </row>
    <row r="470" spans="1:22" x14ac:dyDescent="0.25">
      <c r="A470" s="2" t="s">
        <v>504</v>
      </c>
      <c r="B470" s="2" t="s">
        <v>32</v>
      </c>
      <c r="C470" s="2" t="s">
        <v>43</v>
      </c>
      <c r="D470" s="2" t="s">
        <v>28</v>
      </c>
      <c r="E470" s="2">
        <v>539.38</v>
      </c>
      <c r="F470" s="2">
        <v>10.89</v>
      </c>
      <c r="G470" s="2">
        <v>30.32</v>
      </c>
      <c r="H470" s="2">
        <v>1.2</v>
      </c>
      <c r="I470" s="2">
        <v>0.2</v>
      </c>
      <c r="J470" s="2">
        <v>24</v>
      </c>
      <c r="K470" s="2" t="s">
        <v>29</v>
      </c>
      <c r="L470" s="2">
        <v>9.52</v>
      </c>
      <c r="M470" s="2" t="s">
        <v>37</v>
      </c>
      <c r="N470" s="2">
        <v>73.78</v>
      </c>
      <c r="O470" s="2" t="s">
        <v>23</v>
      </c>
      <c r="P470" s="2">
        <v>8.25</v>
      </c>
      <c r="Q470" s="2">
        <v>14.32</v>
      </c>
      <c r="R470" s="3">
        <f t="shared" si="35"/>
        <v>4449.8850000000002</v>
      </c>
      <c r="S470" s="3">
        <f t="shared" si="36"/>
        <v>7723.9215999999997</v>
      </c>
      <c r="T470" s="3">
        <f t="shared" si="37"/>
        <v>3274.0365999999995</v>
      </c>
      <c r="U470" s="4">
        <f t="shared" si="38"/>
        <v>0.42388268156424574</v>
      </c>
      <c r="V470" s="5">
        <f t="shared" si="39"/>
        <v>51.348975999999993</v>
      </c>
    </row>
    <row r="471" spans="1:22" x14ac:dyDescent="0.25">
      <c r="A471" s="2" t="s">
        <v>505</v>
      </c>
      <c r="B471" s="2" t="s">
        <v>26</v>
      </c>
      <c r="C471" s="2" t="s">
        <v>27</v>
      </c>
      <c r="D471" s="2" t="s">
        <v>28</v>
      </c>
      <c r="E471" s="2">
        <v>307.23</v>
      </c>
      <c r="F471" s="2">
        <v>17.52</v>
      </c>
      <c r="G471" s="2">
        <v>23.07</v>
      </c>
      <c r="H471" s="2">
        <v>0.4</v>
      </c>
      <c r="I471" s="2">
        <v>2</v>
      </c>
      <c r="J471" s="2">
        <v>10</v>
      </c>
      <c r="K471" s="2" t="s">
        <v>29</v>
      </c>
      <c r="L471" s="2">
        <v>5.24</v>
      </c>
      <c r="M471" s="2" t="s">
        <v>22</v>
      </c>
      <c r="N471" s="2">
        <v>84.58</v>
      </c>
      <c r="O471" s="2" t="s">
        <v>24</v>
      </c>
      <c r="P471" s="2">
        <v>3.84</v>
      </c>
      <c r="Q471" s="2">
        <v>6.61</v>
      </c>
      <c r="R471" s="3">
        <f t="shared" si="35"/>
        <v>1179.7632000000001</v>
      </c>
      <c r="S471" s="3">
        <f t="shared" si="36"/>
        <v>2030.7903000000001</v>
      </c>
      <c r="T471" s="3">
        <f t="shared" si="37"/>
        <v>851.02710000000002</v>
      </c>
      <c r="U471" s="4">
        <f t="shared" si="38"/>
        <v>0.41906202723146746</v>
      </c>
      <c r="V471" s="5">
        <f t="shared" si="39"/>
        <v>16.098852000000001</v>
      </c>
    </row>
    <row r="472" spans="1:22" x14ac:dyDescent="0.25">
      <c r="A472" s="2" t="s">
        <v>506</v>
      </c>
      <c r="B472" s="2" t="s">
        <v>32</v>
      </c>
      <c r="C472" s="2" t="s">
        <v>27</v>
      </c>
      <c r="D472" s="2" t="s">
        <v>20</v>
      </c>
      <c r="E472" s="2">
        <v>472.11</v>
      </c>
      <c r="F472" s="2">
        <v>8.5</v>
      </c>
      <c r="G472" s="2">
        <v>38.43</v>
      </c>
      <c r="H472" s="2">
        <v>1.3</v>
      </c>
      <c r="I472" s="2">
        <v>0.6</v>
      </c>
      <c r="J472" s="2">
        <v>6</v>
      </c>
      <c r="K472" s="2" t="s">
        <v>34</v>
      </c>
      <c r="L472" s="2">
        <v>4.4000000000000004</v>
      </c>
      <c r="M472" s="2" t="s">
        <v>37</v>
      </c>
      <c r="N472" s="2">
        <v>59.81</v>
      </c>
      <c r="O472" s="2" t="s">
        <v>30</v>
      </c>
      <c r="P472" s="2">
        <v>6.62</v>
      </c>
      <c r="Q472" s="2">
        <v>6.57</v>
      </c>
      <c r="R472" s="3">
        <f t="shared" si="35"/>
        <v>3125.3682000000003</v>
      </c>
      <c r="S472" s="3">
        <f t="shared" si="36"/>
        <v>3101.7627000000002</v>
      </c>
      <c r="T472" s="3">
        <f t="shared" si="37"/>
        <v>-23.60550000000012</v>
      </c>
      <c r="U472" s="4">
        <f t="shared" si="38"/>
        <v>-7.6103500761035385E-3</v>
      </c>
      <c r="V472" s="5">
        <f t="shared" si="39"/>
        <v>20.772840000000002</v>
      </c>
    </row>
    <row r="473" spans="1:22" x14ac:dyDescent="0.25">
      <c r="A473" s="2" t="s">
        <v>507</v>
      </c>
      <c r="B473" s="2" t="s">
        <v>26</v>
      </c>
      <c r="C473" s="2" t="s">
        <v>33</v>
      </c>
      <c r="D473" s="2" t="s">
        <v>20</v>
      </c>
      <c r="E473" s="2">
        <v>584.52</v>
      </c>
      <c r="F473" s="2">
        <v>9.5</v>
      </c>
      <c r="G473" s="2">
        <v>35.15</v>
      </c>
      <c r="H473" s="2">
        <v>3.5</v>
      </c>
      <c r="I473" s="2">
        <v>2.5</v>
      </c>
      <c r="J473" s="2">
        <v>5</v>
      </c>
      <c r="K473" s="2" t="s">
        <v>34</v>
      </c>
      <c r="L473" s="2">
        <v>1.24</v>
      </c>
      <c r="M473" s="2" t="s">
        <v>37</v>
      </c>
      <c r="N473" s="2">
        <v>99.07</v>
      </c>
      <c r="O473" s="2" t="s">
        <v>24</v>
      </c>
      <c r="P473" s="2">
        <v>6.11</v>
      </c>
      <c r="Q473" s="2">
        <v>14.49</v>
      </c>
      <c r="R473" s="3">
        <f t="shared" si="35"/>
        <v>3571.4171999999999</v>
      </c>
      <c r="S473" s="3">
        <f t="shared" si="36"/>
        <v>8469.6947999999993</v>
      </c>
      <c r="T473" s="3">
        <f t="shared" si="37"/>
        <v>4898.2775999999994</v>
      </c>
      <c r="U473" s="4">
        <f t="shared" si="38"/>
        <v>0.5783298826777088</v>
      </c>
      <c r="V473" s="5">
        <f t="shared" si="39"/>
        <v>7.2480479999999998</v>
      </c>
    </row>
    <row r="474" spans="1:22" x14ac:dyDescent="0.25">
      <c r="A474" s="2" t="s">
        <v>508</v>
      </c>
      <c r="B474" s="2" t="s">
        <v>18</v>
      </c>
      <c r="C474" s="2" t="s">
        <v>19</v>
      </c>
      <c r="D474" s="2" t="s">
        <v>28</v>
      </c>
      <c r="E474" s="2">
        <v>495.11</v>
      </c>
      <c r="F474" s="2">
        <v>13.38</v>
      </c>
      <c r="G474" s="2">
        <v>34.630000000000003</v>
      </c>
      <c r="H474" s="2">
        <v>6</v>
      </c>
      <c r="I474" s="2">
        <v>0.6</v>
      </c>
      <c r="J474" s="2">
        <v>8</v>
      </c>
      <c r="K474" s="2" t="s">
        <v>21</v>
      </c>
      <c r="L474" s="2">
        <v>8.98</v>
      </c>
      <c r="M474" s="2" t="s">
        <v>37</v>
      </c>
      <c r="N474" s="2">
        <v>82.27</v>
      </c>
      <c r="O474" s="2" t="s">
        <v>30</v>
      </c>
      <c r="P474" s="2">
        <v>5.18</v>
      </c>
      <c r="Q474" s="2">
        <v>10.1</v>
      </c>
      <c r="R474" s="3">
        <f t="shared" si="35"/>
        <v>2564.6698000000001</v>
      </c>
      <c r="S474" s="3">
        <f t="shared" si="36"/>
        <v>5000.6109999999999</v>
      </c>
      <c r="T474" s="3">
        <f t="shared" si="37"/>
        <v>2435.9411999999998</v>
      </c>
      <c r="U474" s="4">
        <f t="shared" si="38"/>
        <v>0.48712871287128712</v>
      </c>
      <c r="V474" s="5">
        <f t="shared" si="39"/>
        <v>44.460878000000001</v>
      </c>
    </row>
    <row r="475" spans="1:22" x14ac:dyDescent="0.25">
      <c r="A475" s="2" t="s">
        <v>509</v>
      </c>
      <c r="B475" s="2" t="s">
        <v>26</v>
      </c>
      <c r="C475" s="2" t="s">
        <v>27</v>
      </c>
      <c r="D475" s="2" t="s">
        <v>20</v>
      </c>
      <c r="E475" s="2">
        <v>359.48</v>
      </c>
      <c r="F475" s="2">
        <v>13.76</v>
      </c>
      <c r="G475" s="2">
        <v>34.18</v>
      </c>
      <c r="H475" s="2">
        <v>2</v>
      </c>
      <c r="I475" s="2">
        <v>0.3</v>
      </c>
      <c r="J475" s="2">
        <v>8</v>
      </c>
      <c r="K475" s="2" t="s">
        <v>21</v>
      </c>
      <c r="L475" s="2">
        <v>2.84</v>
      </c>
      <c r="M475" s="2" t="s">
        <v>40</v>
      </c>
      <c r="N475" s="2">
        <v>68.28</v>
      </c>
      <c r="O475" s="2" t="s">
        <v>23</v>
      </c>
      <c r="P475" s="2">
        <v>8.84</v>
      </c>
      <c r="Q475" s="2">
        <v>6.86</v>
      </c>
      <c r="R475" s="3">
        <f t="shared" si="35"/>
        <v>3177.8032000000003</v>
      </c>
      <c r="S475" s="3">
        <f t="shared" si="36"/>
        <v>2466.0328000000004</v>
      </c>
      <c r="T475" s="3">
        <f t="shared" si="37"/>
        <v>-711.77039999999988</v>
      </c>
      <c r="U475" s="4">
        <f t="shared" si="38"/>
        <v>-0.28862973760932936</v>
      </c>
      <c r="V475" s="5">
        <f t="shared" si="39"/>
        <v>10.209232</v>
      </c>
    </row>
    <row r="476" spans="1:22" x14ac:dyDescent="0.25">
      <c r="A476" s="2" t="s">
        <v>510</v>
      </c>
      <c r="B476" s="2" t="s">
        <v>18</v>
      </c>
      <c r="C476" s="2" t="s">
        <v>27</v>
      </c>
      <c r="D476" s="2" t="s">
        <v>28</v>
      </c>
      <c r="E476" s="2">
        <v>494.76</v>
      </c>
      <c r="F476" s="2">
        <v>14.45</v>
      </c>
      <c r="G476" s="2">
        <v>24.01</v>
      </c>
      <c r="H476" s="2">
        <v>0.9</v>
      </c>
      <c r="I476" s="2">
        <v>0.2</v>
      </c>
      <c r="J476" s="2">
        <v>5</v>
      </c>
      <c r="K476" s="2" t="s">
        <v>21</v>
      </c>
      <c r="L476" s="2">
        <v>1.1100000000000001</v>
      </c>
      <c r="M476" s="2" t="s">
        <v>40</v>
      </c>
      <c r="N476" s="2">
        <v>80.010000000000005</v>
      </c>
      <c r="O476" s="2" t="s">
        <v>24</v>
      </c>
      <c r="P476" s="2">
        <v>6.25</v>
      </c>
      <c r="Q476" s="2">
        <v>9.8800000000000008</v>
      </c>
      <c r="R476" s="3">
        <f t="shared" si="35"/>
        <v>3092.25</v>
      </c>
      <c r="S476" s="3">
        <f t="shared" si="36"/>
        <v>4888.2287999999999</v>
      </c>
      <c r="T476" s="3">
        <f t="shared" si="37"/>
        <v>1795.9787999999999</v>
      </c>
      <c r="U476" s="4">
        <f t="shared" si="38"/>
        <v>0.36740890688259109</v>
      </c>
      <c r="V476" s="5">
        <f t="shared" si="39"/>
        <v>5.4918360000000011</v>
      </c>
    </row>
    <row r="477" spans="1:22" x14ac:dyDescent="0.25">
      <c r="A477" s="2" t="s">
        <v>511</v>
      </c>
      <c r="B477" s="2" t="s">
        <v>26</v>
      </c>
      <c r="C477" s="2" t="s">
        <v>19</v>
      </c>
      <c r="D477" s="2" t="s">
        <v>28</v>
      </c>
      <c r="E477" s="2">
        <v>670.41</v>
      </c>
      <c r="F477" s="2">
        <v>8.17</v>
      </c>
      <c r="G477" s="2">
        <v>24.22</v>
      </c>
      <c r="H477" s="2">
        <v>1.8</v>
      </c>
      <c r="I477" s="2">
        <v>0</v>
      </c>
      <c r="J477" s="2">
        <v>12</v>
      </c>
      <c r="K477" s="2" t="s">
        <v>21</v>
      </c>
      <c r="L477" s="2">
        <v>5.6</v>
      </c>
      <c r="M477" s="2" t="s">
        <v>37</v>
      </c>
      <c r="N477" s="2">
        <v>60.82</v>
      </c>
      <c r="O477" s="2" t="s">
        <v>23</v>
      </c>
      <c r="P477" s="2">
        <v>3.42</v>
      </c>
      <c r="Q477" s="2">
        <v>12.83</v>
      </c>
      <c r="R477" s="3">
        <f t="shared" si="35"/>
        <v>2292.8021999999996</v>
      </c>
      <c r="S477" s="3">
        <f t="shared" si="36"/>
        <v>8601.3603000000003</v>
      </c>
      <c r="T477" s="3">
        <f t="shared" si="37"/>
        <v>6308.5581000000002</v>
      </c>
      <c r="U477" s="4">
        <f t="shared" si="38"/>
        <v>0.7334372564302416</v>
      </c>
      <c r="V477" s="5">
        <f t="shared" si="39"/>
        <v>37.542959999999994</v>
      </c>
    </row>
    <row r="478" spans="1:22" x14ac:dyDescent="0.25">
      <c r="A478" s="2" t="s">
        <v>512</v>
      </c>
      <c r="B478" s="2" t="s">
        <v>32</v>
      </c>
      <c r="C478" s="2" t="s">
        <v>27</v>
      </c>
      <c r="D478" s="2" t="s">
        <v>28</v>
      </c>
      <c r="E478" s="2">
        <v>624.69000000000005</v>
      </c>
      <c r="F478" s="2">
        <v>17.600000000000001</v>
      </c>
      <c r="G478" s="2">
        <v>33.770000000000003</v>
      </c>
      <c r="H478" s="2">
        <v>0.7</v>
      </c>
      <c r="I478" s="2">
        <v>0.8</v>
      </c>
      <c r="J478" s="2">
        <v>7</v>
      </c>
      <c r="K478" s="2" t="s">
        <v>34</v>
      </c>
      <c r="L478" s="2">
        <v>8.5399999999999991</v>
      </c>
      <c r="M478" s="2" t="s">
        <v>40</v>
      </c>
      <c r="N478" s="2">
        <v>81.69</v>
      </c>
      <c r="O478" s="2" t="s">
        <v>30</v>
      </c>
      <c r="P478" s="2">
        <v>4.92</v>
      </c>
      <c r="Q478" s="2">
        <v>13.27</v>
      </c>
      <c r="R478" s="3">
        <f t="shared" si="35"/>
        <v>3073.4748000000004</v>
      </c>
      <c r="S478" s="3">
        <f t="shared" si="36"/>
        <v>8289.6363000000001</v>
      </c>
      <c r="T478" s="3">
        <f t="shared" si="37"/>
        <v>5216.1615000000002</v>
      </c>
      <c r="U478" s="4">
        <f t="shared" si="38"/>
        <v>0.62923888470233613</v>
      </c>
      <c r="V478" s="5">
        <f t="shared" si="39"/>
        <v>53.348526</v>
      </c>
    </row>
    <row r="479" spans="1:22" x14ac:dyDescent="0.25">
      <c r="A479" s="2" t="s">
        <v>513</v>
      </c>
      <c r="B479" s="2" t="s">
        <v>26</v>
      </c>
      <c r="C479" s="2" t="s">
        <v>27</v>
      </c>
      <c r="D479" s="2" t="s">
        <v>20</v>
      </c>
      <c r="E479" s="2">
        <v>493.8</v>
      </c>
      <c r="F479" s="2">
        <v>8.4499999999999993</v>
      </c>
      <c r="G479" s="2">
        <v>24.39</v>
      </c>
      <c r="H479" s="2">
        <v>4.8</v>
      </c>
      <c r="I479" s="2">
        <v>0.1</v>
      </c>
      <c r="J479" s="2">
        <v>13</v>
      </c>
      <c r="K479" s="2" t="s">
        <v>21</v>
      </c>
      <c r="L479" s="2">
        <v>4.3600000000000003</v>
      </c>
      <c r="M479" s="2" t="s">
        <v>40</v>
      </c>
      <c r="N479" s="2">
        <v>51.41</v>
      </c>
      <c r="O479" s="2" t="s">
        <v>23</v>
      </c>
      <c r="P479" s="2">
        <v>4.5999999999999996</v>
      </c>
      <c r="Q479" s="2">
        <v>13.64</v>
      </c>
      <c r="R479" s="3">
        <f t="shared" si="35"/>
        <v>2271.48</v>
      </c>
      <c r="S479" s="3">
        <f t="shared" si="36"/>
        <v>6735.4320000000007</v>
      </c>
      <c r="T479" s="3">
        <f t="shared" si="37"/>
        <v>4463.9520000000011</v>
      </c>
      <c r="U479" s="4">
        <f t="shared" si="38"/>
        <v>0.66275659824046929</v>
      </c>
      <c r="V479" s="5">
        <f t="shared" si="39"/>
        <v>21.529680000000003</v>
      </c>
    </row>
    <row r="480" spans="1:22" x14ac:dyDescent="0.25">
      <c r="A480" s="2" t="s">
        <v>514</v>
      </c>
      <c r="B480" s="2" t="s">
        <v>32</v>
      </c>
      <c r="C480" s="2" t="s">
        <v>33</v>
      </c>
      <c r="D480" s="2" t="s">
        <v>28</v>
      </c>
      <c r="E480" s="2">
        <v>595.14</v>
      </c>
      <c r="F480" s="2">
        <v>9.43</v>
      </c>
      <c r="G480" s="2">
        <v>28.77</v>
      </c>
      <c r="H480" s="2">
        <v>4.0999999999999996</v>
      </c>
      <c r="I480" s="2">
        <v>0.5</v>
      </c>
      <c r="J480" s="2">
        <v>13</v>
      </c>
      <c r="K480" s="2" t="s">
        <v>29</v>
      </c>
      <c r="L480" s="2">
        <v>7.94</v>
      </c>
      <c r="M480" s="2" t="s">
        <v>22</v>
      </c>
      <c r="N480" s="2">
        <v>67.06</v>
      </c>
      <c r="O480" s="2" t="s">
        <v>23</v>
      </c>
      <c r="P480" s="2">
        <v>9.2100000000000009</v>
      </c>
      <c r="Q480" s="2">
        <v>10.7</v>
      </c>
      <c r="R480" s="3">
        <f t="shared" si="35"/>
        <v>5481.2394000000004</v>
      </c>
      <c r="S480" s="3">
        <f t="shared" si="36"/>
        <v>6367.9979999999996</v>
      </c>
      <c r="T480" s="3">
        <f t="shared" si="37"/>
        <v>886.75859999999921</v>
      </c>
      <c r="U480" s="4">
        <f t="shared" si="38"/>
        <v>0.13925233644859802</v>
      </c>
      <c r="V480" s="5">
        <f t="shared" si="39"/>
        <v>47.254116000000003</v>
      </c>
    </row>
    <row r="481" spans="1:22" x14ac:dyDescent="0.25">
      <c r="A481" s="2" t="s">
        <v>515</v>
      </c>
      <c r="B481" s="2" t="s">
        <v>26</v>
      </c>
      <c r="C481" s="2" t="s">
        <v>43</v>
      </c>
      <c r="D481" s="2" t="s">
        <v>20</v>
      </c>
      <c r="E481" s="2">
        <v>463.35</v>
      </c>
      <c r="F481" s="2">
        <v>8.14</v>
      </c>
      <c r="G481" s="2">
        <v>35.64</v>
      </c>
      <c r="H481" s="2">
        <v>1.6</v>
      </c>
      <c r="I481" s="2">
        <v>0.9</v>
      </c>
      <c r="J481" s="2">
        <v>17</v>
      </c>
      <c r="K481" s="2" t="s">
        <v>34</v>
      </c>
      <c r="L481" s="2">
        <v>8.4499999999999993</v>
      </c>
      <c r="M481" s="2" t="s">
        <v>40</v>
      </c>
      <c r="N481" s="2">
        <v>87.38</v>
      </c>
      <c r="O481" s="2" t="s">
        <v>23</v>
      </c>
      <c r="P481" s="2">
        <v>7.53</v>
      </c>
      <c r="Q481" s="2">
        <v>13.67</v>
      </c>
      <c r="R481" s="3">
        <f t="shared" si="35"/>
        <v>3489.0255000000002</v>
      </c>
      <c r="S481" s="3">
        <f t="shared" si="36"/>
        <v>6333.9945000000007</v>
      </c>
      <c r="T481" s="3">
        <f t="shared" si="37"/>
        <v>2844.9690000000005</v>
      </c>
      <c r="U481" s="4">
        <f t="shared" si="38"/>
        <v>0.44915874177029996</v>
      </c>
      <c r="V481" s="5">
        <f t="shared" si="39"/>
        <v>39.153075000000001</v>
      </c>
    </row>
    <row r="482" spans="1:22" x14ac:dyDescent="0.25">
      <c r="A482" s="2" t="s">
        <v>516</v>
      </c>
      <c r="B482" s="2" t="s">
        <v>26</v>
      </c>
      <c r="C482" s="2" t="s">
        <v>43</v>
      </c>
      <c r="D482" s="2" t="s">
        <v>28</v>
      </c>
      <c r="E482" s="2">
        <v>329.61</v>
      </c>
      <c r="F482" s="2">
        <v>13.67</v>
      </c>
      <c r="G482" s="2">
        <v>35.68</v>
      </c>
      <c r="H482" s="2">
        <v>0.8</v>
      </c>
      <c r="I482" s="2">
        <v>0.3</v>
      </c>
      <c r="J482" s="2">
        <v>4</v>
      </c>
      <c r="K482" s="2" t="s">
        <v>34</v>
      </c>
      <c r="L482" s="2">
        <v>4.82</v>
      </c>
      <c r="M482" s="2" t="s">
        <v>22</v>
      </c>
      <c r="N482" s="2">
        <v>90.4</v>
      </c>
      <c r="O482" s="2" t="s">
        <v>24</v>
      </c>
      <c r="P482" s="2">
        <v>6.92</v>
      </c>
      <c r="Q482" s="2">
        <v>10.1</v>
      </c>
      <c r="R482" s="3">
        <f t="shared" si="35"/>
        <v>2280.9012000000002</v>
      </c>
      <c r="S482" s="3">
        <f t="shared" si="36"/>
        <v>3329.0610000000001</v>
      </c>
      <c r="T482" s="3">
        <f t="shared" si="37"/>
        <v>1048.1597999999999</v>
      </c>
      <c r="U482" s="4">
        <f t="shared" si="38"/>
        <v>0.3148514851485148</v>
      </c>
      <c r="V482" s="5">
        <f t="shared" si="39"/>
        <v>15.887202000000002</v>
      </c>
    </row>
    <row r="483" spans="1:22" x14ac:dyDescent="0.25">
      <c r="A483" s="2" t="s">
        <v>517</v>
      </c>
      <c r="B483" s="2" t="s">
        <v>45</v>
      </c>
      <c r="C483" s="2" t="s">
        <v>43</v>
      </c>
      <c r="D483" s="2" t="s">
        <v>20</v>
      </c>
      <c r="E483" s="2">
        <v>407.55</v>
      </c>
      <c r="F483" s="2">
        <v>17.32</v>
      </c>
      <c r="G483" s="2">
        <v>29.07</v>
      </c>
      <c r="H483" s="2">
        <v>0.7</v>
      </c>
      <c r="I483" s="2">
        <v>0.2</v>
      </c>
      <c r="J483" s="2">
        <v>18</v>
      </c>
      <c r="K483" s="2" t="s">
        <v>34</v>
      </c>
      <c r="L483" s="2">
        <v>6.11</v>
      </c>
      <c r="M483" s="2" t="s">
        <v>40</v>
      </c>
      <c r="N483" s="2">
        <v>62.65</v>
      </c>
      <c r="O483" s="2" t="s">
        <v>30</v>
      </c>
      <c r="P483" s="2">
        <v>6.55</v>
      </c>
      <c r="Q483" s="2">
        <v>11.07</v>
      </c>
      <c r="R483" s="3">
        <f t="shared" si="35"/>
        <v>2669.4524999999999</v>
      </c>
      <c r="S483" s="3">
        <f t="shared" si="36"/>
        <v>4511.5785000000005</v>
      </c>
      <c r="T483" s="3">
        <f t="shared" si="37"/>
        <v>1842.1260000000007</v>
      </c>
      <c r="U483" s="4">
        <f t="shared" si="38"/>
        <v>0.40831074977416448</v>
      </c>
      <c r="V483" s="5">
        <f t="shared" si="39"/>
        <v>24.901305000000001</v>
      </c>
    </row>
    <row r="484" spans="1:22" x14ac:dyDescent="0.25">
      <c r="A484" s="2" t="s">
        <v>518</v>
      </c>
      <c r="B484" s="2" t="s">
        <v>32</v>
      </c>
      <c r="C484" s="2" t="s">
        <v>43</v>
      </c>
      <c r="D484" s="2" t="s">
        <v>20</v>
      </c>
      <c r="E484" s="2">
        <v>656.29</v>
      </c>
      <c r="F484" s="2">
        <v>14.66</v>
      </c>
      <c r="G484" s="2">
        <v>35.840000000000003</v>
      </c>
      <c r="H484" s="2">
        <v>0.1</v>
      </c>
      <c r="I484" s="2">
        <v>1.5</v>
      </c>
      <c r="J484" s="2">
        <v>10</v>
      </c>
      <c r="K484" s="2" t="s">
        <v>29</v>
      </c>
      <c r="L484" s="2">
        <v>5.57</v>
      </c>
      <c r="M484" s="2" t="s">
        <v>37</v>
      </c>
      <c r="N484" s="2">
        <v>76.97</v>
      </c>
      <c r="O484" s="2" t="s">
        <v>23</v>
      </c>
      <c r="P484" s="2">
        <v>7.55</v>
      </c>
      <c r="Q484" s="2">
        <v>12.59</v>
      </c>
      <c r="R484" s="3">
        <f t="shared" si="35"/>
        <v>4954.9894999999997</v>
      </c>
      <c r="S484" s="3">
        <f t="shared" si="36"/>
        <v>8262.6911</v>
      </c>
      <c r="T484" s="3">
        <f t="shared" si="37"/>
        <v>3307.7016000000003</v>
      </c>
      <c r="U484" s="4">
        <f t="shared" si="38"/>
        <v>0.40031771247021447</v>
      </c>
      <c r="V484" s="5">
        <f t="shared" si="39"/>
        <v>36.555352999999997</v>
      </c>
    </row>
    <row r="485" spans="1:22" x14ac:dyDescent="0.25">
      <c r="A485" s="2" t="s">
        <v>519</v>
      </c>
      <c r="B485" s="2" t="s">
        <v>45</v>
      </c>
      <c r="C485" s="2" t="s">
        <v>27</v>
      </c>
      <c r="D485" s="2" t="s">
        <v>20</v>
      </c>
      <c r="E485" s="2">
        <v>472.6</v>
      </c>
      <c r="F485" s="2">
        <v>16.23</v>
      </c>
      <c r="G485" s="2">
        <v>36.770000000000003</v>
      </c>
      <c r="H485" s="2">
        <v>3.4</v>
      </c>
      <c r="I485" s="2">
        <v>2.9</v>
      </c>
      <c r="J485" s="2">
        <v>3</v>
      </c>
      <c r="K485" s="2" t="s">
        <v>34</v>
      </c>
      <c r="L485" s="2">
        <v>9.42</v>
      </c>
      <c r="M485" s="2" t="s">
        <v>40</v>
      </c>
      <c r="N485" s="2">
        <v>76.42</v>
      </c>
      <c r="O485" s="2" t="s">
        <v>23</v>
      </c>
      <c r="P485" s="2">
        <v>8.2799999999999994</v>
      </c>
      <c r="Q485" s="2">
        <v>9.25</v>
      </c>
      <c r="R485" s="3">
        <f t="shared" si="35"/>
        <v>3913.1279999999997</v>
      </c>
      <c r="S485" s="3">
        <f t="shared" si="36"/>
        <v>4371.55</v>
      </c>
      <c r="T485" s="3">
        <f t="shared" si="37"/>
        <v>458.42200000000048</v>
      </c>
      <c r="U485" s="4">
        <f t="shared" si="38"/>
        <v>0.10486486486486497</v>
      </c>
      <c r="V485" s="5">
        <f t="shared" si="39"/>
        <v>44.518920000000001</v>
      </c>
    </row>
    <row r="486" spans="1:22" x14ac:dyDescent="0.25">
      <c r="A486" s="2" t="s">
        <v>520</v>
      </c>
      <c r="B486" s="2" t="s">
        <v>32</v>
      </c>
      <c r="C486" s="2" t="s">
        <v>19</v>
      </c>
      <c r="D486" s="2" t="s">
        <v>28</v>
      </c>
      <c r="E486" s="2">
        <v>475.66</v>
      </c>
      <c r="F486" s="2">
        <v>8.1300000000000008</v>
      </c>
      <c r="G486" s="2">
        <v>33.1</v>
      </c>
      <c r="H486" s="2">
        <v>1.2</v>
      </c>
      <c r="I486" s="2">
        <v>0.1</v>
      </c>
      <c r="J486" s="2">
        <v>12</v>
      </c>
      <c r="K486" s="2" t="s">
        <v>29</v>
      </c>
      <c r="L486" s="2">
        <v>7.39</v>
      </c>
      <c r="M486" s="2" t="s">
        <v>40</v>
      </c>
      <c r="N486" s="2">
        <v>71.069999999999993</v>
      </c>
      <c r="O486" s="2" t="s">
        <v>23</v>
      </c>
      <c r="P486" s="2">
        <v>6.88</v>
      </c>
      <c r="Q486" s="2">
        <v>5.74</v>
      </c>
      <c r="R486" s="3">
        <f t="shared" si="35"/>
        <v>3272.5408000000002</v>
      </c>
      <c r="S486" s="3">
        <f t="shared" si="36"/>
        <v>2730.2884000000004</v>
      </c>
      <c r="T486" s="3">
        <f t="shared" si="37"/>
        <v>-542.25239999999985</v>
      </c>
      <c r="U486" s="4">
        <f t="shared" si="38"/>
        <v>-0.19860627177700341</v>
      </c>
      <c r="V486" s="5">
        <f t="shared" si="39"/>
        <v>35.151274000000001</v>
      </c>
    </row>
    <row r="487" spans="1:22" x14ac:dyDescent="0.25">
      <c r="A487" s="2" t="s">
        <v>521</v>
      </c>
      <c r="B487" s="2" t="s">
        <v>45</v>
      </c>
      <c r="C487" s="2" t="s">
        <v>19</v>
      </c>
      <c r="D487" s="2" t="s">
        <v>28</v>
      </c>
      <c r="E487" s="2">
        <v>470.02</v>
      </c>
      <c r="F487" s="2">
        <v>13.42</v>
      </c>
      <c r="G487" s="2">
        <v>24.57</v>
      </c>
      <c r="H487" s="2">
        <v>0.8</v>
      </c>
      <c r="I487" s="2">
        <v>0.2</v>
      </c>
      <c r="J487" s="2">
        <v>1</v>
      </c>
      <c r="K487" s="2" t="s">
        <v>21</v>
      </c>
      <c r="L487" s="2">
        <v>9.2899999999999991</v>
      </c>
      <c r="M487" s="2" t="s">
        <v>22</v>
      </c>
      <c r="N487" s="2">
        <v>61.42</v>
      </c>
      <c r="O487" s="2" t="s">
        <v>23</v>
      </c>
      <c r="P487" s="2">
        <v>9.57</v>
      </c>
      <c r="Q487" s="2">
        <v>8.5</v>
      </c>
      <c r="R487" s="3">
        <f t="shared" si="35"/>
        <v>4498.0914000000002</v>
      </c>
      <c r="S487" s="3">
        <f t="shared" si="36"/>
        <v>3995.17</v>
      </c>
      <c r="T487" s="3">
        <f t="shared" si="37"/>
        <v>-502.92140000000018</v>
      </c>
      <c r="U487" s="4">
        <f t="shared" si="38"/>
        <v>-0.1258823529411765</v>
      </c>
      <c r="V487" s="5">
        <f t="shared" si="39"/>
        <v>43.664857999999995</v>
      </c>
    </row>
    <row r="488" spans="1:22" x14ac:dyDescent="0.25">
      <c r="A488" s="2" t="s">
        <v>522</v>
      </c>
      <c r="B488" s="2" t="s">
        <v>18</v>
      </c>
      <c r="C488" s="2" t="s">
        <v>33</v>
      </c>
      <c r="D488" s="2" t="s">
        <v>20</v>
      </c>
      <c r="E488" s="2">
        <v>690.41</v>
      </c>
      <c r="F488" s="2">
        <v>12.6</v>
      </c>
      <c r="G488" s="2">
        <v>25.48</v>
      </c>
      <c r="H488" s="2">
        <v>1.3</v>
      </c>
      <c r="I488" s="2">
        <v>3.2</v>
      </c>
      <c r="J488" s="2">
        <v>27</v>
      </c>
      <c r="K488" s="2" t="s">
        <v>34</v>
      </c>
      <c r="L488" s="2">
        <v>2.59</v>
      </c>
      <c r="M488" s="2" t="s">
        <v>37</v>
      </c>
      <c r="N488" s="2">
        <v>85.16</v>
      </c>
      <c r="O488" s="2" t="s">
        <v>30</v>
      </c>
      <c r="P488" s="2">
        <v>9.84</v>
      </c>
      <c r="Q488" s="2">
        <v>11.24</v>
      </c>
      <c r="R488" s="3">
        <f t="shared" si="35"/>
        <v>6793.6343999999999</v>
      </c>
      <c r="S488" s="3">
        <f t="shared" si="36"/>
        <v>7760.2083999999995</v>
      </c>
      <c r="T488" s="3">
        <f t="shared" si="37"/>
        <v>966.57399999999961</v>
      </c>
      <c r="U488" s="4">
        <f t="shared" si="38"/>
        <v>0.12455516014234871</v>
      </c>
      <c r="V488" s="5">
        <f t="shared" si="39"/>
        <v>17.881618999999997</v>
      </c>
    </row>
    <row r="489" spans="1:22" x14ac:dyDescent="0.25">
      <c r="A489" s="2" t="s">
        <v>523</v>
      </c>
      <c r="B489" s="2" t="s">
        <v>26</v>
      </c>
      <c r="C489" s="2" t="s">
        <v>33</v>
      </c>
      <c r="D489" s="2" t="s">
        <v>20</v>
      </c>
      <c r="E489" s="2">
        <v>662.6</v>
      </c>
      <c r="F489" s="2">
        <v>12.99</v>
      </c>
      <c r="G489" s="2">
        <v>26.3</v>
      </c>
      <c r="H489" s="2">
        <v>3.4</v>
      </c>
      <c r="I489" s="2">
        <v>0</v>
      </c>
      <c r="J489" s="2">
        <v>11</v>
      </c>
      <c r="K489" s="2" t="s">
        <v>29</v>
      </c>
      <c r="L489" s="2">
        <v>3.45</v>
      </c>
      <c r="M489" s="2" t="s">
        <v>22</v>
      </c>
      <c r="N489" s="2">
        <v>62.62</v>
      </c>
      <c r="O489" s="2" t="s">
        <v>30</v>
      </c>
      <c r="P489" s="2">
        <v>9.9700000000000006</v>
      </c>
      <c r="Q489" s="2">
        <v>6.92</v>
      </c>
      <c r="R489" s="3">
        <f t="shared" si="35"/>
        <v>6606.1220000000003</v>
      </c>
      <c r="S489" s="3">
        <f t="shared" si="36"/>
        <v>4585.192</v>
      </c>
      <c r="T489" s="3">
        <f t="shared" si="37"/>
        <v>-2020.9300000000003</v>
      </c>
      <c r="U489" s="4">
        <f t="shared" si="38"/>
        <v>-0.44075144508670527</v>
      </c>
      <c r="V489" s="5">
        <f t="shared" si="39"/>
        <v>22.859700000000004</v>
      </c>
    </row>
    <row r="490" spans="1:22" x14ac:dyDescent="0.25">
      <c r="A490" s="2" t="s">
        <v>524</v>
      </c>
      <c r="B490" s="2" t="s">
        <v>32</v>
      </c>
      <c r="C490" s="2" t="s">
        <v>27</v>
      </c>
      <c r="D490" s="2" t="s">
        <v>20</v>
      </c>
      <c r="E490" s="2">
        <v>721.88</v>
      </c>
      <c r="F490" s="2">
        <v>8.7200000000000006</v>
      </c>
      <c r="G490" s="2">
        <v>22.34</v>
      </c>
      <c r="H490" s="2">
        <v>0.3</v>
      </c>
      <c r="I490" s="2">
        <v>3.8</v>
      </c>
      <c r="J490" s="2">
        <v>18</v>
      </c>
      <c r="K490" s="2" t="s">
        <v>34</v>
      </c>
      <c r="L490" s="2">
        <v>1.17</v>
      </c>
      <c r="M490" s="2" t="s">
        <v>37</v>
      </c>
      <c r="N490" s="2">
        <v>95.55</v>
      </c>
      <c r="O490" s="2" t="s">
        <v>24</v>
      </c>
      <c r="P490" s="2">
        <v>7.69</v>
      </c>
      <c r="Q490" s="2">
        <v>6.48</v>
      </c>
      <c r="R490" s="3">
        <f t="shared" si="35"/>
        <v>5551.2572</v>
      </c>
      <c r="S490" s="3">
        <f t="shared" si="36"/>
        <v>4677.7824000000001</v>
      </c>
      <c r="T490" s="3">
        <f t="shared" si="37"/>
        <v>-873.47479999999996</v>
      </c>
      <c r="U490" s="4">
        <f t="shared" si="38"/>
        <v>-0.18672839506172839</v>
      </c>
      <c r="V490" s="5">
        <f t="shared" si="39"/>
        <v>8.4459959999999992</v>
      </c>
    </row>
    <row r="491" spans="1:22" x14ac:dyDescent="0.25">
      <c r="A491" s="2" t="s">
        <v>525</v>
      </c>
      <c r="B491" s="2" t="s">
        <v>32</v>
      </c>
      <c r="C491" s="2" t="s">
        <v>19</v>
      </c>
      <c r="D491" s="2" t="s">
        <v>28</v>
      </c>
      <c r="E491" s="2">
        <v>484.1</v>
      </c>
      <c r="F491" s="2">
        <v>14.84</v>
      </c>
      <c r="G491" s="2">
        <v>25.46</v>
      </c>
      <c r="H491" s="2">
        <v>3.9</v>
      </c>
      <c r="I491" s="2">
        <v>0</v>
      </c>
      <c r="J491" s="2">
        <v>13</v>
      </c>
      <c r="K491" s="2" t="s">
        <v>21</v>
      </c>
      <c r="L491" s="2">
        <v>5.25</v>
      </c>
      <c r="M491" s="2" t="s">
        <v>37</v>
      </c>
      <c r="N491" s="2">
        <v>76.430000000000007</v>
      </c>
      <c r="O491" s="2" t="s">
        <v>30</v>
      </c>
      <c r="P491" s="2">
        <v>9.5299999999999994</v>
      </c>
      <c r="Q491" s="2">
        <v>7.93</v>
      </c>
      <c r="R491" s="3">
        <f t="shared" si="35"/>
        <v>4613.473</v>
      </c>
      <c r="S491" s="3">
        <f t="shared" si="36"/>
        <v>3838.913</v>
      </c>
      <c r="T491" s="3">
        <f t="shared" si="37"/>
        <v>-774.56</v>
      </c>
      <c r="U491" s="4">
        <f t="shared" si="38"/>
        <v>-0.20176544766708698</v>
      </c>
      <c r="V491" s="5">
        <f t="shared" si="39"/>
        <v>25.41525</v>
      </c>
    </row>
    <row r="492" spans="1:22" x14ac:dyDescent="0.25">
      <c r="A492" s="2" t="s">
        <v>526</v>
      </c>
      <c r="B492" s="2" t="s">
        <v>26</v>
      </c>
      <c r="C492" s="2" t="s">
        <v>19</v>
      </c>
      <c r="D492" s="2" t="s">
        <v>28</v>
      </c>
      <c r="E492" s="2">
        <v>529.55999999999995</v>
      </c>
      <c r="F492" s="2">
        <v>13.03</v>
      </c>
      <c r="G492" s="2">
        <v>24.19</v>
      </c>
      <c r="H492" s="2">
        <v>4.5999999999999996</v>
      </c>
      <c r="I492" s="2">
        <v>2.1</v>
      </c>
      <c r="J492" s="2">
        <v>17</v>
      </c>
      <c r="K492" s="2" t="s">
        <v>34</v>
      </c>
      <c r="L492" s="2">
        <v>8.8000000000000007</v>
      </c>
      <c r="M492" s="2" t="s">
        <v>22</v>
      </c>
      <c r="N492" s="2">
        <v>93.52</v>
      </c>
      <c r="O492" s="2" t="s">
        <v>30</v>
      </c>
      <c r="P492" s="2">
        <v>5.83</v>
      </c>
      <c r="Q492" s="2">
        <v>5.32</v>
      </c>
      <c r="R492" s="3">
        <f t="shared" si="35"/>
        <v>3087.3347999999996</v>
      </c>
      <c r="S492" s="3">
        <f t="shared" si="36"/>
        <v>2817.2592</v>
      </c>
      <c r="T492" s="3">
        <f t="shared" si="37"/>
        <v>-270.07559999999967</v>
      </c>
      <c r="U492" s="4">
        <f t="shared" si="38"/>
        <v>-9.5864661654135222E-2</v>
      </c>
      <c r="V492" s="5">
        <f t="shared" si="39"/>
        <v>46.601279999999996</v>
      </c>
    </row>
    <row r="493" spans="1:22" x14ac:dyDescent="0.25">
      <c r="A493" s="2" t="s">
        <v>527</v>
      </c>
      <c r="B493" s="2" t="s">
        <v>32</v>
      </c>
      <c r="C493" s="2" t="s">
        <v>43</v>
      </c>
      <c r="D493" s="2" t="s">
        <v>28</v>
      </c>
      <c r="E493" s="2">
        <v>348.34</v>
      </c>
      <c r="F493" s="2">
        <v>15.65</v>
      </c>
      <c r="G493" s="2">
        <v>29.11</v>
      </c>
      <c r="H493" s="2">
        <v>5.9</v>
      </c>
      <c r="I493" s="2">
        <v>0.4</v>
      </c>
      <c r="J493" s="2">
        <v>8</v>
      </c>
      <c r="K493" s="2" t="s">
        <v>21</v>
      </c>
      <c r="L493" s="2">
        <v>3.61</v>
      </c>
      <c r="M493" s="2" t="s">
        <v>40</v>
      </c>
      <c r="N493" s="2">
        <v>64.540000000000006</v>
      </c>
      <c r="O493" s="2" t="s">
        <v>23</v>
      </c>
      <c r="P493" s="2">
        <v>9.02</v>
      </c>
      <c r="Q493" s="2">
        <v>12.43</v>
      </c>
      <c r="R493" s="3">
        <f t="shared" si="35"/>
        <v>3142.0267999999996</v>
      </c>
      <c r="S493" s="3">
        <f t="shared" si="36"/>
        <v>4329.8661999999995</v>
      </c>
      <c r="T493" s="3">
        <f t="shared" si="37"/>
        <v>1187.8393999999998</v>
      </c>
      <c r="U493" s="4">
        <f t="shared" si="38"/>
        <v>0.27433628318584069</v>
      </c>
      <c r="V493" s="5">
        <f t="shared" si="39"/>
        <v>12.575073999999999</v>
      </c>
    </row>
    <row r="494" spans="1:22" x14ac:dyDescent="0.25">
      <c r="A494" s="2" t="s">
        <v>528</v>
      </c>
      <c r="B494" s="2" t="s">
        <v>32</v>
      </c>
      <c r="C494" s="2" t="s">
        <v>27</v>
      </c>
      <c r="D494" s="2" t="s">
        <v>28</v>
      </c>
      <c r="E494" s="2">
        <v>647.69000000000005</v>
      </c>
      <c r="F494" s="2">
        <v>12.85</v>
      </c>
      <c r="G494" s="2">
        <v>38.17</v>
      </c>
      <c r="H494" s="2">
        <v>1</v>
      </c>
      <c r="I494" s="2">
        <v>2.8</v>
      </c>
      <c r="J494" s="2">
        <v>20</v>
      </c>
      <c r="K494" s="2" t="s">
        <v>34</v>
      </c>
      <c r="L494" s="2">
        <v>1.72</v>
      </c>
      <c r="M494" s="2" t="s">
        <v>37</v>
      </c>
      <c r="N494" s="2">
        <v>90.35</v>
      </c>
      <c r="O494" s="2" t="s">
        <v>24</v>
      </c>
      <c r="P494" s="2">
        <v>9.36</v>
      </c>
      <c r="Q494" s="2">
        <v>7.59</v>
      </c>
      <c r="R494" s="3">
        <f t="shared" si="35"/>
        <v>6062.3784000000005</v>
      </c>
      <c r="S494" s="3">
        <f t="shared" si="36"/>
        <v>4915.9671000000008</v>
      </c>
      <c r="T494" s="3">
        <f t="shared" si="37"/>
        <v>-1146.4112999999998</v>
      </c>
      <c r="U494" s="4">
        <f t="shared" si="38"/>
        <v>-0.23320158102766789</v>
      </c>
      <c r="V494" s="5">
        <f t="shared" si="39"/>
        <v>11.140268000000001</v>
      </c>
    </row>
    <row r="495" spans="1:22" x14ac:dyDescent="0.25">
      <c r="A495" s="2" t="s">
        <v>529</v>
      </c>
      <c r="B495" s="2" t="s">
        <v>45</v>
      </c>
      <c r="C495" s="2" t="s">
        <v>27</v>
      </c>
      <c r="D495" s="2" t="s">
        <v>20</v>
      </c>
      <c r="E495" s="2">
        <v>383.22</v>
      </c>
      <c r="F495" s="2">
        <v>9.49</v>
      </c>
      <c r="G495" s="2">
        <v>22.09</v>
      </c>
      <c r="H495" s="2">
        <v>0.5</v>
      </c>
      <c r="I495" s="2">
        <v>0.4</v>
      </c>
      <c r="J495" s="2">
        <v>19</v>
      </c>
      <c r="K495" s="2" t="s">
        <v>29</v>
      </c>
      <c r="L495" s="2">
        <v>1.1499999999999999</v>
      </c>
      <c r="M495" s="2" t="s">
        <v>40</v>
      </c>
      <c r="N495" s="2">
        <v>55.68</v>
      </c>
      <c r="O495" s="2" t="s">
        <v>24</v>
      </c>
      <c r="P495" s="2">
        <v>9.33</v>
      </c>
      <c r="Q495" s="2">
        <v>6.24</v>
      </c>
      <c r="R495" s="3">
        <f t="shared" si="35"/>
        <v>3575.4426000000003</v>
      </c>
      <c r="S495" s="3">
        <f t="shared" si="36"/>
        <v>2391.2928000000002</v>
      </c>
      <c r="T495" s="3">
        <f t="shared" si="37"/>
        <v>-1184.1498000000001</v>
      </c>
      <c r="U495" s="4">
        <f t="shared" si="38"/>
        <v>-0.49519230769230771</v>
      </c>
      <c r="V495" s="5">
        <f t="shared" si="39"/>
        <v>4.4070299999999998</v>
      </c>
    </row>
    <row r="496" spans="1:22" x14ac:dyDescent="0.25">
      <c r="A496" s="2" t="s">
        <v>530</v>
      </c>
      <c r="B496" s="2" t="s">
        <v>32</v>
      </c>
      <c r="C496" s="2" t="s">
        <v>43</v>
      </c>
      <c r="D496" s="2" t="s">
        <v>20</v>
      </c>
      <c r="E496" s="2">
        <v>521.67999999999995</v>
      </c>
      <c r="F496" s="2">
        <v>14.48</v>
      </c>
      <c r="G496" s="2">
        <v>34.409999999999997</v>
      </c>
      <c r="H496" s="2">
        <v>0.9</v>
      </c>
      <c r="I496" s="2">
        <v>1.1000000000000001</v>
      </c>
      <c r="J496" s="2">
        <v>17</v>
      </c>
      <c r="K496" s="2" t="s">
        <v>21</v>
      </c>
      <c r="L496" s="2">
        <v>4.75</v>
      </c>
      <c r="M496" s="2" t="s">
        <v>22</v>
      </c>
      <c r="N496" s="2">
        <v>88.34</v>
      </c>
      <c r="O496" s="2" t="s">
        <v>23</v>
      </c>
      <c r="P496" s="2">
        <v>8.82</v>
      </c>
      <c r="Q496" s="2">
        <v>11.99</v>
      </c>
      <c r="R496" s="3">
        <f t="shared" si="35"/>
        <v>4601.2175999999999</v>
      </c>
      <c r="S496" s="3">
        <f t="shared" si="36"/>
        <v>6254.9431999999997</v>
      </c>
      <c r="T496" s="3">
        <f t="shared" si="37"/>
        <v>1653.7255999999998</v>
      </c>
      <c r="U496" s="4">
        <f t="shared" si="38"/>
        <v>0.26438698915763131</v>
      </c>
      <c r="V496" s="5">
        <f t="shared" si="39"/>
        <v>24.779799999999994</v>
      </c>
    </row>
    <row r="497" spans="1:22" x14ac:dyDescent="0.25">
      <c r="A497" s="2" t="s">
        <v>531</v>
      </c>
      <c r="B497" s="2" t="s">
        <v>18</v>
      </c>
      <c r="C497" s="2" t="s">
        <v>27</v>
      </c>
      <c r="D497" s="2" t="s">
        <v>28</v>
      </c>
      <c r="E497" s="2">
        <v>390.27</v>
      </c>
      <c r="F497" s="2">
        <v>9.7200000000000006</v>
      </c>
      <c r="G497" s="2">
        <v>33.75</v>
      </c>
      <c r="H497" s="2">
        <v>0.8</v>
      </c>
      <c r="I497" s="2">
        <v>0.1</v>
      </c>
      <c r="J497" s="2">
        <v>2</v>
      </c>
      <c r="K497" s="2" t="s">
        <v>34</v>
      </c>
      <c r="L497" s="2">
        <v>2.06</v>
      </c>
      <c r="M497" s="2" t="s">
        <v>22</v>
      </c>
      <c r="N497" s="2">
        <v>69.349999999999994</v>
      </c>
      <c r="O497" s="2" t="s">
        <v>24</v>
      </c>
      <c r="P497" s="2">
        <v>5.85</v>
      </c>
      <c r="Q497" s="2">
        <v>13.43</v>
      </c>
      <c r="R497" s="3">
        <f t="shared" si="35"/>
        <v>2283.0794999999998</v>
      </c>
      <c r="S497" s="3">
        <f t="shared" si="36"/>
        <v>5241.3260999999993</v>
      </c>
      <c r="T497" s="3">
        <f t="shared" si="37"/>
        <v>2958.2465999999995</v>
      </c>
      <c r="U497" s="4">
        <f t="shared" si="38"/>
        <v>0.56440804169769176</v>
      </c>
      <c r="V497" s="5">
        <f t="shared" si="39"/>
        <v>8.0395620000000001</v>
      </c>
    </row>
    <row r="498" spans="1:22" x14ac:dyDescent="0.25">
      <c r="A498" s="2" t="s">
        <v>532</v>
      </c>
      <c r="B498" s="2" t="s">
        <v>18</v>
      </c>
      <c r="C498" s="2" t="s">
        <v>27</v>
      </c>
      <c r="D498" s="2" t="s">
        <v>28</v>
      </c>
      <c r="E498" s="2">
        <v>441.11</v>
      </c>
      <c r="F498" s="2">
        <v>16.72</v>
      </c>
      <c r="G498" s="2">
        <v>21.92</v>
      </c>
      <c r="H498" s="2">
        <v>0.4</v>
      </c>
      <c r="I498" s="2">
        <v>0.3</v>
      </c>
      <c r="J498" s="2">
        <v>3</v>
      </c>
      <c r="K498" s="2" t="s">
        <v>21</v>
      </c>
      <c r="L498" s="2">
        <v>3.79</v>
      </c>
      <c r="M498" s="2" t="s">
        <v>22</v>
      </c>
      <c r="N498" s="2">
        <v>73.5</v>
      </c>
      <c r="O498" s="2" t="s">
        <v>30</v>
      </c>
      <c r="P498" s="2">
        <v>4.1100000000000003</v>
      </c>
      <c r="Q498" s="2">
        <v>5.2</v>
      </c>
      <c r="R498" s="3">
        <f t="shared" si="35"/>
        <v>1812.9621000000002</v>
      </c>
      <c r="S498" s="3">
        <f t="shared" si="36"/>
        <v>2293.7719999999999</v>
      </c>
      <c r="T498" s="3">
        <f t="shared" si="37"/>
        <v>480.80989999999974</v>
      </c>
      <c r="U498" s="4">
        <f t="shared" si="38"/>
        <v>0.20961538461538451</v>
      </c>
      <c r="V498" s="5">
        <f t="shared" si="39"/>
        <v>16.718069</v>
      </c>
    </row>
    <row r="499" spans="1:22" x14ac:dyDescent="0.25">
      <c r="A499" s="2" t="s">
        <v>533</v>
      </c>
      <c r="B499" s="2" t="s">
        <v>26</v>
      </c>
      <c r="C499" s="2" t="s">
        <v>33</v>
      </c>
      <c r="D499" s="2" t="s">
        <v>20</v>
      </c>
      <c r="E499" s="2">
        <v>416.27</v>
      </c>
      <c r="F499" s="2">
        <v>14.13</v>
      </c>
      <c r="G499" s="2">
        <v>38.450000000000003</v>
      </c>
      <c r="H499" s="2">
        <v>1.9</v>
      </c>
      <c r="I499" s="2">
        <v>1.5</v>
      </c>
      <c r="J499" s="2">
        <v>3</v>
      </c>
      <c r="K499" s="2" t="s">
        <v>21</v>
      </c>
      <c r="L499" s="2">
        <v>8.2899999999999991</v>
      </c>
      <c r="M499" s="2" t="s">
        <v>22</v>
      </c>
      <c r="N499" s="2">
        <v>58.34</v>
      </c>
      <c r="O499" s="2" t="s">
        <v>24</v>
      </c>
      <c r="P499" s="2">
        <v>5.34</v>
      </c>
      <c r="Q499" s="2">
        <v>7.34</v>
      </c>
      <c r="R499" s="3">
        <f t="shared" si="35"/>
        <v>2222.8817999999997</v>
      </c>
      <c r="S499" s="3">
        <f t="shared" si="36"/>
        <v>3055.4217999999996</v>
      </c>
      <c r="T499" s="3">
        <f t="shared" si="37"/>
        <v>832.54</v>
      </c>
      <c r="U499" s="4">
        <f t="shared" si="38"/>
        <v>0.27247956403269757</v>
      </c>
      <c r="V499" s="5">
        <f t="shared" si="39"/>
        <v>34.508782999999994</v>
      </c>
    </row>
    <row r="500" spans="1:22" x14ac:dyDescent="0.25">
      <c r="A500" s="2" t="s">
        <v>534</v>
      </c>
      <c r="B500" s="2" t="s">
        <v>32</v>
      </c>
      <c r="C500" s="2" t="s">
        <v>19</v>
      </c>
      <c r="D500" s="2" t="s">
        <v>28</v>
      </c>
      <c r="E500" s="2">
        <v>439.21</v>
      </c>
      <c r="F500" s="2">
        <v>9.57</v>
      </c>
      <c r="G500" s="2">
        <v>31.37</v>
      </c>
      <c r="H500" s="2">
        <v>1.3</v>
      </c>
      <c r="I500" s="2">
        <v>0.8</v>
      </c>
      <c r="J500" s="2">
        <v>6</v>
      </c>
      <c r="K500" s="2" t="s">
        <v>29</v>
      </c>
      <c r="L500" s="2">
        <v>4.1500000000000004</v>
      </c>
      <c r="M500" s="2" t="s">
        <v>37</v>
      </c>
      <c r="N500" s="2">
        <v>50.93</v>
      </c>
      <c r="O500" s="2" t="s">
        <v>23</v>
      </c>
      <c r="P500" s="2">
        <v>8.3699999999999992</v>
      </c>
      <c r="Q500" s="2">
        <v>14.45</v>
      </c>
      <c r="R500" s="3">
        <f t="shared" si="35"/>
        <v>3676.1876999999995</v>
      </c>
      <c r="S500" s="3">
        <f t="shared" si="36"/>
        <v>6346.584499999999</v>
      </c>
      <c r="T500" s="3">
        <f t="shared" si="37"/>
        <v>2670.3967999999995</v>
      </c>
      <c r="U500" s="4">
        <f t="shared" si="38"/>
        <v>0.42076124567474049</v>
      </c>
      <c r="V500" s="5">
        <f t="shared" si="39"/>
        <v>18.227215000000001</v>
      </c>
    </row>
    <row r="501" spans="1:22" x14ac:dyDescent="0.25">
      <c r="A501" s="2" t="s">
        <v>535</v>
      </c>
      <c r="B501" s="2" t="s">
        <v>26</v>
      </c>
      <c r="C501" s="2" t="s">
        <v>27</v>
      </c>
      <c r="D501" s="2" t="s">
        <v>28</v>
      </c>
      <c r="E501" s="2">
        <v>446.09</v>
      </c>
      <c r="F501" s="2">
        <v>17.62</v>
      </c>
      <c r="G501" s="2">
        <v>27.27</v>
      </c>
      <c r="H501" s="2">
        <v>4</v>
      </c>
      <c r="I501" s="2">
        <v>2.6</v>
      </c>
      <c r="J501" s="2">
        <v>10</v>
      </c>
      <c r="K501" s="2" t="s">
        <v>29</v>
      </c>
      <c r="L501" s="2">
        <v>6.29</v>
      </c>
      <c r="M501" s="2" t="s">
        <v>22</v>
      </c>
      <c r="N501" s="2">
        <v>83.31</v>
      </c>
      <c r="O501" s="2" t="s">
        <v>24</v>
      </c>
      <c r="P501" s="2">
        <v>4.63</v>
      </c>
      <c r="Q501" s="2">
        <v>8.85</v>
      </c>
      <c r="R501" s="3">
        <f t="shared" si="35"/>
        <v>2065.3966999999998</v>
      </c>
      <c r="S501" s="3">
        <f t="shared" si="36"/>
        <v>3947.8964999999998</v>
      </c>
      <c r="T501" s="3">
        <f t="shared" si="37"/>
        <v>1882.4998000000001</v>
      </c>
      <c r="U501" s="4">
        <f t="shared" si="38"/>
        <v>0.47683615819209041</v>
      </c>
      <c r="V501" s="5">
        <f t="shared" si="39"/>
        <v>28.059060999999996</v>
      </c>
    </row>
    <row r="502" spans="1:22" x14ac:dyDescent="0.25">
      <c r="A502" s="2" t="s">
        <v>536</v>
      </c>
      <c r="B502" s="2" t="s">
        <v>18</v>
      </c>
      <c r="C502" s="2" t="s">
        <v>33</v>
      </c>
      <c r="D502" s="2" t="s">
        <v>28</v>
      </c>
      <c r="E502" s="2">
        <v>445.17</v>
      </c>
      <c r="F502" s="2">
        <v>13.18</v>
      </c>
      <c r="G502" s="2">
        <v>35.130000000000003</v>
      </c>
      <c r="H502" s="2">
        <v>0.1</v>
      </c>
      <c r="I502" s="2">
        <v>0.6</v>
      </c>
      <c r="J502" s="2">
        <v>24</v>
      </c>
      <c r="K502" s="2" t="s">
        <v>29</v>
      </c>
      <c r="L502" s="2">
        <v>5.27</v>
      </c>
      <c r="M502" s="2" t="s">
        <v>40</v>
      </c>
      <c r="N502" s="2">
        <v>79.39</v>
      </c>
      <c r="O502" s="2" t="s">
        <v>24</v>
      </c>
      <c r="P502" s="2">
        <v>6.35</v>
      </c>
      <c r="Q502" s="2">
        <v>14.39</v>
      </c>
      <c r="R502" s="3">
        <f t="shared" si="35"/>
        <v>2826.8294999999998</v>
      </c>
      <c r="S502" s="3">
        <f t="shared" si="36"/>
        <v>6405.9963000000007</v>
      </c>
      <c r="T502" s="3">
        <f t="shared" si="37"/>
        <v>3579.1668000000009</v>
      </c>
      <c r="U502" s="4">
        <f t="shared" si="38"/>
        <v>0.55872133425990278</v>
      </c>
      <c r="V502" s="5">
        <f t="shared" si="39"/>
        <v>23.460459</v>
      </c>
    </row>
    <row r="503" spans="1:22" x14ac:dyDescent="0.25">
      <c r="A503" s="2" t="s">
        <v>537</v>
      </c>
      <c r="B503" s="2" t="s">
        <v>32</v>
      </c>
      <c r="C503" s="2" t="s">
        <v>19</v>
      </c>
      <c r="D503" s="2" t="s">
        <v>28</v>
      </c>
      <c r="E503" s="2">
        <v>583.33000000000004</v>
      </c>
      <c r="F503" s="2">
        <v>8.73</v>
      </c>
      <c r="G503" s="2">
        <v>25.15</v>
      </c>
      <c r="H503" s="2">
        <v>2.1</v>
      </c>
      <c r="I503" s="2">
        <v>2</v>
      </c>
      <c r="J503" s="2">
        <v>22</v>
      </c>
      <c r="K503" s="2" t="s">
        <v>29</v>
      </c>
      <c r="L503" s="2">
        <v>7.33</v>
      </c>
      <c r="M503" s="2" t="s">
        <v>40</v>
      </c>
      <c r="N503" s="2">
        <v>81.12</v>
      </c>
      <c r="O503" s="2" t="s">
        <v>24</v>
      </c>
      <c r="P503" s="2">
        <v>6.96</v>
      </c>
      <c r="Q503" s="2">
        <v>7.74</v>
      </c>
      <c r="R503" s="3">
        <f t="shared" si="35"/>
        <v>4059.9768000000004</v>
      </c>
      <c r="S503" s="3">
        <f t="shared" si="36"/>
        <v>4514.9742000000006</v>
      </c>
      <c r="T503" s="3">
        <f t="shared" si="37"/>
        <v>454.9974000000002</v>
      </c>
      <c r="U503" s="4">
        <f t="shared" si="38"/>
        <v>0.10077519379844964</v>
      </c>
      <c r="V503" s="5">
        <f t="shared" si="39"/>
        <v>42.758088999999998</v>
      </c>
    </row>
    <row r="504" spans="1:22" x14ac:dyDescent="0.25">
      <c r="A504" s="2" t="s">
        <v>538</v>
      </c>
      <c r="B504" s="2" t="s">
        <v>32</v>
      </c>
      <c r="C504" s="2" t="s">
        <v>43</v>
      </c>
      <c r="D504" s="2" t="s">
        <v>28</v>
      </c>
      <c r="E504" s="2">
        <v>389.51</v>
      </c>
      <c r="F504" s="2">
        <v>14.27</v>
      </c>
      <c r="G504" s="2">
        <v>33.869999999999997</v>
      </c>
      <c r="H504" s="2">
        <v>2.9</v>
      </c>
      <c r="I504" s="2">
        <v>0.6</v>
      </c>
      <c r="J504" s="2">
        <v>18</v>
      </c>
      <c r="K504" s="2" t="s">
        <v>21</v>
      </c>
      <c r="L504" s="2">
        <v>1.98</v>
      </c>
      <c r="M504" s="2" t="s">
        <v>37</v>
      </c>
      <c r="N504" s="2">
        <v>62.75</v>
      </c>
      <c r="O504" s="2" t="s">
        <v>23</v>
      </c>
      <c r="P504" s="2">
        <v>7.23</v>
      </c>
      <c r="Q504" s="2">
        <v>7.18</v>
      </c>
      <c r="R504" s="3">
        <f t="shared" si="35"/>
        <v>2816.1573000000003</v>
      </c>
      <c r="S504" s="3">
        <f t="shared" si="36"/>
        <v>2796.6817999999998</v>
      </c>
      <c r="T504" s="3">
        <f t="shared" si="37"/>
        <v>-19.475500000000466</v>
      </c>
      <c r="U504" s="4">
        <f t="shared" si="38"/>
        <v>-6.9637883008358218E-3</v>
      </c>
      <c r="V504" s="5">
        <f t="shared" si="39"/>
        <v>7.7122979999999997</v>
      </c>
    </row>
    <row r="505" spans="1:22" x14ac:dyDescent="0.25">
      <c r="A505" s="2" t="s">
        <v>539</v>
      </c>
      <c r="B505" s="2" t="s">
        <v>26</v>
      </c>
      <c r="C505" s="2" t="s">
        <v>33</v>
      </c>
      <c r="D505" s="2" t="s">
        <v>28</v>
      </c>
      <c r="E505" s="2">
        <v>522.04999999999995</v>
      </c>
      <c r="F505" s="2">
        <v>10.53</v>
      </c>
      <c r="G505" s="2">
        <v>20.79</v>
      </c>
      <c r="H505" s="2">
        <v>2.8</v>
      </c>
      <c r="I505" s="2">
        <v>3.9</v>
      </c>
      <c r="J505" s="2">
        <v>18</v>
      </c>
      <c r="K505" s="2" t="s">
        <v>21</v>
      </c>
      <c r="L505" s="2">
        <v>9.24</v>
      </c>
      <c r="M505" s="2" t="s">
        <v>22</v>
      </c>
      <c r="N505" s="2">
        <v>61.96</v>
      </c>
      <c r="O505" s="2" t="s">
        <v>30</v>
      </c>
      <c r="P505" s="2">
        <v>9.5500000000000007</v>
      </c>
      <c r="Q505" s="2">
        <v>7.14</v>
      </c>
      <c r="R505" s="3">
        <f t="shared" si="35"/>
        <v>4985.5775000000003</v>
      </c>
      <c r="S505" s="3">
        <f t="shared" si="36"/>
        <v>3727.4369999999994</v>
      </c>
      <c r="T505" s="3">
        <f t="shared" si="37"/>
        <v>-1258.1405000000009</v>
      </c>
      <c r="U505" s="4">
        <f t="shared" si="38"/>
        <v>-0.33753501400560254</v>
      </c>
      <c r="V505" s="5">
        <f t="shared" si="39"/>
        <v>48.237419999999993</v>
      </c>
    </row>
    <row r="506" spans="1:22" x14ac:dyDescent="0.25">
      <c r="A506" s="2" t="s">
        <v>540</v>
      </c>
      <c r="B506" s="2" t="s">
        <v>18</v>
      </c>
      <c r="C506" s="2" t="s">
        <v>33</v>
      </c>
      <c r="D506" s="2" t="s">
        <v>20</v>
      </c>
      <c r="E506" s="2">
        <v>621.79999999999995</v>
      </c>
      <c r="F506" s="2">
        <v>16.04</v>
      </c>
      <c r="G506" s="2">
        <v>36.79</v>
      </c>
      <c r="H506" s="2">
        <v>4.3</v>
      </c>
      <c r="I506" s="2">
        <v>3.2</v>
      </c>
      <c r="J506" s="2">
        <v>14</v>
      </c>
      <c r="K506" s="2" t="s">
        <v>34</v>
      </c>
      <c r="L506" s="2">
        <v>6.61</v>
      </c>
      <c r="M506" s="2" t="s">
        <v>37</v>
      </c>
      <c r="N506" s="2">
        <v>91.51</v>
      </c>
      <c r="O506" s="2" t="s">
        <v>24</v>
      </c>
      <c r="P506" s="2">
        <v>7.63</v>
      </c>
      <c r="Q506" s="2">
        <v>5.85</v>
      </c>
      <c r="R506" s="3">
        <f t="shared" si="35"/>
        <v>4744.3339999999998</v>
      </c>
      <c r="S506" s="3">
        <f t="shared" si="36"/>
        <v>3637.5299999999993</v>
      </c>
      <c r="T506" s="3">
        <f t="shared" si="37"/>
        <v>-1106.8040000000005</v>
      </c>
      <c r="U506" s="4">
        <f t="shared" si="38"/>
        <v>-0.30427350427350447</v>
      </c>
      <c r="V506" s="5">
        <f t="shared" si="39"/>
        <v>41.10098</v>
      </c>
    </row>
    <row r="507" spans="1:22" x14ac:dyDescent="0.25">
      <c r="A507" s="2" t="s">
        <v>541</v>
      </c>
      <c r="B507" s="2" t="s">
        <v>32</v>
      </c>
      <c r="C507" s="2" t="s">
        <v>19</v>
      </c>
      <c r="D507" s="2" t="s">
        <v>28</v>
      </c>
      <c r="E507" s="2">
        <v>448.68</v>
      </c>
      <c r="F507" s="2">
        <v>16.18</v>
      </c>
      <c r="G507" s="2">
        <v>28.96</v>
      </c>
      <c r="H507" s="2">
        <v>2.6</v>
      </c>
      <c r="I507" s="2">
        <v>0.4</v>
      </c>
      <c r="J507" s="2">
        <v>16</v>
      </c>
      <c r="K507" s="2" t="s">
        <v>34</v>
      </c>
      <c r="L507" s="2">
        <v>3.07</v>
      </c>
      <c r="M507" s="2" t="s">
        <v>37</v>
      </c>
      <c r="N507" s="2">
        <v>88.06</v>
      </c>
      <c r="O507" s="2" t="s">
        <v>30</v>
      </c>
      <c r="P507" s="2">
        <v>8.5</v>
      </c>
      <c r="Q507" s="2">
        <v>13.96</v>
      </c>
      <c r="R507" s="3">
        <f t="shared" si="35"/>
        <v>3813.78</v>
      </c>
      <c r="S507" s="3">
        <f t="shared" si="36"/>
        <v>6263.5728000000008</v>
      </c>
      <c r="T507" s="3">
        <f t="shared" si="37"/>
        <v>2449.7928000000006</v>
      </c>
      <c r="U507" s="4">
        <f t="shared" si="38"/>
        <v>0.3911174785100287</v>
      </c>
      <c r="V507" s="5">
        <f t="shared" si="39"/>
        <v>13.774476</v>
      </c>
    </row>
    <row r="508" spans="1:22" x14ac:dyDescent="0.25">
      <c r="A508" s="2" t="s">
        <v>542</v>
      </c>
      <c r="B508" s="2" t="s">
        <v>26</v>
      </c>
      <c r="C508" s="2" t="s">
        <v>43</v>
      </c>
      <c r="D508" s="2" t="s">
        <v>28</v>
      </c>
      <c r="E508" s="2">
        <v>428.21</v>
      </c>
      <c r="F508" s="2">
        <v>17.79</v>
      </c>
      <c r="G508" s="2">
        <v>32.729999999999997</v>
      </c>
      <c r="H508" s="2">
        <v>5.3</v>
      </c>
      <c r="I508" s="2">
        <v>2.2000000000000002</v>
      </c>
      <c r="J508" s="2">
        <v>7</v>
      </c>
      <c r="K508" s="2" t="s">
        <v>34</v>
      </c>
      <c r="L508" s="2">
        <v>1.67</v>
      </c>
      <c r="M508" s="2" t="s">
        <v>37</v>
      </c>
      <c r="N508" s="2">
        <v>66.84</v>
      </c>
      <c r="O508" s="2" t="s">
        <v>30</v>
      </c>
      <c r="P508" s="2">
        <v>7.07</v>
      </c>
      <c r="Q508" s="2">
        <v>14.8</v>
      </c>
      <c r="R508" s="3">
        <f t="shared" si="35"/>
        <v>3027.4447</v>
      </c>
      <c r="S508" s="3">
        <f t="shared" si="36"/>
        <v>6337.5079999999998</v>
      </c>
      <c r="T508" s="3">
        <f t="shared" si="37"/>
        <v>3310.0632999999998</v>
      </c>
      <c r="U508" s="4">
        <f t="shared" si="38"/>
        <v>0.52229729729729724</v>
      </c>
      <c r="V508" s="5">
        <f t="shared" si="39"/>
        <v>7.1511069999999997</v>
      </c>
    </row>
    <row r="509" spans="1:22" x14ac:dyDescent="0.25">
      <c r="A509" s="2" t="s">
        <v>543</v>
      </c>
      <c r="B509" s="2" t="s">
        <v>18</v>
      </c>
      <c r="C509" s="2" t="s">
        <v>33</v>
      </c>
      <c r="D509" s="2" t="s">
        <v>20</v>
      </c>
      <c r="E509" s="2">
        <v>476.95</v>
      </c>
      <c r="F509" s="2">
        <v>13.02</v>
      </c>
      <c r="G509" s="2">
        <v>24.42</v>
      </c>
      <c r="H509" s="2">
        <v>0.8</v>
      </c>
      <c r="I509" s="2">
        <v>1.9</v>
      </c>
      <c r="J509" s="2">
        <v>1</v>
      </c>
      <c r="K509" s="2" t="s">
        <v>29</v>
      </c>
      <c r="L509" s="2">
        <v>1.92</v>
      </c>
      <c r="M509" s="2" t="s">
        <v>22</v>
      </c>
      <c r="N509" s="2">
        <v>81.89</v>
      </c>
      <c r="O509" s="2" t="s">
        <v>30</v>
      </c>
      <c r="P509" s="2">
        <v>8.84</v>
      </c>
      <c r="Q509" s="2">
        <v>14.55</v>
      </c>
      <c r="R509" s="3">
        <f t="shared" si="35"/>
        <v>4216.2380000000003</v>
      </c>
      <c r="S509" s="3">
        <f t="shared" si="36"/>
        <v>6939.6225000000004</v>
      </c>
      <c r="T509" s="3">
        <f t="shared" si="37"/>
        <v>2723.3845000000001</v>
      </c>
      <c r="U509" s="4">
        <f t="shared" si="38"/>
        <v>0.39243986254295532</v>
      </c>
      <c r="V509" s="5">
        <f t="shared" si="39"/>
        <v>9.1574399999999994</v>
      </c>
    </row>
    <row r="510" spans="1:22" x14ac:dyDescent="0.25">
      <c r="A510" s="2" t="s">
        <v>544</v>
      </c>
      <c r="B510" s="2" t="s">
        <v>26</v>
      </c>
      <c r="C510" s="2" t="s">
        <v>27</v>
      </c>
      <c r="D510" s="2" t="s">
        <v>20</v>
      </c>
      <c r="E510" s="2">
        <v>617.97</v>
      </c>
      <c r="F510" s="2">
        <v>12.55</v>
      </c>
      <c r="G510" s="2">
        <v>33.54</v>
      </c>
      <c r="H510" s="2">
        <v>1.4</v>
      </c>
      <c r="I510" s="2">
        <v>0.2</v>
      </c>
      <c r="J510" s="2">
        <v>17</v>
      </c>
      <c r="K510" s="2" t="s">
        <v>21</v>
      </c>
      <c r="L510" s="2">
        <v>7.94</v>
      </c>
      <c r="M510" s="2" t="s">
        <v>40</v>
      </c>
      <c r="N510" s="2">
        <v>91.41</v>
      </c>
      <c r="O510" s="2" t="s">
        <v>24</v>
      </c>
      <c r="P510" s="2">
        <v>4.8499999999999996</v>
      </c>
      <c r="Q510" s="2">
        <v>13.52</v>
      </c>
      <c r="R510" s="3">
        <f t="shared" si="35"/>
        <v>2997.1545000000001</v>
      </c>
      <c r="S510" s="3">
        <f t="shared" si="36"/>
        <v>8354.9544000000005</v>
      </c>
      <c r="T510" s="3">
        <f t="shared" si="37"/>
        <v>5357.7999</v>
      </c>
      <c r="U510" s="4">
        <f t="shared" si="38"/>
        <v>0.64127218934911234</v>
      </c>
      <c r="V510" s="5">
        <f t="shared" si="39"/>
        <v>49.066818000000005</v>
      </c>
    </row>
    <row r="511" spans="1:22" x14ac:dyDescent="0.25">
      <c r="A511" s="2" t="s">
        <v>545</v>
      </c>
      <c r="B511" s="2" t="s">
        <v>45</v>
      </c>
      <c r="C511" s="2" t="s">
        <v>27</v>
      </c>
      <c r="D511" s="2" t="s">
        <v>20</v>
      </c>
      <c r="E511" s="2">
        <v>519.41</v>
      </c>
      <c r="F511" s="2">
        <v>15.53</v>
      </c>
      <c r="G511" s="2">
        <v>35.44</v>
      </c>
      <c r="H511" s="2">
        <v>0</v>
      </c>
      <c r="I511" s="2">
        <v>1</v>
      </c>
      <c r="J511" s="2">
        <v>23</v>
      </c>
      <c r="K511" s="2" t="s">
        <v>21</v>
      </c>
      <c r="L511" s="2">
        <v>6.09</v>
      </c>
      <c r="M511" s="2" t="s">
        <v>40</v>
      </c>
      <c r="N511" s="2">
        <v>94.44</v>
      </c>
      <c r="O511" s="2" t="s">
        <v>30</v>
      </c>
      <c r="P511" s="2">
        <v>4.47</v>
      </c>
      <c r="Q511" s="2">
        <v>13.47</v>
      </c>
      <c r="R511" s="3">
        <f t="shared" si="35"/>
        <v>2321.7626999999998</v>
      </c>
      <c r="S511" s="3">
        <f t="shared" si="36"/>
        <v>6996.4526999999998</v>
      </c>
      <c r="T511" s="3">
        <f t="shared" si="37"/>
        <v>4674.6900000000005</v>
      </c>
      <c r="U511" s="4">
        <f t="shared" si="38"/>
        <v>0.66815144766147005</v>
      </c>
      <c r="V511" s="5">
        <f t="shared" si="39"/>
        <v>31.632068999999998</v>
      </c>
    </row>
    <row r="512" spans="1:22" x14ac:dyDescent="0.25">
      <c r="A512" s="2" t="s">
        <v>546</v>
      </c>
      <c r="B512" s="2" t="s">
        <v>32</v>
      </c>
      <c r="C512" s="2" t="s">
        <v>27</v>
      </c>
      <c r="D512" s="2" t="s">
        <v>28</v>
      </c>
      <c r="E512" s="2">
        <v>446.88</v>
      </c>
      <c r="F512" s="2">
        <v>9.32</v>
      </c>
      <c r="G512" s="2">
        <v>29.46</v>
      </c>
      <c r="H512" s="2">
        <v>0</v>
      </c>
      <c r="I512" s="2">
        <v>0.1</v>
      </c>
      <c r="J512" s="2">
        <v>25</v>
      </c>
      <c r="K512" s="2" t="s">
        <v>34</v>
      </c>
      <c r="L512" s="2">
        <v>4.12</v>
      </c>
      <c r="M512" s="2" t="s">
        <v>37</v>
      </c>
      <c r="N512" s="2">
        <v>50.29</v>
      </c>
      <c r="O512" s="2" t="s">
        <v>24</v>
      </c>
      <c r="P512" s="2">
        <v>9.48</v>
      </c>
      <c r="Q512" s="2">
        <v>11.61</v>
      </c>
      <c r="R512" s="3">
        <f t="shared" si="35"/>
        <v>4236.4224000000004</v>
      </c>
      <c r="S512" s="3">
        <f t="shared" si="36"/>
        <v>5188.2767999999996</v>
      </c>
      <c r="T512" s="3">
        <f t="shared" si="37"/>
        <v>951.85439999999926</v>
      </c>
      <c r="U512" s="4">
        <f t="shared" si="38"/>
        <v>0.18346253229974147</v>
      </c>
      <c r="V512" s="5">
        <f t="shared" si="39"/>
        <v>18.411456000000001</v>
      </c>
    </row>
    <row r="513" spans="1:22" x14ac:dyDescent="0.25">
      <c r="A513" s="2" t="s">
        <v>547</v>
      </c>
      <c r="B513" s="2" t="s">
        <v>45</v>
      </c>
      <c r="C513" s="2" t="s">
        <v>43</v>
      </c>
      <c r="D513" s="2" t="s">
        <v>20</v>
      </c>
      <c r="E513" s="2">
        <v>548.39</v>
      </c>
      <c r="F513" s="2">
        <v>13.47</v>
      </c>
      <c r="G513" s="2">
        <v>32.35</v>
      </c>
      <c r="H513" s="2">
        <v>0.5</v>
      </c>
      <c r="I513" s="2">
        <v>1.8</v>
      </c>
      <c r="J513" s="2">
        <v>5</v>
      </c>
      <c r="K513" s="2" t="s">
        <v>34</v>
      </c>
      <c r="L513" s="2">
        <v>3.66</v>
      </c>
      <c r="M513" s="2" t="s">
        <v>37</v>
      </c>
      <c r="N513" s="2">
        <v>90.67</v>
      </c>
      <c r="O513" s="2" t="s">
        <v>24</v>
      </c>
      <c r="P513" s="2">
        <v>7.85</v>
      </c>
      <c r="Q513" s="2">
        <v>13.26</v>
      </c>
      <c r="R513" s="3">
        <f t="shared" si="35"/>
        <v>4304.8615</v>
      </c>
      <c r="S513" s="3">
        <f t="shared" si="36"/>
        <v>7271.6513999999997</v>
      </c>
      <c r="T513" s="3">
        <f t="shared" si="37"/>
        <v>2966.7898999999998</v>
      </c>
      <c r="U513" s="4">
        <f t="shared" si="38"/>
        <v>0.40799396681749622</v>
      </c>
      <c r="V513" s="5">
        <f t="shared" si="39"/>
        <v>20.071073999999999</v>
      </c>
    </row>
    <row r="514" spans="1:22" x14ac:dyDescent="0.25">
      <c r="A514" s="2" t="s">
        <v>548</v>
      </c>
      <c r="B514" s="2" t="s">
        <v>18</v>
      </c>
      <c r="C514" s="2" t="s">
        <v>33</v>
      </c>
      <c r="D514" s="2" t="s">
        <v>28</v>
      </c>
      <c r="E514" s="2">
        <v>389.77</v>
      </c>
      <c r="F514" s="2">
        <v>13.46</v>
      </c>
      <c r="G514" s="2">
        <v>29.13</v>
      </c>
      <c r="H514" s="2">
        <v>0.2</v>
      </c>
      <c r="I514" s="2">
        <v>0.2</v>
      </c>
      <c r="J514" s="2">
        <v>27</v>
      </c>
      <c r="K514" s="2" t="s">
        <v>21</v>
      </c>
      <c r="L514" s="2">
        <v>8.6300000000000008</v>
      </c>
      <c r="M514" s="2" t="s">
        <v>40</v>
      </c>
      <c r="N514" s="2">
        <v>67.52</v>
      </c>
      <c r="O514" s="2" t="s">
        <v>24</v>
      </c>
      <c r="P514" s="2">
        <v>7.7</v>
      </c>
      <c r="Q514" s="2">
        <v>7.08</v>
      </c>
      <c r="R514" s="3">
        <f t="shared" si="35"/>
        <v>3001.2289999999998</v>
      </c>
      <c r="S514" s="3">
        <f t="shared" si="36"/>
        <v>2759.5715999999998</v>
      </c>
      <c r="T514" s="3">
        <f t="shared" si="37"/>
        <v>-241.65740000000005</v>
      </c>
      <c r="U514" s="4">
        <f t="shared" si="38"/>
        <v>-8.7570621468926579E-2</v>
      </c>
      <c r="V514" s="5">
        <f t="shared" si="39"/>
        <v>33.637151000000003</v>
      </c>
    </row>
    <row r="515" spans="1:22" x14ac:dyDescent="0.25">
      <c r="A515" s="2" t="s">
        <v>549</v>
      </c>
      <c r="B515" s="2" t="s">
        <v>45</v>
      </c>
      <c r="C515" s="2" t="s">
        <v>27</v>
      </c>
      <c r="D515" s="2" t="s">
        <v>28</v>
      </c>
      <c r="E515" s="2">
        <v>568.14</v>
      </c>
      <c r="F515" s="2">
        <v>8.89</v>
      </c>
      <c r="G515" s="2">
        <v>37.880000000000003</v>
      </c>
      <c r="H515" s="2">
        <v>0.6</v>
      </c>
      <c r="I515" s="2">
        <v>0.1</v>
      </c>
      <c r="J515" s="2">
        <v>1</v>
      </c>
      <c r="K515" s="2" t="s">
        <v>29</v>
      </c>
      <c r="L515" s="2">
        <v>8.81</v>
      </c>
      <c r="M515" s="2" t="s">
        <v>40</v>
      </c>
      <c r="N515" s="2">
        <v>85.92</v>
      </c>
      <c r="O515" s="2" t="s">
        <v>30</v>
      </c>
      <c r="P515" s="2">
        <v>6.27</v>
      </c>
      <c r="Q515" s="2">
        <v>8.8800000000000008</v>
      </c>
      <c r="R515" s="3">
        <f t="shared" ref="R515:R578" si="40">E515*P515</f>
        <v>3562.2377999999999</v>
      </c>
      <c r="S515" s="3">
        <f t="shared" ref="S515:S578" si="41">E515*Q515</f>
        <v>5045.0832</v>
      </c>
      <c r="T515" s="3">
        <f t="shared" ref="T515:T578" si="42">S515-R515</f>
        <v>1482.8454000000002</v>
      </c>
      <c r="U515" s="4">
        <f t="shared" ref="U515:U578" si="43">T515/S515</f>
        <v>0.29391891891891897</v>
      </c>
      <c r="V515" s="5">
        <f t="shared" ref="V515:V578" si="44">E515*L515/100</f>
        <v>50.053134</v>
      </c>
    </row>
    <row r="516" spans="1:22" x14ac:dyDescent="0.25">
      <c r="A516" s="2" t="s">
        <v>550</v>
      </c>
      <c r="B516" s="2" t="s">
        <v>45</v>
      </c>
      <c r="C516" s="2" t="s">
        <v>43</v>
      </c>
      <c r="D516" s="2" t="s">
        <v>28</v>
      </c>
      <c r="E516" s="2">
        <v>540.86</v>
      </c>
      <c r="F516" s="2">
        <v>12.18</v>
      </c>
      <c r="G516" s="2">
        <v>29.96</v>
      </c>
      <c r="H516" s="2">
        <v>0.4</v>
      </c>
      <c r="I516" s="2">
        <v>0.5</v>
      </c>
      <c r="J516" s="2">
        <v>21</v>
      </c>
      <c r="K516" s="2" t="s">
        <v>34</v>
      </c>
      <c r="L516" s="2">
        <v>6.02</v>
      </c>
      <c r="M516" s="2" t="s">
        <v>22</v>
      </c>
      <c r="N516" s="2">
        <v>68.569999999999993</v>
      </c>
      <c r="O516" s="2" t="s">
        <v>24</v>
      </c>
      <c r="P516" s="2">
        <v>5.64</v>
      </c>
      <c r="Q516" s="2">
        <v>11.41</v>
      </c>
      <c r="R516" s="3">
        <f t="shared" si="40"/>
        <v>3050.4503999999997</v>
      </c>
      <c r="S516" s="3">
        <f t="shared" si="41"/>
        <v>6171.2125999999998</v>
      </c>
      <c r="T516" s="3">
        <f t="shared" si="42"/>
        <v>3120.7622000000001</v>
      </c>
      <c r="U516" s="4">
        <f t="shared" si="43"/>
        <v>0.50569675723049956</v>
      </c>
      <c r="V516" s="5">
        <f t="shared" si="44"/>
        <v>32.559771999999995</v>
      </c>
    </row>
    <row r="517" spans="1:22" x14ac:dyDescent="0.25">
      <c r="A517" s="2" t="s">
        <v>551</v>
      </c>
      <c r="B517" s="2" t="s">
        <v>18</v>
      </c>
      <c r="C517" s="2" t="s">
        <v>27</v>
      </c>
      <c r="D517" s="2" t="s">
        <v>20</v>
      </c>
      <c r="E517" s="2">
        <v>469.22</v>
      </c>
      <c r="F517" s="2">
        <v>16.53</v>
      </c>
      <c r="G517" s="2">
        <v>36.840000000000003</v>
      </c>
      <c r="H517" s="2">
        <v>0.1</v>
      </c>
      <c r="I517" s="2">
        <v>0.9</v>
      </c>
      <c r="J517" s="2">
        <v>27</v>
      </c>
      <c r="K517" s="2" t="s">
        <v>34</v>
      </c>
      <c r="L517" s="2">
        <v>5.48</v>
      </c>
      <c r="M517" s="2" t="s">
        <v>37</v>
      </c>
      <c r="N517" s="2">
        <v>80.31</v>
      </c>
      <c r="O517" s="2" t="s">
        <v>23</v>
      </c>
      <c r="P517" s="2">
        <v>6.89</v>
      </c>
      <c r="Q517" s="2">
        <v>13.75</v>
      </c>
      <c r="R517" s="3">
        <f t="shared" si="40"/>
        <v>3232.9258</v>
      </c>
      <c r="S517" s="3">
        <f t="shared" si="41"/>
        <v>6451.7750000000005</v>
      </c>
      <c r="T517" s="3">
        <f t="shared" si="42"/>
        <v>3218.8492000000006</v>
      </c>
      <c r="U517" s="4">
        <f t="shared" si="43"/>
        <v>0.49890909090909097</v>
      </c>
      <c r="V517" s="5">
        <f t="shared" si="44"/>
        <v>25.713256000000001</v>
      </c>
    </row>
    <row r="518" spans="1:22" x14ac:dyDescent="0.25">
      <c r="A518" s="2" t="s">
        <v>552</v>
      </c>
      <c r="B518" s="2" t="s">
        <v>26</v>
      </c>
      <c r="C518" s="2" t="s">
        <v>19</v>
      </c>
      <c r="D518" s="2" t="s">
        <v>20</v>
      </c>
      <c r="E518" s="2">
        <v>416.14</v>
      </c>
      <c r="F518" s="2">
        <v>16.559999999999999</v>
      </c>
      <c r="G518" s="2">
        <v>36.03</v>
      </c>
      <c r="H518" s="2">
        <v>4.8</v>
      </c>
      <c r="I518" s="2">
        <v>1.9</v>
      </c>
      <c r="J518" s="2">
        <v>17</v>
      </c>
      <c r="K518" s="2" t="s">
        <v>21</v>
      </c>
      <c r="L518" s="2">
        <v>8.26</v>
      </c>
      <c r="M518" s="2" t="s">
        <v>22</v>
      </c>
      <c r="N518" s="2">
        <v>82.34</v>
      </c>
      <c r="O518" s="2" t="s">
        <v>23</v>
      </c>
      <c r="P518" s="2">
        <v>3.84</v>
      </c>
      <c r="Q518" s="2">
        <v>11.6</v>
      </c>
      <c r="R518" s="3">
        <f t="shared" si="40"/>
        <v>1597.9775999999999</v>
      </c>
      <c r="S518" s="3">
        <f t="shared" si="41"/>
        <v>4827.2239999999993</v>
      </c>
      <c r="T518" s="3">
        <f t="shared" si="42"/>
        <v>3229.2463999999991</v>
      </c>
      <c r="U518" s="4">
        <f t="shared" si="43"/>
        <v>0.6689655172413792</v>
      </c>
      <c r="V518" s="5">
        <f t="shared" si="44"/>
        <v>34.373163999999996</v>
      </c>
    </row>
    <row r="519" spans="1:22" x14ac:dyDescent="0.25">
      <c r="A519" s="2" t="s">
        <v>553</v>
      </c>
      <c r="B519" s="2" t="s">
        <v>45</v>
      </c>
      <c r="C519" s="2" t="s">
        <v>33</v>
      </c>
      <c r="D519" s="2" t="s">
        <v>20</v>
      </c>
      <c r="E519" s="2">
        <v>411.33</v>
      </c>
      <c r="F519" s="2">
        <v>8.99</v>
      </c>
      <c r="G519" s="2">
        <v>28.21</v>
      </c>
      <c r="H519" s="2">
        <v>0</v>
      </c>
      <c r="I519" s="2">
        <v>3.7</v>
      </c>
      <c r="J519" s="2">
        <v>10</v>
      </c>
      <c r="K519" s="2" t="s">
        <v>21</v>
      </c>
      <c r="L519" s="2">
        <v>7.62</v>
      </c>
      <c r="M519" s="2" t="s">
        <v>40</v>
      </c>
      <c r="N519" s="2">
        <v>70.25</v>
      </c>
      <c r="O519" s="2" t="s">
        <v>23</v>
      </c>
      <c r="P519" s="2">
        <v>6.18</v>
      </c>
      <c r="Q519" s="2">
        <v>13.39</v>
      </c>
      <c r="R519" s="3">
        <f t="shared" si="40"/>
        <v>2542.0193999999997</v>
      </c>
      <c r="S519" s="3">
        <f t="shared" si="41"/>
        <v>5507.7087000000001</v>
      </c>
      <c r="T519" s="3">
        <f t="shared" si="42"/>
        <v>2965.6893000000005</v>
      </c>
      <c r="U519" s="4">
        <f t="shared" si="43"/>
        <v>0.53846153846153855</v>
      </c>
      <c r="V519" s="5">
        <f t="shared" si="44"/>
        <v>31.343346</v>
      </c>
    </row>
    <row r="520" spans="1:22" x14ac:dyDescent="0.25">
      <c r="A520" s="2" t="s">
        <v>554</v>
      </c>
      <c r="B520" s="2" t="s">
        <v>26</v>
      </c>
      <c r="C520" s="2" t="s">
        <v>33</v>
      </c>
      <c r="D520" s="2" t="s">
        <v>20</v>
      </c>
      <c r="E520" s="2">
        <v>553.48</v>
      </c>
      <c r="F520" s="2">
        <v>8.91</v>
      </c>
      <c r="G520" s="2">
        <v>24.6</v>
      </c>
      <c r="H520" s="2">
        <v>2.7</v>
      </c>
      <c r="I520" s="2">
        <v>0.6</v>
      </c>
      <c r="J520" s="2">
        <v>12</v>
      </c>
      <c r="K520" s="2" t="s">
        <v>34</v>
      </c>
      <c r="L520" s="2">
        <v>4.3</v>
      </c>
      <c r="M520" s="2" t="s">
        <v>40</v>
      </c>
      <c r="N520" s="2">
        <v>75.64</v>
      </c>
      <c r="O520" s="2" t="s">
        <v>24</v>
      </c>
      <c r="P520" s="2">
        <v>6.19</v>
      </c>
      <c r="Q520" s="2">
        <v>9.74</v>
      </c>
      <c r="R520" s="3">
        <f t="shared" si="40"/>
        <v>3426.0412000000001</v>
      </c>
      <c r="S520" s="3">
        <f t="shared" si="41"/>
        <v>5390.8951999999999</v>
      </c>
      <c r="T520" s="3">
        <f t="shared" si="42"/>
        <v>1964.8539999999998</v>
      </c>
      <c r="U520" s="4">
        <f t="shared" si="43"/>
        <v>0.36447638603696098</v>
      </c>
      <c r="V520" s="5">
        <f t="shared" si="44"/>
        <v>23.79964</v>
      </c>
    </row>
    <row r="521" spans="1:22" x14ac:dyDescent="0.25">
      <c r="A521" s="2" t="s">
        <v>555</v>
      </c>
      <c r="B521" s="2" t="s">
        <v>45</v>
      </c>
      <c r="C521" s="2" t="s">
        <v>43</v>
      </c>
      <c r="D521" s="2" t="s">
        <v>20</v>
      </c>
      <c r="E521" s="2">
        <v>622.9</v>
      </c>
      <c r="F521" s="2">
        <v>10.63</v>
      </c>
      <c r="G521" s="2">
        <v>28.12</v>
      </c>
      <c r="H521" s="2">
        <v>0.3</v>
      </c>
      <c r="I521" s="2">
        <v>0.1</v>
      </c>
      <c r="J521" s="2">
        <v>25</v>
      </c>
      <c r="K521" s="2" t="s">
        <v>34</v>
      </c>
      <c r="L521" s="2">
        <v>1.29</v>
      </c>
      <c r="M521" s="2" t="s">
        <v>40</v>
      </c>
      <c r="N521" s="2">
        <v>86.32</v>
      </c>
      <c r="O521" s="2" t="s">
        <v>23</v>
      </c>
      <c r="P521" s="2">
        <v>6.77</v>
      </c>
      <c r="Q521" s="2">
        <v>12.17</v>
      </c>
      <c r="R521" s="3">
        <f t="shared" si="40"/>
        <v>4217.0329999999994</v>
      </c>
      <c r="S521" s="3">
        <f t="shared" si="41"/>
        <v>7580.6929999999993</v>
      </c>
      <c r="T521" s="3">
        <f t="shared" si="42"/>
        <v>3363.66</v>
      </c>
      <c r="U521" s="4">
        <f t="shared" si="43"/>
        <v>0.44371405094494659</v>
      </c>
      <c r="V521" s="5">
        <f t="shared" si="44"/>
        <v>8.0354099999999988</v>
      </c>
    </row>
    <row r="522" spans="1:22" x14ac:dyDescent="0.25">
      <c r="A522" s="2" t="s">
        <v>556</v>
      </c>
      <c r="B522" s="2" t="s">
        <v>26</v>
      </c>
      <c r="C522" s="2" t="s">
        <v>43</v>
      </c>
      <c r="D522" s="2" t="s">
        <v>28</v>
      </c>
      <c r="E522" s="2">
        <v>436.27</v>
      </c>
      <c r="F522" s="2">
        <v>16.75</v>
      </c>
      <c r="G522" s="2">
        <v>36.520000000000003</v>
      </c>
      <c r="H522" s="2">
        <v>4.9000000000000004</v>
      </c>
      <c r="I522" s="2">
        <v>1.4</v>
      </c>
      <c r="J522" s="2">
        <v>20</v>
      </c>
      <c r="K522" s="2" t="s">
        <v>29</v>
      </c>
      <c r="L522" s="2">
        <v>7.8</v>
      </c>
      <c r="M522" s="2" t="s">
        <v>40</v>
      </c>
      <c r="N522" s="2">
        <v>73.819999999999993</v>
      </c>
      <c r="O522" s="2" t="s">
        <v>24</v>
      </c>
      <c r="P522" s="2">
        <v>7.44</v>
      </c>
      <c r="Q522" s="2">
        <v>14.8</v>
      </c>
      <c r="R522" s="3">
        <f t="shared" si="40"/>
        <v>3245.8488000000002</v>
      </c>
      <c r="S522" s="3">
        <f t="shared" si="41"/>
        <v>6456.7960000000003</v>
      </c>
      <c r="T522" s="3">
        <f t="shared" si="42"/>
        <v>3210.9472000000001</v>
      </c>
      <c r="U522" s="4">
        <f t="shared" si="43"/>
        <v>0.49729729729729727</v>
      </c>
      <c r="V522" s="5">
        <f t="shared" si="44"/>
        <v>34.029060000000001</v>
      </c>
    </row>
    <row r="523" spans="1:22" x14ac:dyDescent="0.25">
      <c r="A523" s="2" t="s">
        <v>557</v>
      </c>
      <c r="B523" s="2" t="s">
        <v>18</v>
      </c>
      <c r="C523" s="2" t="s">
        <v>33</v>
      </c>
      <c r="D523" s="2" t="s">
        <v>28</v>
      </c>
      <c r="E523" s="2">
        <v>545.84</v>
      </c>
      <c r="F523" s="2">
        <v>9.2899999999999991</v>
      </c>
      <c r="G523" s="2">
        <v>24.55</v>
      </c>
      <c r="H523" s="2">
        <v>4.5</v>
      </c>
      <c r="I523" s="2">
        <v>0.8</v>
      </c>
      <c r="J523" s="2">
        <v>25</v>
      </c>
      <c r="K523" s="2" t="s">
        <v>29</v>
      </c>
      <c r="L523" s="2">
        <v>2.1</v>
      </c>
      <c r="M523" s="2" t="s">
        <v>22</v>
      </c>
      <c r="N523" s="2">
        <v>50.7</v>
      </c>
      <c r="O523" s="2" t="s">
        <v>24</v>
      </c>
      <c r="P523" s="2">
        <v>9.6999999999999993</v>
      </c>
      <c r="Q523" s="2">
        <v>6.53</v>
      </c>
      <c r="R523" s="3">
        <f t="shared" si="40"/>
        <v>5294.6480000000001</v>
      </c>
      <c r="S523" s="3">
        <f t="shared" si="41"/>
        <v>3564.3352000000004</v>
      </c>
      <c r="T523" s="3">
        <f t="shared" si="42"/>
        <v>-1730.3127999999997</v>
      </c>
      <c r="U523" s="4">
        <f t="shared" si="43"/>
        <v>-0.48545176110260324</v>
      </c>
      <c r="V523" s="5">
        <f t="shared" si="44"/>
        <v>11.46264</v>
      </c>
    </row>
    <row r="524" spans="1:22" x14ac:dyDescent="0.25">
      <c r="A524" s="2" t="s">
        <v>558</v>
      </c>
      <c r="B524" s="2" t="s">
        <v>45</v>
      </c>
      <c r="C524" s="2" t="s">
        <v>27</v>
      </c>
      <c r="D524" s="2" t="s">
        <v>28</v>
      </c>
      <c r="E524" s="2">
        <v>291.3</v>
      </c>
      <c r="F524" s="2">
        <v>15.2</v>
      </c>
      <c r="G524" s="2">
        <v>30.49</v>
      </c>
      <c r="H524" s="2">
        <v>2.1</v>
      </c>
      <c r="I524" s="2">
        <v>0.6</v>
      </c>
      <c r="J524" s="2">
        <v>2</v>
      </c>
      <c r="K524" s="2" t="s">
        <v>29</v>
      </c>
      <c r="L524" s="2">
        <v>0.66</v>
      </c>
      <c r="M524" s="2" t="s">
        <v>40</v>
      </c>
      <c r="N524" s="2">
        <v>50.65</v>
      </c>
      <c r="O524" s="2" t="s">
        <v>24</v>
      </c>
      <c r="P524" s="2">
        <v>7.57</v>
      </c>
      <c r="Q524" s="2">
        <v>14.27</v>
      </c>
      <c r="R524" s="3">
        <f t="shared" si="40"/>
        <v>2205.1410000000001</v>
      </c>
      <c r="S524" s="3">
        <f t="shared" si="41"/>
        <v>4156.8509999999997</v>
      </c>
      <c r="T524" s="3">
        <f t="shared" si="42"/>
        <v>1951.7099999999996</v>
      </c>
      <c r="U524" s="4">
        <f t="shared" si="43"/>
        <v>0.46951646811492637</v>
      </c>
      <c r="V524" s="5">
        <f t="shared" si="44"/>
        <v>1.9225800000000002</v>
      </c>
    </row>
    <row r="525" spans="1:22" x14ac:dyDescent="0.25">
      <c r="A525" s="2" t="s">
        <v>559</v>
      </c>
      <c r="B525" s="2" t="s">
        <v>18</v>
      </c>
      <c r="C525" s="2" t="s">
        <v>27</v>
      </c>
      <c r="D525" s="2" t="s">
        <v>28</v>
      </c>
      <c r="E525" s="2">
        <v>441.54</v>
      </c>
      <c r="F525" s="2">
        <v>9.01</v>
      </c>
      <c r="G525" s="2">
        <v>36.119999999999997</v>
      </c>
      <c r="H525" s="2">
        <v>2.2000000000000002</v>
      </c>
      <c r="I525" s="2">
        <v>0.4</v>
      </c>
      <c r="J525" s="2">
        <v>23</v>
      </c>
      <c r="K525" s="2" t="s">
        <v>29</v>
      </c>
      <c r="L525" s="2">
        <v>8.51</v>
      </c>
      <c r="M525" s="2" t="s">
        <v>37</v>
      </c>
      <c r="N525" s="2">
        <v>83.07</v>
      </c>
      <c r="O525" s="2" t="s">
        <v>30</v>
      </c>
      <c r="P525" s="2">
        <v>9.19</v>
      </c>
      <c r="Q525" s="2">
        <v>10.220000000000001</v>
      </c>
      <c r="R525" s="3">
        <f t="shared" si="40"/>
        <v>4057.7525999999998</v>
      </c>
      <c r="S525" s="3">
        <f t="shared" si="41"/>
        <v>4512.5388000000003</v>
      </c>
      <c r="T525" s="3">
        <f t="shared" si="42"/>
        <v>454.78620000000046</v>
      </c>
      <c r="U525" s="4">
        <f t="shared" si="43"/>
        <v>0.10078277886497074</v>
      </c>
      <c r="V525" s="5">
        <f t="shared" si="44"/>
        <v>37.575054000000002</v>
      </c>
    </row>
    <row r="526" spans="1:22" x14ac:dyDescent="0.25">
      <c r="A526" s="2" t="s">
        <v>560</v>
      </c>
      <c r="B526" s="2" t="s">
        <v>45</v>
      </c>
      <c r="C526" s="2" t="s">
        <v>19</v>
      </c>
      <c r="D526" s="2" t="s">
        <v>20</v>
      </c>
      <c r="E526" s="2">
        <v>496.89</v>
      </c>
      <c r="F526" s="2">
        <v>14.23</v>
      </c>
      <c r="G526" s="2">
        <v>27.07</v>
      </c>
      <c r="H526" s="2">
        <v>0</v>
      </c>
      <c r="I526" s="2">
        <v>0.7</v>
      </c>
      <c r="J526" s="2">
        <v>16</v>
      </c>
      <c r="K526" s="2" t="s">
        <v>34</v>
      </c>
      <c r="L526" s="2">
        <v>5.99</v>
      </c>
      <c r="M526" s="2" t="s">
        <v>40</v>
      </c>
      <c r="N526" s="2">
        <v>92.36</v>
      </c>
      <c r="O526" s="2" t="s">
        <v>23</v>
      </c>
      <c r="P526" s="2">
        <v>6.89</v>
      </c>
      <c r="Q526" s="2">
        <v>11.43</v>
      </c>
      <c r="R526" s="3">
        <f t="shared" si="40"/>
        <v>3423.5720999999999</v>
      </c>
      <c r="S526" s="3">
        <f t="shared" si="41"/>
        <v>5679.4526999999998</v>
      </c>
      <c r="T526" s="3">
        <f t="shared" si="42"/>
        <v>2255.8806</v>
      </c>
      <c r="U526" s="4">
        <f t="shared" si="43"/>
        <v>0.39720034995625547</v>
      </c>
      <c r="V526" s="5">
        <f t="shared" si="44"/>
        <v>29.763710999999997</v>
      </c>
    </row>
    <row r="527" spans="1:22" x14ac:dyDescent="0.25">
      <c r="A527" s="2" t="s">
        <v>561</v>
      </c>
      <c r="B527" s="2" t="s">
        <v>18</v>
      </c>
      <c r="C527" s="2" t="s">
        <v>27</v>
      </c>
      <c r="D527" s="2" t="s">
        <v>20</v>
      </c>
      <c r="E527" s="2">
        <v>409.03</v>
      </c>
      <c r="F527" s="2">
        <v>11.56</v>
      </c>
      <c r="G527" s="2">
        <v>32.840000000000003</v>
      </c>
      <c r="H527" s="2">
        <v>8.4</v>
      </c>
      <c r="I527" s="2">
        <v>0.4</v>
      </c>
      <c r="J527" s="2">
        <v>15</v>
      </c>
      <c r="K527" s="2" t="s">
        <v>34</v>
      </c>
      <c r="L527" s="2">
        <v>8.9700000000000006</v>
      </c>
      <c r="M527" s="2" t="s">
        <v>37</v>
      </c>
      <c r="N527" s="2">
        <v>89.26</v>
      </c>
      <c r="O527" s="2" t="s">
        <v>24</v>
      </c>
      <c r="P527" s="2">
        <v>7.39</v>
      </c>
      <c r="Q527" s="2">
        <v>13.78</v>
      </c>
      <c r="R527" s="3">
        <f t="shared" si="40"/>
        <v>3022.7316999999998</v>
      </c>
      <c r="S527" s="3">
        <f t="shared" si="41"/>
        <v>5636.433399999999</v>
      </c>
      <c r="T527" s="3">
        <f t="shared" si="42"/>
        <v>2613.7016999999992</v>
      </c>
      <c r="U527" s="4">
        <f t="shared" si="43"/>
        <v>0.46371552975326552</v>
      </c>
      <c r="V527" s="5">
        <f t="shared" si="44"/>
        <v>36.689990999999999</v>
      </c>
    </row>
    <row r="528" spans="1:22" x14ac:dyDescent="0.25">
      <c r="A528" s="2" t="s">
        <v>562</v>
      </c>
      <c r="B528" s="2" t="s">
        <v>18</v>
      </c>
      <c r="C528" s="2" t="s">
        <v>43</v>
      </c>
      <c r="D528" s="2" t="s">
        <v>28</v>
      </c>
      <c r="E528" s="2">
        <v>406.35</v>
      </c>
      <c r="F528" s="2">
        <v>15.89</v>
      </c>
      <c r="G528" s="2">
        <v>24.91</v>
      </c>
      <c r="H528" s="2">
        <v>4.2</v>
      </c>
      <c r="I528" s="2">
        <v>1.4</v>
      </c>
      <c r="J528" s="2">
        <v>28</v>
      </c>
      <c r="K528" s="2" t="s">
        <v>34</v>
      </c>
      <c r="L528" s="2">
        <v>5.0999999999999996</v>
      </c>
      <c r="M528" s="2" t="s">
        <v>40</v>
      </c>
      <c r="N528" s="2">
        <v>65.52</v>
      </c>
      <c r="O528" s="2" t="s">
        <v>23</v>
      </c>
      <c r="P528" s="2">
        <v>3.49</v>
      </c>
      <c r="Q528" s="2">
        <v>9.1</v>
      </c>
      <c r="R528" s="3">
        <f t="shared" si="40"/>
        <v>1418.1615000000002</v>
      </c>
      <c r="S528" s="3">
        <f t="shared" si="41"/>
        <v>3697.7849999999999</v>
      </c>
      <c r="T528" s="3">
        <f t="shared" si="42"/>
        <v>2279.6234999999997</v>
      </c>
      <c r="U528" s="4">
        <f t="shared" si="43"/>
        <v>0.6164835164835164</v>
      </c>
      <c r="V528" s="5">
        <f t="shared" si="44"/>
        <v>20.723849999999999</v>
      </c>
    </row>
    <row r="529" spans="1:22" x14ac:dyDescent="0.25">
      <c r="A529" s="2" t="s">
        <v>563</v>
      </c>
      <c r="B529" s="2" t="s">
        <v>45</v>
      </c>
      <c r="C529" s="2" t="s">
        <v>43</v>
      </c>
      <c r="D529" s="2" t="s">
        <v>20</v>
      </c>
      <c r="E529" s="2">
        <v>433.22</v>
      </c>
      <c r="F529" s="2">
        <v>10.34</v>
      </c>
      <c r="G529" s="2">
        <v>22.19</v>
      </c>
      <c r="H529" s="2">
        <v>4.5</v>
      </c>
      <c r="I529" s="2">
        <v>0.8</v>
      </c>
      <c r="J529" s="2">
        <v>13</v>
      </c>
      <c r="K529" s="2" t="s">
        <v>29</v>
      </c>
      <c r="L529" s="2">
        <v>9.3000000000000007</v>
      </c>
      <c r="M529" s="2" t="s">
        <v>22</v>
      </c>
      <c r="N529" s="2">
        <v>73.56</v>
      </c>
      <c r="O529" s="2" t="s">
        <v>23</v>
      </c>
      <c r="P529" s="2">
        <v>3.93</v>
      </c>
      <c r="Q529" s="2">
        <v>9.19</v>
      </c>
      <c r="R529" s="3">
        <f t="shared" si="40"/>
        <v>1702.5546000000002</v>
      </c>
      <c r="S529" s="3">
        <f t="shared" si="41"/>
        <v>3981.2918</v>
      </c>
      <c r="T529" s="3">
        <f t="shared" si="42"/>
        <v>2278.7371999999996</v>
      </c>
      <c r="U529" s="4">
        <f t="shared" si="43"/>
        <v>0.5723612622415668</v>
      </c>
      <c r="V529" s="5">
        <f t="shared" si="44"/>
        <v>40.289460000000005</v>
      </c>
    </row>
    <row r="530" spans="1:22" x14ac:dyDescent="0.25">
      <c r="A530" s="2" t="s">
        <v>564</v>
      </c>
      <c r="B530" s="2" t="s">
        <v>45</v>
      </c>
      <c r="C530" s="2" t="s">
        <v>27</v>
      </c>
      <c r="D530" s="2" t="s">
        <v>20</v>
      </c>
      <c r="E530" s="2">
        <v>529.22</v>
      </c>
      <c r="F530" s="2">
        <v>14.39</v>
      </c>
      <c r="G530" s="2">
        <v>35.89</v>
      </c>
      <c r="H530" s="2">
        <v>2.2000000000000002</v>
      </c>
      <c r="I530" s="2">
        <v>2.1</v>
      </c>
      <c r="J530" s="2">
        <v>18</v>
      </c>
      <c r="K530" s="2" t="s">
        <v>34</v>
      </c>
      <c r="L530" s="2">
        <v>3.86</v>
      </c>
      <c r="M530" s="2" t="s">
        <v>37</v>
      </c>
      <c r="N530" s="2">
        <v>61.71</v>
      </c>
      <c r="O530" s="2" t="s">
        <v>30</v>
      </c>
      <c r="P530" s="2">
        <v>7.06</v>
      </c>
      <c r="Q530" s="2">
        <v>10.27</v>
      </c>
      <c r="R530" s="3">
        <f t="shared" si="40"/>
        <v>3736.2932000000001</v>
      </c>
      <c r="S530" s="3">
        <f t="shared" si="41"/>
        <v>5435.0893999999998</v>
      </c>
      <c r="T530" s="3">
        <f t="shared" si="42"/>
        <v>1698.7961999999998</v>
      </c>
      <c r="U530" s="4">
        <f t="shared" si="43"/>
        <v>0.31256085686465429</v>
      </c>
      <c r="V530" s="5">
        <f t="shared" si="44"/>
        <v>20.427892</v>
      </c>
    </row>
    <row r="531" spans="1:22" x14ac:dyDescent="0.25">
      <c r="A531" s="2" t="s">
        <v>565</v>
      </c>
      <c r="B531" s="2" t="s">
        <v>45</v>
      </c>
      <c r="C531" s="2" t="s">
        <v>43</v>
      </c>
      <c r="D531" s="2" t="s">
        <v>28</v>
      </c>
      <c r="E531" s="2">
        <v>481.27</v>
      </c>
      <c r="F531" s="2">
        <v>10.36</v>
      </c>
      <c r="G531" s="2">
        <v>21.98</v>
      </c>
      <c r="H531" s="2">
        <v>0.8</v>
      </c>
      <c r="I531" s="2">
        <v>0.8</v>
      </c>
      <c r="J531" s="2">
        <v>28</v>
      </c>
      <c r="K531" s="2" t="s">
        <v>21</v>
      </c>
      <c r="L531" s="2">
        <v>7.38</v>
      </c>
      <c r="M531" s="2" t="s">
        <v>22</v>
      </c>
      <c r="N531" s="2">
        <v>99.46</v>
      </c>
      <c r="O531" s="2" t="s">
        <v>23</v>
      </c>
      <c r="P531" s="2">
        <v>5.77</v>
      </c>
      <c r="Q531" s="2">
        <v>5.19</v>
      </c>
      <c r="R531" s="3">
        <f t="shared" si="40"/>
        <v>2776.9278999999997</v>
      </c>
      <c r="S531" s="3">
        <f t="shared" si="41"/>
        <v>2497.7913000000003</v>
      </c>
      <c r="T531" s="3">
        <f t="shared" si="42"/>
        <v>-279.13659999999936</v>
      </c>
      <c r="U531" s="4">
        <f t="shared" si="43"/>
        <v>-0.11175337186897853</v>
      </c>
      <c r="V531" s="5">
        <f t="shared" si="44"/>
        <v>35.517725999999996</v>
      </c>
    </row>
    <row r="532" spans="1:22" x14ac:dyDescent="0.25">
      <c r="A532" s="2" t="s">
        <v>566</v>
      </c>
      <c r="B532" s="2" t="s">
        <v>32</v>
      </c>
      <c r="C532" s="2" t="s">
        <v>33</v>
      </c>
      <c r="D532" s="2" t="s">
        <v>28</v>
      </c>
      <c r="E532" s="2">
        <v>276.18</v>
      </c>
      <c r="F532" s="2">
        <v>15.14</v>
      </c>
      <c r="G532" s="2">
        <v>25.43</v>
      </c>
      <c r="H532" s="2">
        <v>4.5</v>
      </c>
      <c r="I532" s="2">
        <v>0.3</v>
      </c>
      <c r="J532" s="2">
        <v>20</v>
      </c>
      <c r="K532" s="2" t="s">
        <v>29</v>
      </c>
      <c r="L532" s="2">
        <v>3.36</v>
      </c>
      <c r="M532" s="2" t="s">
        <v>40</v>
      </c>
      <c r="N532" s="2">
        <v>63.03</v>
      </c>
      <c r="O532" s="2" t="s">
        <v>24</v>
      </c>
      <c r="P532" s="2">
        <v>8.59</v>
      </c>
      <c r="Q532" s="2">
        <v>9.9700000000000006</v>
      </c>
      <c r="R532" s="3">
        <f t="shared" si="40"/>
        <v>2372.3861999999999</v>
      </c>
      <c r="S532" s="3">
        <f t="shared" si="41"/>
        <v>2753.5146000000004</v>
      </c>
      <c r="T532" s="3">
        <f t="shared" si="42"/>
        <v>381.12840000000051</v>
      </c>
      <c r="U532" s="4">
        <f t="shared" si="43"/>
        <v>0.13841524573721181</v>
      </c>
      <c r="V532" s="5">
        <f t="shared" si="44"/>
        <v>9.2796479999999999</v>
      </c>
    </row>
    <row r="533" spans="1:22" x14ac:dyDescent="0.25">
      <c r="A533" s="2" t="s">
        <v>567</v>
      </c>
      <c r="B533" s="2" t="s">
        <v>26</v>
      </c>
      <c r="C533" s="2" t="s">
        <v>33</v>
      </c>
      <c r="D533" s="2" t="s">
        <v>20</v>
      </c>
      <c r="E533" s="2">
        <v>287.93</v>
      </c>
      <c r="F533" s="2">
        <v>16.739999999999998</v>
      </c>
      <c r="G533" s="2">
        <v>37.1</v>
      </c>
      <c r="H533" s="2">
        <v>0.7</v>
      </c>
      <c r="I533" s="2">
        <v>1.9</v>
      </c>
      <c r="J533" s="2">
        <v>22</v>
      </c>
      <c r="K533" s="2" t="s">
        <v>21</v>
      </c>
      <c r="L533" s="2">
        <v>0.51</v>
      </c>
      <c r="M533" s="2" t="s">
        <v>22</v>
      </c>
      <c r="N533" s="2">
        <v>70.81</v>
      </c>
      <c r="O533" s="2" t="s">
        <v>24</v>
      </c>
      <c r="P533" s="2">
        <v>6.8</v>
      </c>
      <c r="Q533" s="2">
        <v>7.91</v>
      </c>
      <c r="R533" s="3">
        <f t="shared" si="40"/>
        <v>1957.924</v>
      </c>
      <c r="S533" s="3">
        <f t="shared" si="41"/>
        <v>2277.5263</v>
      </c>
      <c r="T533" s="3">
        <f t="shared" si="42"/>
        <v>319.60230000000001</v>
      </c>
      <c r="U533" s="4">
        <f t="shared" si="43"/>
        <v>0.14032869785082175</v>
      </c>
      <c r="V533" s="5">
        <f t="shared" si="44"/>
        <v>1.4684429999999999</v>
      </c>
    </row>
    <row r="534" spans="1:22" x14ac:dyDescent="0.25">
      <c r="A534" s="2" t="s">
        <v>568</v>
      </c>
      <c r="B534" s="2" t="s">
        <v>32</v>
      </c>
      <c r="C534" s="2" t="s">
        <v>27</v>
      </c>
      <c r="D534" s="2" t="s">
        <v>20</v>
      </c>
      <c r="E534" s="2">
        <v>439.31</v>
      </c>
      <c r="F534" s="2">
        <v>9.27</v>
      </c>
      <c r="G534" s="2">
        <v>26.93</v>
      </c>
      <c r="H534" s="2">
        <v>1.7</v>
      </c>
      <c r="I534" s="2">
        <v>0.8</v>
      </c>
      <c r="J534" s="2">
        <v>14</v>
      </c>
      <c r="K534" s="2" t="s">
        <v>29</v>
      </c>
      <c r="L534" s="2">
        <v>4.1100000000000003</v>
      </c>
      <c r="M534" s="2" t="s">
        <v>40</v>
      </c>
      <c r="N534" s="2">
        <v>84.06</v>
      </c>
      <c r="O534" s="2" t="s">
        <v>23</v>
      </c>
      <c r="P534" s="2">
        <v>9.18</v>
      </c>
      <c r="Q534" s="2">
        <v>14.28</v>
      </c>
      <c r="R534" s="3">
        <f t="shared" si="40"/>
        <v>4032.8658</v>
      </c>
      <c r="S534" s="3">
        <f t="shared" si="41"/>
        <v>6273.3467999999993</v>
      </c>
      <c r="T534" s="3">
        <f t="shared" si="42"/>
        <v>2240.4809999999993</v>
      </c>
      <c r="U534" s="4">
        <f t="shared" si="43"/>
        <v>0.3571428571428571</v>
      </c>
      <c r="V534" s="5">
        <f t="shared" si="44"/>
        <v>18.055641000000001</v>
      </c>
    </row>
    <row r="535" spans="1:22" x14ac:dyDescent="0.25">
      <c r="A535" s="2" t="s">
        <v>569</v>
      </c>
      <c r="B535" s="2" t="s">
        <v>32</v>
      </c>
      <c r="C535" s="2" t="s">
        <v>33</v>
      </c>
      <c r="D535" s="2" t="s">
        <v>28</v>
      </c>
      <c r="E535" s="2">
        <v>545.77</v>
      </c>
      <c r="F535" s="2">
        <v>16.670000000000002</v>
      </c>
      <c r="G535" s="2">
        <v>39.46</v>
      </c>
      <c r="H535" s="2">
        <v>0.2</v>
      </c>
      <c r="I535" s="2">
        <v>0.2</v>
      </c>
      <c r="J535" s="2">
        <v>18</v>
      </c>
      <c r="K535" s="2" t="s">
        <v>34</v>
      </c>
      <c r="L535" s="2">
        <v>7.51</v>
      </c>
      <c r="M535" s="2" t="s">
        <v>22</v>
      </c>
      <c r="N535" s="2">
        <v>93.8</v>
      </c>
      <c r="O535" s="2" t="s">
        <v>23</v>
      </c>
      <c r="P535" s="2">
        <v>9.81</v>
      </c>
      <c r="Q535" s="2">
        <v>5.88</v>
      </c>
      <c r="R535" s="3">
        <f t="shared" si="40"/>
        <v>5354.0037000000002</v>
      </c>
      <c r="S535" s="3">
        <f t="shared" si="41"/>
        <v>3209.1275999999998</v>
      </c>
      <c r="T535" s="3">
        <f t="shared" si="42"/>
        <v>-2144.8761000000004</v>
      </c>
      <c r="U535" s="4">
        <f t="shared" si="43"/>
        <v>-0.66836734693877564</v>
      </c>
      <c r="V535" s="5">
        <f t="shared" si="44"/>
        <v>40.987326999999993</v>
      </c>
    </row>
    <row r="536" spans="1:22" x14ac:dyDescent="0.25">
      <c r="A536" s="2" t="s">
        <v>570</v>
      </c>
      <c r="B536" s="2" t="s">
        <v>18</v>
      </c>
      <c r="C536" s="2" t="s">
        <v>33</v>
      </c>
      <c r="D536" s="2" t="s">
        <v>28</v>
      </c>
      <c r="E536" s="2">
        <v>225.25</v>
      </c>
      <c r="F536" s="2">
        <v>13.94</v>
      </c>
      <c r="G536" s="2">
        <v>39.590000000000003</v>
      </c>
      <c r="H536" s="2">
        <v>5.0999999999999996</v>
      </c>
      <c r="I536" s="2">
        <v>1</v>
      </c>
      <c r="J536" s="2">
        <v>2</v>
      </c>
      <c r="K536" s="2" t="s">
        <v>29</v>
      </c>
      <c r="L536" s="2">
        <v>1.93</v>
      </c>
      <c r="M536" s="2" t="s">
        <v>22</v>
      </c>
      <c r="N536" s="2">
        <v>52.57</v>
      </c>
      <c r="O536" s="2" t="s">
        <v>30</v>
      </c>
      <c r="P536" s="2">
        <v>4.03</v>
      </c>
      <c r="Q536" s="2">
        <v>9.59</v>
      </c>
      <c r="R536" s="3">
        <f t="shared" si="40"/>
        <v>907.75750000000005</v>
      </c>
      <c r="S536" s="3">
        <f t="shared" si="41"/>
        <v>2160.1475</v>
      </c>
      <c r="T536" s="3">
        <f t="shared" si="42"/>
        <v>1252.3899999999999</v>
      </c>
      <c r="U536" s="4">
        <f t="shared" si="43"/>
        <v>0.57977059436913447</v>
      </c>
      <c r="V536" s="5">
        <f t="shared" si="44"/>
        <v>4.3473249999999997</v>
      </c>
    </row>
    <row r="537" spans="1:22" x14ac:dyDescent="0.25">
      <c r="A537" s="2" t="s">
        <v>571</v>
      </c>
      <c r="B537" s="2" t="s">
        <v>45</v>
      </c>
      <c r="C537" s="2" t="s">
        <v>19</v>
      </c>
      <c r="D537" s="2" t="s">
        <v>28</v>
      </c>
      <c r="E537" s="2">
        <v>450.03</v>
      </c>
      <c r="F537" s="2">
        <v>9.27</v>
      </c>
      <c r="G537" s="2">
        <v>25.37</v>
      </c>
      <c r="H537" s="2">
        <v>0.3</v>
      </c>
      <c r="I537" s="2">
        <v>0.4</v>
      </c>
      <c r="J537" s="2">
        <v>2</v>
      </c>
      <c r="K537" s="2" t="s">
        <v>21</v>
      </c>
      <c r="L537" s="2">
        <v>5.3</v>
      </c>
      <c r="M537" s="2" t="s">
        <v>37</v>
      </c>
      <c r="N537" s="2">
        <v>65.05</v>
      </c>
      <c r="O537" s="2" t="s">
        <v>24</v>
      </c>
      <c r="P537" s="2">
        <v>5.76</v>
      </c>
      <c r="Q537" s="2">
        <v>14.47</v>
      </c>
      <c r="R537" s="3">
        <f t="shared" si="40"/>
        <v>2592.1727999999998</v>
      </c>
      <c r="S537" s="3">
        <f t="shared" si="41"/>
        <v>6511.9340999999995</v>
      </c>
      <c r="T537" s="3">
        <f t="shared" si="42"/>
        <v>3919.7612999999997</v>
      </c>
      <c r="U537" s="4">
        <f t="shared" si="43"/>
        <v>0.60193503800967518</v>
      </c>
      <c r="V537" s="5">
        <f t="shared" si="44"/>
        <v>23.851589999999998</v>
      </c>
    </row>
    <row r="538" spans="1:22" x14ac:dyDescent="0.25">
      <c r="A538" s="2" t="s">
        <v>572</v>
      </c>
      <c r="B538" s="2" t="s">
        <v>26</v>
      </c>
      <c r="C538" s="2" t="s">
        <v>19</v>
      </c>
      <c r="D538" s="2" t="s">
        <v>20</v>
      </c>
      <c r="E538" s="2">
        <v>447.38</v>
      </c>
      <c r="F538" s="2">
        <v>12.28</v>
      </c>
      <c r="G538" s="2">
        <v>20.82</v>
      </c>
      <c r="H538" s="2">
        <v>0.5</v>
      </c>
      <c r="I538" s="2">
        <v>1.9</v>
      </c>
      <c r="J538" s="2">
        <v>3</v>
      </c>
      <c r="K538" s="2" t="s">
        <v>29</v>
      </c>
      <c r="L538" s="2">
        <v>2.52</v>
      </c>
      <c r="M538" s="2" t="s">
        <v>40</v>
      </c>
      <c r="N538" s="2">
        <v>78.45</v>
      </c>
      <c r="O538" s="2" t="s">
        <v>23</v>
      </c>
      <c r="P538" s="2">
        <v>7.65</v>
      </c>
      <c r="Q538" s="2">
        <v>14.01</v>
      </c>
      <c r="R538" s="3">
        <f t="shared" si="40"/>
        <v>3422.4570000000003</v>
      </c>
      <c r="S538" s="3">
        <f t="shared" si="41"/>
        <v>6267.7937999999995</v>
      </c>
      <c r="T538" s="3">
        <f t="shared" si="42"/>
        <v>2845.3367999999991</v>
      </c>
      <c r="U538" s="4">
        <f t="shared" si="43"/>
        <v>0.4539614561027836</v>
      </c>
      <c r="V538" s="5">
        <f t="shared" si="44"/>
        <v>11.273975999999999</v>
      </c>
    </row>
    <row r="539" spans="1:22" x14ac:dyDescent="0.25">
      <c r="A539" s="2" t="s">
        <v>573</v>
      </c>
      <c r="B539" s="2" t="s">
        <v>18</v>
      </c>
      <c r="C539" s="2" t="s">
        <v>33</v>
      </c>
      <c r="D539" s="2" t="s">
        <v>28</v>
      </c>
      <c r="E539" s="2">
        <v>638.83000000000004</v>
      </c>
      <c r="F539" s="2">
        <v>9.61</v>
      </c>
      <c r="G539" s="2">
        <v>34.1</v>
      </c>
      <c r="H539" s="2">
        <v>1.6</v>
      </c>
      <c r="I539" s="2">
        <v>0.6</v>
      </c>
      <c r="J539" s="2">
        <v>5</v>
      </c>
      <c r="K539" s="2" t="s">
        <v>21</v>
      </c>
      <c r="L539" s="2">
        <v>1.21</v>
      </c>
      <c r="M539" s="2" t="s">
        <v>22</v>
      </c>
      <c r="N539" s="2">
        <v>80.92</v>
      </c>
      <c r="O539" s="2" t="s">
        <v>23</v>
      </c>
      <c r="P539" s="2">
        <v>5.14</v>
      </c>
      <c r="Q539" s="2">
        <v>12.01</v>
      </c>
      <c r="R539" s="3">
        <f t="shared" si="40"/>
        <v>3283.5862000000002</v>
      </c>
      <c r="S539" s="3">
        <f t="shared" si="41"/>
        <v>7672.3483000000006</v>
      </c>
      <c r="T539" s="3">
        <f t="shared" si="42"/>
        <v>4388.7620999999999</v>
      </c>
      <c r="U539" s="4">
        <f t="shared" si="43"/>
        <v>0.5720233139050791</v>
      </c>
      <c r="V539" s="5">
        <f t="shared" si="44"/>
        <v>7.7298430000000007</v>
      </c>
    </row>
    <row r="540" spans="1:22" x14ac:dyDescent="0.25">
      <c r="A540" s="2" t="s">
        <v>574</v>
      </c>
      <c r="B540" s="2" t="s">
        <v>32</v>
      </c>
      <c r="C540" s="2" t="s">
        <v>27</v>
      </c>
      <c r="D540" s="2" t="s">
        <v>28</v>
      </c>
      <c r="E540" s="2">
        <v>461.5</v>
      </c>
      <c r="F540" s="2">
        <v>15</v>
      </c>
      <c r="G540" s="2">
        <v>29.02</v>
      </c>
      <c r="H540" s="2">
        <v>2.9</v>
      </c>
      <c r="I540" s="2">
        <v>1.3</v>
      </c>
      <c r="J540" s="2">
        <v>25</v>
      </c>
      <c r="K540" s="2" t="s">
        <v>34</v>
      </c>
      <c r="L540" s="2">
        <v>6.37</v>
      </c>
      <c r="M540" s="2" t="s">
        <v>40</v>
      </c>
      <c r="N540" s="2">
        <v>53.5</v>
      </c>
      <c r="O540" s="2" t="s">
        <v>24</v>
      </c>
      <c r="P540" s="2">
        <v>4.87</v>
      </c>
      <c r="Q540" s="2">
        <v>10.89</v>
      </c>
      <c r="R540" s="3">
        <f t="shared" si="40"/>
        <v>2247.5050000000001</v>
      </c>
      <c r="S540" s="3">
        <f t="shared" si="41"/>
        <v>5025.7350000000006</v>
      </c>
      <c r="T540" s="3">
        <f t="shared" si="42"/>
        <v>2778.2300000000005</v>
      </c>
      <c r="U540" s="4">
        <f t="shared" si="43"/>
        <v>0.55280073461891643</v>
      </c>
      <c r="V540" s="5">
        <f t="shared" si="44"/>
        <v>29.397550000000003</v>
      </c>
    </row>
    <row r="541" spans="1:22" x14ac:dyDescent="0.25">
      <c r="A541" s="2" t="s">
        <v>575</v>
      </c>
      <c r="B541" s="2" t="s">
        <v>45</v>
      </c>
      <c r="C541" s="2" t="s">
        <v>19</v>
      </c>
      <c r="D541" s="2" t="s">
        <v>20</v>
      </c>
      <c r="E541" s="2">
        <v>538.29999999999995</v>
      </c>
      <c r="F541" s="2">
        <v>15.59</v>
      </c>
      <c r="G541" s="2">
        <v>22.02</v>
      </c>
      <c r="H541" s="2">
        <v>1.9</v>
      </c>
      <c r="I541" s="2">
        <v>0.1</v>
      </c>
      <c r="J541" s="2">
        <v>16</v>
      </c>
      <c r="K541" s="2" t="s">
        <v>21</v>
      </c>
      <c r="L541" s="2">
        <v>9.5399999999999991</v>
      </c>
      <c r="M541" s="2" t="s">
        <v>37</v>
      </c>
      <c r="N541" s="2">
        <v>83.2</v>
      </c>
      <c r="O541" s="2" t="s">
        <v>23</v>
      </c>
      <c r="P541" s="2">
        <v>8.6999999999999993</v>
      </c>
      <c r="Q541" s="2">
        <v>7.81</v>
      </c>
      <c r="R541" s="3">
        <f t="shared" si="40"/>
        <v>4683.2099999999991</v>
      </c>
      <c r="S541" s="3">
        <f t="shared" si="41"/>
        <v>4204.1229999999996</v>
      </c>
      <c r="T541" s="3">
        <f t="shared" si="42"/>
        <v>-479.08699999999953</v>
      </c>
      <c r="U541" s="4">
        <f t="shared" si="43"/>
        <v>-0.11395646606914203</v>
      </c>
      <c r="V541" s="5">
        <f t="shared" si="44"/>
        <v>51.353819999999985</v>
      </c>
    </row>
    <row r="542" spans="1:22" x14ac:dyDescent="0.25">
      <c r="A542" s="2" t="s">
        <v>576</v>
      </c>
      <c r="B542" s="2" t="s">
        <v>18</v>
      </c>
      <c r="C542" s="2" t="s">
        <v>43</v>
      </c>
      <c r="D542" s="2" t="s">
        <v>20</v>
      </c>
      <c r="E542" s="2">
        <v>514.13</v>
      </c>
      <c r="F542" s="2">
        <v>9.06</v>
      </c>
      <c r="G542" s="2">
        <v>34.15</v>
      </c>
      <c r="H542" s="2">
        <v>0.5</v>
      </c>
      <c r="I542" s="2">
        <v>0.5</v>
      </c>
      <c r="J542" s="2">
        <v>22</v>
      </c>
      <c r="K542" s="2" t="s">
        <v>34</v>
      </c>
      <c r="L542" s="2">
        <v>3.45</v>
      </c>
      <c r="M542" s="2" t="s">
        <v>22</v>
      </c>
      <c r="N542" s="2">
        <v>76.400000000000006</v>
      </c>
      <c r="O542" s="2" t="s">
        <v>30</v>
      </c>
      <c r="P542" s="2">
        <v>9.86</v>
      </c>
      <c r="Q542" s="2">
        <v>8.67</v>
      </c>
      <c r="R542" s="3">
        <f t="shared" si="40"/>
        <v>5069.3217999999997</v>
      </c>
      <c r="S542" s="3">
        <f t="shared" si="41"/>
        <v>4457.5070999999998</v>
      </c>
      <c r="T542" s="3">
        <f t="shared" si="42"/>
        <v>-611.8146999999999</v>
      </c>
      <c r="U542" s="4">
        <f t="shared" si="43"/>
        <v>-0.1372549019607843</v>
      </c>
      <c r="V542" s="5">
        <f t="shared" si="44"/>
        <v>17.737485000000003</v>
      </c>
    </row>
    <row r="543" spans="1:22" x14ac:dyDescent="0.25">
      <c r="A543" s="2" t="s">
        <v>577</v>
      </c>
      <c r="B543" s="2" t="s">
        <v>45</v>
      </c>
      <c r="C543" s="2" t="s">
        <v>43</v>
      </c>
      <c r="D543" s="2" t="s">
        <v>20</v>
      </c>
      <c r="E543" s="2">
        <v>286.94</v>
      </c>
      <c r="F543" s="2">
        <v>13.06</v>
      </c>
      <c r="G543" s="2">
        <v>20.62</v>
      </c>
      <c r="H543" s="2">
        <v>0</v>
      </c>
      <c r="I543" s="2">
        <v>4.0999999999999996</v>
      </c>
      <c r="J543" s="2">
        <v>15</v>
      </c>
      <c r="K543" s="2" t="s">
        <v>21</v>
      </c>
      <c r="L543" s="2">
        <v>6.02</v>
      </c>
      <c r="M543" s="2" t="s">
        <v>40</v>
      </c>
      <c r="N543" s="2">
        <v>91.38</v>
      </c>
      <c r="O543" s="2" t="s">
        <v>23</v>
      </c>
      <c r="P543" s="2">
        <v>8.42</v>
      </c>
      <c r="Q543" s="2">
        <v>5.9</v>
      </c>
      <c r="R543" s="3">
        <f t="shared" si="40"/>
        <v>2416.0347999999999</v>
      </c>
      <c r="S543" s="3">
        <f t="shared" si="41"/>
        <v>1692.9460000000001</v>
      </c>
      <c r="T543" s="3">
        <f t="shared" si="42"/>
        <v>-723.08879999999976</v>
      </c>
      <c r="U543" s="4">
        <f t="shared" si="43"/>
        <v>-0.42711864406779643</v>
      </c>
      <c r="V543" s="5">
        <f t="shared" si="44"/>
        <v>17.273788</v>
      </c>
    </row>
    <row r="544" spans="1:22" x14ac:dyDescent="0.25">
      <c r="A544" s="2" t="s">
        <v>578</v>
      </c>
      <c r="B544" s="2" t="s">
        <v>18</v>
      </c>
      <c r="C544" s="2" t="s">
        <v>43</v>
      </c>
      <c r="D544" s="2" t="s">
        <v>20</v>
      </c>
      <c r="E544" s="2">
        <v>576.82000000000005</v>
      </c>
      <c r="F544" s="2">
        <v>16.149999999999999</v>
      </c>
      <c r="G544" s="2">
        <v>37.4</v>
      </c>
      <c r="H544" s="2">
        <v>2.8</v>
      </c>
      <c r="I544" s="2">
        <v>1.7</v>
      </c>
      <c r="J544" s="2">
        <v>12</v>
      </c>
      <c r="K544" s="2" t="s">
        <v>34</v>
      </c>
      <c r="L544" s="2">
        <v>9.56</v>
      </c>
      <c r="M544" s="2" t="s">
        <v>22</v>
      </c>
      <c r="N544" s="2">
        <v>61.11</v>
      </c>
      <c r="O544" s="2" t="s">
        <v>23</v>
      </c>
      <c r="P544" s="2">
        <v>6.67</v>
      </c>
      <c r="Q544" s="2">
        <v>12.86</v>
      </c>
      <c r="R544" s="3">
        <f t="shared" si="40"/>
        <v>3847.3894000000005</v>
      </c>
      <c r="S544" s="3">
        <f t="shared" si="41"/>
        <v>7417.9052000000001</v>
      </c>
      <c r="T544" s="3">
        <f t="shared" si="42"/>
        <v>3570.5157999999997</v>
      </c>
      <c r="U544" s="4">
        <f t="shared" si="43"/>
        <v>0.48133748055987552</v>
      </c>
      <c r="V544" s="5">
        <f t="shared" si="44"/>
        <v>55.143992000000004</v>
      </c>
    </row>
    <row r="545" spans="1:22" x14ac:dyDescent="0.25">
      <c r="A545" s="2" t="s">
        <v>579</v>
      </c>
      <c r="B545" s="2" t="s">
        <v>45</v>
      </c>
      <c r="C545" s="2" t="s">
        <v>27</v>
      </c>
      <c r="D545" s="2" t="s">
        <v>20</v>
      </c>
      <c r="E545" s="2">
        <v>521.54</v>
      </c>
      <c r="F545" s="2">
        <v>17.36</v>
      </c>
      <c r="G545" s="2">
        <v>22.77</v>
      </c>
      <c r="H545" s="2">
        <v>8.4</v>
      </c>
      <c r="I545" s="2">
        <v>0.2</v>
      </c>
      <c r="J545" s="2">
        <v>9</v>
      </c>
      <c r="K545" s="2" t="s">
        <v>21</v>
      </c>
      <c r="L545" s="2">
        <v>6.68</v>
      </c>
      <c r="M545" s="2" t="s">
        <v>22</v>
      </c>
      <c r="N545" s="2">
        <v>59.75</v>
      </c>
      <c r="O545" s="2" t="s">
        <v>30</v>
      </c>
      <c r="P545" s="2">
        <v>6.1</v>
      </c>
      <c r="Q545" s="2">
        <v>8.24</v>
      </c>
      <c r="R545" s="3">
        <f t="shared" si="40"/>
        <v>3181.3939999999998</v>
      </c>
      <c r="S545" s="3">
        <f t="shared" si="41"/>
        <v>4297.4895999999999</v>
      </c>
      <c r="T545" s="3">
        <f t="shared" si="42"/>
        <v>1116.0956000000001</v>
      </c>
      <c r="U545" s="4">
        <f t="shared" si="43"/>
        <v>0.25970873786407772</v>
      </c>
      <c r="V545" s="5">
        <f t="shared" si="44"/>
        <v>34.838871999999995</v>
      </c>
    </row>
    <row r="546" spans="1:22" x14ac:dyDescent="0.25">
      <c r="A546" s="2" t="s">
        <v>580</v>
      </c>
      <c r="B546" s="2" t="s">
        <v>32</v>
      </c>
      <c r="C546" s="2" t="s">
        <v>33</v>
      </c>
      <c r="D546" s="2" t="s">
        <v>28</v>
      </c>
      <c r="E546" s="2">
        <v>550.83000000000004</v>
      </c>
      <c r="F546" s="2">
        <v>13.14</v>
      </c>
      <c r="G546" s="2">
        <v>22.55</v>
      </c>
      <c r="H546" s="2">
        <v>3.3</v>
      </c>
      <c r="I546" s="2">
        <v>0.3</v>
      </c>
      <c r="J546" s="2">
        <v>26</v>
      </c>
      <c r="K546" s="2" t="s">
        <v>34</v>
      </c>
      <c r="L546" s="2">
        <v>6.89</v>
      </c>
      <c r="M546" s="2" t="s">
        <v>22</v>
      </c>
      <c r="N546" s="2">
        <v>89.67</v>
      </c>
      <c r="O546" s="2" t="s">
        <v>30</v>
      </c>
      <c r="P546" s="2">
        <v>6.78</v>
      </c>
      <c r="Q546" s="2">
        <v>11.68</v>
      </c>
      <c r="R546" s="3">
        <f t="shared" si="40"/>
        <v>3734.6274000000003</v>
      </c>
      <c r="S546" s="3">
        <f t="shared" si="41"/>
        <v>6433.6944000000003</v>
      </c>
      <c r="T546" s="3">
        <f t="shared" si="42"/>
        <v>2699.067</v>
      </c>
      <c r="U546" s="4">
        <f t="shared" si="43"/>
        <v>0.41952054794520544</v>
      </c>
      <c r="V546" s="5">
        <f t="shared" si="44"/>
        <v>37.952187000000002</v>
      </c>
    </row>
    <row r="547" spans="1:22" x14ac:dyDescent="0.25">
      <c r="A547" s="2" t="s">
        <v>581</v>
      </c>
      <c r="B547" s="2" t="s">
        <v>26</v>
      </c>
      <c r="C547" s="2" t="s">
        <v>43</v>
      </c>
      <c r="D547" s="2" t="s">
        <v>28</v>
      </c>
      <c r="E547" s="2">
        <v>892.62</v>
      </c>
      <c r="F547" s="2">
        <v>17.5</v>
      </c>
      <c r="G547" s="2">
        <v>23.51</v>
      </c>
      <c r="H547" s="2">
        <v>1.2</v>
      </c>
      <c r="I547" s="2">
        <v>0.4</v>
      </c>
      <c r="J547" s="2">
        <v>14</v>
      </c>
      <c r="K547" s="2" t="s">
        <v>34</v>
      </c>
      <c r="L547" s="2">
        <v>2.2000000000000002</v>
      </c>
      <c r="M547" s="2" t="s">
        <v>22</v>
      </c>
      <c r="N547" s="2">
        <v>85.19</v>
      </c>
      <c r="O547" s="2" t="s">
        <v>30</v>
      </c>
      <c r="P547" s="2">
        <v>6.24</v>
      </c>
      <c r="Q547" s="2">
        <v>8.58</v>
      </c>
      <c r="R547" s="3">
        <f t="shared" si="40"/>
        <v>5569.9488000000001</v>
      </c>
      <c r="S547" s="3">
        <f t="shared" si="41"/>
        <v>7658.6796000000004</v>
      </c>
      <c r="T547" s="3">
        <f t="shared" si="42"/>
        <v>2088.7308000000003</v>
      </c>
      <c r="U547" s="4">
        <f t="shared" si="43"/>
        <v>0.27272727272727276</v>
      </c>
      <c r="V547" s="5">
        <f t="shared" si="44"/>
        <v>19.637640000000001</v>
      </c>
    </row>
    <row r="548" spans="1:22" x14ac:dyDescent="0.25">
      <c r="A548" s="2" t="s">
        <v>582</v>
      </c>
      <c r="B548" s="2" t="s">
        <v>32</v>
      </c>
      <c r="C548" s="2" t="s">
        <v>27</v>
      </c>
      <c r="D548" s="2" t="s">
        <v>20</v>
      </c>
      <c r="E548" s="2">
        <v>291.58999999999997</v>
      </c>
      <c r="F548" s="2">
        <v>13.36</v>
      </c>
      <c r="G548" s="2">
        <v>39.21</v>
      </c>
      <c r="H548" s="2">
        <v>4.7</v>
      </c>
      <c r="I548" s="2">
        <v>1.1000000000000001</v>
      </c>
      <c r="J548" s="2">
        <v>29</v>
      </c>
      <c r="K548" s="2" t="s">
        <v>34</v>
      </c>
      <c r="L548" s="2">
        <v>5.18</v>
      </c>
      <c r="M548" s="2" t="s">
        <v>37</v>
      </c>
      <c r="N548" s="2">
        <v>89.58</v>
      </c>
      <c r="O548" s="2" t="s">
        <v>24</v>
      </c>
      <c r="P548" s="2">
        <v>6.52</v>
      </c>
      <c r="Q548" s="2">
        <v>9.64</v>
      </c>
      <c r="R548" s="3">
        <f t="shared" si="40"/>
        <v>1901.1667999999997</v>
      </c>
      <c r="S548" s="3">
        <f t="shared" si="41"/>
        <v>2810.9276</v>
      </c>
      <c r="T548" s="3">
        <f t="shared" si="42"/>
        <v>909.76080000000024</v>
      </c>
      <c r="U548" s="4">
        <f t="shared" si="43"/>
        <v>0.32365145228215775</v>
      </c>
      <c r="V548" s="5">
        <f t="shared" si="44"/>
        <v>15.104361999999998</v>
      </c>
    </row>
    <row r="549" spans="1:22" x14ac:dyDescent="0.25">
      <c r="A549" s="2" t="s">
        <v>583</v>
      </c>
      <c r="B549" s="2" t="s">
        <v>26</v>
      </c>
      <c r="C549" s="2" t="s">
        <v>19</v>
      </c>
      <c r="D549" s="2" t="s">
        <v>20</v>
      </c>
      <c r="E549" s="2">
        <v>672.47</v>
      </c>
      <c r="F549" s="2">
        <v>11.94</v>
      </c>
      <c r="G549" s="2">
        <v>33.86</v>
      </c>
      <c r="H549" s="2">
        <v>1.1000000000000001</v>
      </c>
      <c r="I549" s="2">
        <v>1.4</v>
      </c>
      <c r="J549" s="2">
        <v>21</v>
      </c>
      <c r="K549" s="2" t="s">
        <v>21</v>
      </c>
      <c r="L549" s="2">
        <v>3.99</v>
      </c>
      <c r="M549" s="2" t="s">
        <v>37</v>
      </c>
      <c r="N549" s="2">
        <v>89.1</v>
      </c>
      <c r="O549" s="2" t="s">
        <v>23</v>
      </c>
      <c r="P549" s="2">
        <v>4.42</v>
      </c>
      <c r="Q549" s="2">
        <v>10.55</v>
      </c>
      <c r="R549" s="3">
        <f t="shared" si="40"/>
        <v>2972.3173999999999</v>
      </c>
      <c r="S549" s="3">
        <f t="shared" si="41"/>
        <v>7094.558500000001</v>
      </c>
      <c r="T549" s="3">
        <f t="shared" si="42"/>
        <v>4122.2411000000011</v>
      </c>
      <c r="U549" s="4">
        <f t="shared" si="43"/>
        <v>0.58104265402843613</v>
      </c>
      <c r="V549" s="5">
        <f t="shared" si="44"/>
        <v>26.831553000000003</v>
      </c>
    </row>
    <row r="550" spans="1:22" x14ac:dyDescent="0.25">
      <c r="A550" s="2" t="s">
        <v>584</v>
      </c>
      <c r="B550" s="2" t="s">
        <v>45</v>
      </c>
      <c r="C550" s="2" t="s">
        <v>33</v>
      </c>
      <c r="D550" s="2" t="s">
        <v>20</v>
      </c>
      <c r="E550" s="2">
        <v>471.26</v>
      </c>
      <c r="F550" s="2">
        <v>16.48</v>
      </c>
      <c r="G550" s="2">
        <v>36.03</v>
      </c>
      <c r="H550" s="2">
        <v>1.5</v>
      </c>
      <c r="I550" s="2">
        <v>1.4</v>
      </c>
      <c r="J550" s="2">
        <v>16</v>
      </c>
      <c r="K550" s="2" t="s">
        <v>21</v>
      </c>
      <c r="L550" s="2">
        <v>4.97</v>
      </c>
      <c r="M550" s="2" t="s">
        <v>40</v>
      </c>
      <c r="N550" s="2">
        <v>55.2</v>
      </c>
      <c r="O550" s="2" t="s">
        <v>23</v>
      </c>
      <c r="P550" s="2">
        <v>9.33</v>
      </c>
      <c r="Q550" s="2">
        <v>13.02</v>
      </c>
      <c r="R550" s="3">
        <f t="shared" si="40"/>
        <v>4396.8558000000003</v>
      </c>
      <c r="S550" s="3">
        <f t="shared" si="41"/>
        <v>6135.8051999999998</v>
      </c>
      <c r="T550" s="3">
        <f t="shared" si="42"/>
        <v>1738.9493999999995</v>
      </c>
      <c r="U550" s="4">
        <f t="shared" si="43"/>
        <v>0.28341013824884786</v>
      </c>
      <c r="V550" s="5">
        <f t="shared" si="44"/>
        <v>23.421621999999999</v>
      </c>
    </row>
    <row r="551" spans="1:22" x14ac:dyDescent="0.25">
      <c r="A551" s="2" t="s">
        <v>585</v>
      </c>
      <c r="B551" s="2" t="s">
        <v>18</v>
      </c>
      <c r="C551" s="2" t="s">
        <v>19</v>
      </c>
      <c r="D551" s="2" t="s">
        <v>20</v>
      </c>
      <c r="E551" s="2">
        <v>528.73</v>
      </c>
      <c r="F551" s="2">
        <v>12.93</v>
      </c>
      <c r="G551" s="2">
        <v>27.95</v>
      </c>
      <c r="H551" s="2">
        <v>1.3</v>
      </c>
      <c r="I551" s="2">
        <v>0.7</v>
      </c>
      <c r="J551" s="2">
        <v>11</v>
      </c>
      <c r="K551" s="2" t="s">
        <v>34</v>
      </c>
      <c r="L551" s="2">
        <v>8.11</v>
      </c>
      <c r="M551" s="2" t="s">
        <v>40</v>
      </c>
      <c r="N551" s="2">
        <v>63.93</v>
      </c>
      <c r="O551" s="2" t="s">
        <v>30</v>
      </c>
      <c r="P551" s="2">
        <v>8.2799999999999994</v>
      </c>
      <c r="Q551" s="2">
        <v>7.11</v>
      </c>
      <c r="R551" s="3">
        <f t="shared" si="40"/>
        <v>4377.8843999999999</v>
      </c>
      <c r="S551" s="3">
        <f t="shared" si="41"/>
        <v>3759.2703000000001</v>
      </c>
      <c r="T551" s="3">
        <f t="shared" si="42"/>
        <v>-618.61409999999978</v>
      </c>
      <c r="U551" s="4">
        <f t="shared" si="43"/>
        <v>-0.16455696202531639</v>
      </c>
      <c r="V551" s="5">
        <f t="shared" si="44"/>
        <v>42.880002999999995</v>
      </c>
    </row>
    <row r="552" spans="1:22" x14ac:dyDescent="0.25">
      <c r="A552" s="2" t="s">
        <v>586</v>
      </c>
      <c r="B552" s="2" t="s">
        <v>32</v>
      </c>
      <c r="C552" s="2" t="s">
        <v>27</v>
      </c>
      <c r="D552" s="2" t="s">
        <v>20</v>
      </c>
      <c r="E552" s="2">
        <v>495.45</v>
      </c>
      <c r="F552" s="2">
        <v>12.72</v>
      </c>
      <c r="G552" s="2">
        <v>26.73</v>
      </c>
      <c r="H552" s="2">
        <v>1.2</v>
      </c>
      <c r="I552" s="2">
        <v>1.7</v>
      </c>
      <c r="J552" s="2">
        <v>6</v>
      </c>
      <c r="K552" s="2" t="s">
        <v>29</v>
      </c>
      <c r="L552" s="2">
        <v>4.88</v>
      </c>
      <c r="M552" s="2" t="s">
        <v>22</v>
      </c>
      <c r="N552" s="2">
        <v>63</v>
      </c>
      <c r="O552" s="2" t="s">
        <v>24</v>
      </c>
      <c r="P552" s="2">
        <v>7.77</v>
      </c>
      <c r="Q552" s="2">
        <v>8.99</v>
      </c>
      <c r="R552" s="3">
        <f t="shared" si="40"/>
        <v>3849.6464999999998</v>
      </c>
      <c r="S552" s="3">
        <f t="shared" si="41"/>
        <v>4454.0955000000004</v>
      </c>
      <c r="T552" s="3">
        <f t="shared" si="42"/>
        <v>604.44900000000052</v>
      </c>
      <c r="U552" s="4">
        <f t="shared" si="43"/>
        <v>0.13570634037819809</v>
      </c>
      <c r="V552" s="5">
        <f t="shared" si="44"/>
        <v>24.177959999999999</v>
      </c>
    </row>
    <row r="553" spans="1:22" x14ac:dyDescent="0.25">
      <c r="A553" s="2" t="s">
        <v>587</v>
      </c>
      <c r="B553" s="2" t="s">
        <v>26</v>
      </c>
      <c r="C553" s="2" t="s">
        <v>43</v>
      </c>
      <c r="D553" s="2" t="s">
        <v>28</v>
      </c>
      <c r="E553" s="2">
        <v>457.58</v>
      </c>
      <c r="F553" s="2">
        <v>12.9</v>
      </c>
      <c r="G553" s="2">
        <v>24.69</v>
      </c>
      <c r="H553" s="2">
        <v>3</v>
      </c>
      <c r="I553" s="2">
        <v>0.6</v>
      </c>
      <c r="J553" s="2">
        <v>10</v>
      </c>
      <c r="K553" s="2" t="s">
        <v>34</v>
      </c>
      <c r="L553" s="2">
        <v>1.1000000000000001</v>
      </c>
      <c r="M553" s="2" t="s">
        <v>22</v>
      </c>
      <c r="N553" s="2">
        <v>96.73</v>
      </c>
      <c r="O553" s="2" t="s">
        <v>30</v>
      </c>
      <c r="P553" s="2">
        <v>9.65</v>
      </c>
      <c r="Q553" s="2">
        <v>6.3</v>
      </c>
      <c r="R553" s="3">
        <f t="shared" si="40"/>
        <v>4415.6469999999999</v>
      </c>
      <c r="S553" s="3">
        <f t="shared" si="41"/>
        <v>2882.7539999999999</v>
      </c>
      <c r="T553" s="3">
        <f t="shared" si="42"/>
        <v>-1532.893</v>
      </c>
      <c r="U553" s="4">
        <f t="shared" si="43"/>
        <v>-0.53174603174603174</v>
      </c>
      <c r="V553" s="5">
        <f t="shared" si="44"/>
        <v>5.0333800000000002</v>
      </c>
    </row>
    <row r="554" spans="1:22" x14ac:dyDescent="0.25">
      <c r="A554" s="2" t="s">
        <v>588</v>
      </c>
      <c r="B554" s="2" t="s">
        <v>32</v>
      </c>
      <c r="C554" s="2" t="s">
        <v>43</v>
      </c>
      <c r="D554" s="2" t="s">
        <v>28</v>
      </c>
      <c r="E554" s="2">
        <v>443.02</v>
      </c>
      <c r="F554" s="2">
        <v>16.47</v>
      </c>
      <c r="G554" s="2">
        <v>29.61</v>
      </c>
      <c r="H554" s="2">
        <v>1.5</v>
      </c>
      <c r="I554" s="2">
        <v>0.1</v>
      </c>
      <c r="J554" s="2">
        <v>28</v>
      </c>
      <c r="K554" s="2" t="s">
        <v>29</v>
      </c>
      <c r="L554" s="2">
        <v>9.1</v>
      </c>
      <c r="M554" s="2" t="s">
        <v>22</v>
      </c>
      <c r="N554" s="2">
        <v>74.37</v>
      </c>
      <c r="O554" s="2" t="s">
        <v>23</v>
      </c>
      <c r="P554" s="2">
        <v>4.99</v>
      </c>
      <c r="Q554" s="2">
        <v>5.76</v>
      </c>
      <c r="R554" s="3">
        <f t="shared" si="40"/>
        <v>2210.6698000000001</v>
      </c>
      <c r="S554" s="3">
        <f t="shared" si="41"/>
        <v>2551.7952</v>
      </c>
      <c r="T554" s="3">
        <f t="shared" si="42"/>
        <v>341.1253999999999</v>
      </c>
      <c r="U554" s="4">
        <f t="shared" si="43"/>
        <v>0.13368055555555552</v>
      </c>
      <c r="V554" s="5">
        <f t="shared" si="44"/>
        <v>40.314819999999997</v>
      </c>
    </row>
    <row r="555" spans="1:22" x14ac:dyDescent="0.25">
      <c r="A555" s="2" t="s">
        <v>589</v>
      </c>
      <c r="B555" s="2" t="s">
        <v>26</v>
      </c>
      <c r="C555" s="2" t="s">
        <v>27</v>
      </c>
      <c r="D555" s="2" t="s">
        <v>28</v>
      </c>
      <c r="E555" s="2">
        <v>532.95000000000005</v>
      </c>
      <c r="F555" s="2">
        <v>16.32</v>
      </c>
      <c r="G555" s="2">
        <v>31.04</v>
      </c>
      <c r="H555" s="2">
        <v>0.8</v>
      </c>
      <c r="I555" s="2">
        <v>0.8</v>
      </c>
      <c r="J555" s="2">
        <v>8</v>
      </c>
      <c r="K555" s="2" t="s">
        <v>34</v>
      </c>
      <c r="L555" s="2">
        <v>5.68</v>
      </c>
      <c r="M555" s="2" t="s">
        <v>37</v>
      </c>
      <c r="N555" s="2">
        <v>55.55</v>
      </c>
      <c r="O555" s="2" t="s">
        <v>24</v>
      </c>
      <c r="P555" s="2">
        <v>3.57</v>
      </c>
      <c r="Q555" s="2">
        <v>11.05</v>
      </c>
      <c r="R555" s="3">
        <f t="shared" si="40"/>
        <v>1902.6315000000002</v>
      </c>
      <c r="S555" s="3">
        <f t="shared" si="41"/>
        <v>5889.0975000000008</v>
      </c>
      <c r="T555" s="3">
        <f t="shared" si="42"/>
        <v>3986.4660000000003</v>
      </c>
      <c r="U555" s="4">
        <f t="shared" si="43"/>
        <v>0.67692307692307685</v>
      </c>
      <c r="V555" s="5">
        <f t="shared" si="44"/>
        <v>30.271560000000001</v>
      </c>
    </row>
    <row r="556" spans="1:22" x14ac:dyDescent="0.25">
      <c r="A556" s="2" t="s">
        <v>590</v>
      </c>
      <c r="B556" s="2" t="s">
        <v>32</v>
      </c>
      <c r="C556" s="2" t="s">
        <v>43</v>
      </c>
      <c r="D556" s="2" t="s">
        <v>28</v>
      </c>
      <c r="E556" s="2">
        <v>348.28</v>
      </c>
      <c r="F556" s="2">
        <v>12.04</v>
      </c>
      <c r="G556" s="2">
        <v>32.64</v>
      </c>
      <c r="H556" s="2">
        <v>0.6</v>
      </c>
      <c r="I556" s="2">
        <v>3</v>
      </c>
      <c r="J556" s="2">
        <v>16</v>
      </c>
      <c r="K556" s="2" t="s">
        <v>21</v>
      </c>
      <c r="L556" s="2">
        <v>9.2799999999999994</v>
      </c>
      <c r="M556" s="2" t="s">
        <v>22</v>
      </c>
      <c r="N556" s="2">
        <v>64.48</v>
      </c>
      <c r="O556" s="2" t="s">
        <v>24</v>
      </c>
      <c r="P556" s="2">
        <v>8.7799999999999994</v>
      </c>
      <c r="Q556" s="2">
        <v>6.89</v>
      </c>
      <c r="R556" s="3">
        <f t="shared" si="40"/>
        <v>3057.8983999999996</v>
      </c>
      <c r="S556" s="3">
        <f t="shared" si="41"/>
        <v>2399.6491999999998</v>
      </c>
      <c r="T556" s="3">
        <f t="shared" si="42"/>
        <v>-658.24919999999975</v>
      </c>
      <c r="U556" s="4">
        <f t="shared" si="43"/>
        <v>-0.27431059506531197</v>
      </c>
      <c r="V556" s="5">
        <f t="shared" si="44"/>
        <v>32.320383999999997</v>
      </c>
    </row>
    <row r="557" spans="1:22" x14ac:dyDescent="0.25">
      <c r="A557" s="2" t="s">
        <v>591</v>
      </c>
      <c r="B557" s="2" t="s">
        <v>26</v>
      </c>
      <c r="C557" s="2" t="s">
        <v>33</v>
      </c>
      <c r="D557" s="2" t="s">
        <v>20</v>
      </c>
      <c r="E557" s="2">
        <v>575.05999999999995</v>
      </c>
      <c r="F557" s="2">
        <v>11.33</v>
      </c>
      <c r="G557" s="2">
        <v>25.14</v>
      </c>
      <c r="H557" s="2">
        <v>0.1</v>
      </c>
      <c r="I557" s="2">
        <v>1.6</v>
      </c>
      <c r="J557" s="2">
        <v>3</v>
      </c>
      <c r="K557" s="2" t="s">
        <v>29</v>
      </c>
      <c r="L557" s="2">
        <v>5.94</v>
      </c>
      <c r="M557" s="2" t="s">
        <v>40</v>
      </c>
      <c r="N557" s="2">
        <v>93.6</v>
      </c>
      <c r="O557" s="2" t="s">
        <v>23</v>
      </c>
      <c r="P557" s="2">
        <v>9.99</v>
      </c>
      <c r="Q557" s="2">
        <v>5.6</v>
      </c>
      <c r="R557" s="3">
        <f t="shared" si="40"/>
        <v>5744.8493999999992</v>
      </c>
      <c r="S557" s="3">
        <f t="shared" si="41"/>
        <v>3220.3359999999993</v>
      </c>
      <c r="T557" s="3">
        <f t="shared" si="42"/>
        <v>-2524.5133999999998</v>
      </c>
      <c r="U557" s="4">
        <f t="shared" si="43"/>
        <v>-0.78392857142857153</v>
      </c>
      <c r="V557" s="5">
        <f t="shared" si="44"/>
        <v>34.158563999999998</v>
      </c>
    </row>
    <row r="558" spans="1:22" x14ac:dyDescent="0.25">
      <c r="A558" s="2" t="s">
        <v>592</v>
      </c>
      <c r="B558" s="2" t="s">
        <v>26</v>
      </c>
      <c r="C558" s="2" t="s">
        <v>27</v>
      </c>
      <c r="D558" s="2" t="s">
        <v>28</v>
      </c>
      <c r="E558" s="2">
        <v>458.38</v>
      </c>
      <c r="F558" s="2">
        <v>12.92</v>
      </c>
      <c r="G558" s="2">
        <v>38.97</v>
      </c>
      <c r="H558" s="2">
        <v>1.8</v>
      </c>
      <c r="I558" s="2">
        <v>0.9</v>
      </c>
      <c r="J558" s="2">
        <v>2</v>
      </c>
      <c r="K558" s="2" t="s">
        <v>21</v>
      </c>
      <c r="L558" s="2">
        <v>1.1599999999999999</v>
      </c>
      <c r="M558" s="2" t="s">
        <v>22</v>
      </c>
      <c r="N558" s="2">
        <v>92.35</v>
      </c>
      <c r="O558" s="2" t="s">
        <v>24</v>
      </c>
      <c r="P558" s="2">
        <v>7.05</v>
      </c>
      <c r="Q558" s="2">
        <v>13.97</v>
      </c>
      <c r="R558" s="3">
        <f t="shared" si="40"/>
        <v>3231.5789999999997</v>
      </c>
      <c r="S558" s="3">
        <f t="shared" si="41"/>
        <v>6403.5686000000005</v>
      </c>
      <c r="T558" s="3">
        <f t="shared" si="42"/>
        <v>3171.9896000000008</v>
      </c>
      <c r="U558" s="4">
        <f t="shared" si="43"/>
        <v>0.49534717251252691</v>
      </c>
      <c r="V558" s="5">
        <f t="shared" si="44"/>
        <v>5.317207999999999</v>
      </c>
    </row>
    <row r="559" spans="1:22" x14ac:dyDescent="0.25">
      <c r="A559" s="2" t="s">
        <v>593</v>
      </c>
      <c r="B559" s="2" t="s">
        <v>45</v>
      </c>
      <c r="C559" s="2" t="s">
        <v>19</v>
      </c>
      <c r="D559" s="2" t="s">
        <v>20</v>
      </c>
      <c r="E559" s="2">
        <v>386.99</v>
      </c>
      <c r="F559" s="2">
        <v>13.73</v>
      </c>
      <c r="G559" s="2">
        <v>23.4</v>
      </c>
      <c r="H559" s="2">
        <v>0.5</v>
      </c>
      <c r="I559" s="2">
        <v>1</v>
      </c>
      <c r="J559" s="2">
        <v>16</v>
      </c>
      <c r="K559" s="2" t="s">
        <v>29</v>
      </c>
      <c r="L559" s="2">
        <v>5.75</v>
      </c>
      <c r="M559" s="2" t="s">
        <v>37</v>
      </c>
      <c r="N559" s="2">
        <v>95.02</v>
      </c>
      <c r="O559" s="2" t="s">
        <v>24</v>
      </c>
      <c r="P559" s="2">
        <v>3.41</v>
      </c>
      <c r="Q559" s="2">
        <v>10.34</v>
      </c>
      <c r="R559" s="3">
        <f t="shared" si="40"/>
        <v>1319.6359</v>
      </c>
      <c r="S559" s="3">
        <f t="shared" si="41"/>
        <v>4001.4766</v>
      </c>
      <c r="T559" s="3">
        <f t="shared" si="42"/>
        <v>2681.8406999999997</v>
      </c>
      <c r="U559" s="4">
        <f t="shared" si="43"/>
        <v>0.67021276595744672</v>
      </c>
      <c r="V559" s="5">
        <f t="shared" si="44"/>
        <v>22.251925</v>
      </c>
    </row>
    <row r="560" spans="1:22" x14ac:dyDescent="0.25">
      <c r="A560" s="2" t="s">
        <v>594</v>
      </c>
      <c r="B560" s="2" t="s">
        <v>26</v>
      </c>
      <c r="C560" s="2" t="s">
        <v>27</v>
      </c>
      <c r="D560" s="2" t="s">
        <v>20</v>
      </c>
      <c r="E560" s="2">
        <v>455</v>
      </c>
      <c r="F560" s="2">
        <v>10.38</v>
      </c>
      <c r="G560" s="2">
        <v>39.31</v>
      </c>
      <c r="H560" s="2">
        <v>0.3</v>
      </c>
      <c r="I560" s="2">
        <v>2.7</v>
      </c>
      <c r="J560" s="2">
        <v>19</v>
      </c>
      <c r="K560" s="2" t="s">
        <v>29</v>
      </c>
      <c r="L560" s="2">
        <v>5.97</v>
      </c>
      <c r="M560" s="2" t="s">
        <v>22</v>
      </c>
      <c r="N560" s="2">
        <v>69.430000000000007</v>
      </c>
      <c r="O560" s="2" t="s">
        <v>30</v>
      </c>
      <c r="P560" s="2">
        <v>8.4600000000000009</v>
      </c>
      <c r="Q560" s="2">
        <v>6.35</v>
      </c>
      <c r="R560" s="3">
        <f t="shared" si="40"/>
        <v>3849.3</v>
      </c>
      <c r="S560" s="3">
        <f t="shared" si="41"/>
        <v>2889.25</v>
      </c>
      <c r="T560" s="3">
        <f t="shared" si="42"/>
        <v>-960.05000000000018</v>
      </c>
      <c r="U560" s="4">
        <f t="shared" si="43"/>
        <v>-0.3322834645669292</v>
      </c>
      <c r="V560" s="5">
        <f t="shared" si="44"/>
        <v>27.163499999999999</v>
      </c>
    </row>
    <row r="561" spans="1:22" x14ac:dyDescent="0.25">
      <c r="A561" s="2" t="s">
        <v>595</v>
      </c>
      <c r="B561" s="2" t="s">
        <v>45</v>
      </c>
      <c r="C561" s="2" t="s">
        <v>33</v>
      </c>
      <c r="D561" s="2" t="s">
        <v>20</v>
      </c>
      <c r="E561" s="2">
        <v>625.71</v>
      </c>
      <c r="F561" s="2">
        <v>15.94</v>
      </c>
      <c r="G561" s="2">
        <v>20.3</v>
      </c>
      <c r="H561" s="2">
        <v>2.1</v>
      </c>
      <c r="I561" s="2">
        <v>0.6</v>
      </c>
      <c r="J561" s="2">
        <v>9</v>
      </c>
      <c r="K561" s="2" t="s">
        <v>29</v>
      </c>
      <c r="L561" s="2">
        <v>2.54</v>
      </c>
      <c r="M561" s="2" t="s">
        <v>37</v>
      </c>
      <c r="N561" s="2">
        <v>82.07</v>
      </c>
      <c r="O561" s="2" t="s">
        <v>24</v>
      </c>
      <c r="P561" s="2">
        <v>3.52</v>
      </c>
      <c r="Q561" s="2">
        <v>5.53</v>
      </c>
      <c r="R561" s="3">
        <f t="shared" si="40"/>
        <v>2202.4992000000002</v>
      </c>
      <c r="S561" s="3">
        <f t="shared" si="41"/>
        <v>3460.1763000000005</v>
      </c>
      <c r="T561" s="3">
        <f t="shared" si="42"/>
        <v>1257.6771000000003</v>
      </c>
      <c r="U561" s="4">
        <f t="shared" si="43"/>
        <v>0.36347197106690782</v>
      </c>
      <c r="V561" s="5">
        <f t="shared" si="44"/>
        <v>15.893034</v>
      </c>
    </row>
    <row r="562" spans="1:22" x14ac:dyDescent="0.25">
      <c r="A562" s="2" t="s">
        <v>596</v>
      </c>
      <c r="B562" s="2" t="s">
        <v>26</v>
      </c>
      <c r="C562" s="2" t="s">
        <v>33</v>
      </c>
      <c r="D562" s="2" t="s">
        <v>28</v>
      </c>
      <c r="E562" s="2">
        <v>446.47</v>
      </c>
      <c r="F562" s="2">
        <v>12.86</v>
      </c>
      <c r="G562" s="2">
        <v>29.62</v>
      </c>
      <c r="H562" s="2">
        <v>2.2999999999999998</v>
      </c>
      <c r="I562" s="2">
        <v>0.4</v>
      </c>
      <c r="J562" s="2">
        <v>16</v>
      </c>
      <c r="K562" s="2" t="s">
        <v>29</v>
      </c>
      <c r="L562" s="2">
        <v>4.97</v>
      </c>
      <c r="M562" s="2" t="s">
        <v>37</v>
      </c>
      <c r="N562" s="2">
        <v>63.91</v>
      </c>
      <c r="O562" s="2" t="s">
        <v>30</v>
      </c>
      <c r="P562" s="2">
        <v>6.78</v>
      </c>
      <c r="Q562" s="2">
        <v>6.2</v>
      </c>
      <c r="R562" s="3">
        <f t="shared" si="40"/>
        <v>3027.0666000000001</v>
      </c>
      <c r="S562" s="3">
        <f t="shared" si="41"/>
        <v>2768.114</v>
      </c>
      <c r="T562" s="3">
        <f t="shared" si="42"/>
        <v>-258.95260000000007</v>
      </c>
      <c r="U562" s="4">
        <f t="shared" si="43"/>
        <v>-9.3548387096774224E-2</v>
      </c>
      <c r="V562" s="5">
        <f t="shared" si="44"/>
        <v>22.189558999999999</v>
      </c>
    </row>
    <row r="563" spans="1:22" x14ac:dyDescent="0.25">
      <c r="A563" s="2" t="s">
        <v>597</v>
      </c>
      <c r="B563" s="2" t="s">
        <v>18</v>
      </c>
      <c r="C563" s="2" t="s">
        <v>27</v>
      </c>
      <c r="D563" s="2" t="s">
        <v>20</v>
      </c>
      <c r="E563" s="2">
        <v>535.85</v>
      </c>
      <c r="F563" s="2">
        <v>11.34</v>
      </c>
      <c r="G563" s="2">
        <v>26.67</v>
      </c>
      <c r="H563" s="2">
        <v>2.8</v>
      </c>
      <c r="I563" s="2">
        <v>3.8</v>
      </c>
      <c r="J563" s="2">
        <v>22</v>
      </c>
      <c r="K563" s="2" t="s">
        <v>21</v>
      </c>
      <c r="L563" s="2">
        <v>4.8600000000000003</v>
      </c>
      <c r="M563" s="2" t="s">
        <v>37</v>
      </c>
      <c r="N563" s="2">
        <v>59.04</v>
      </c>
      <c r="O563" s="2" t="s">
        <v>24</v>
      </c>
      <c r="P563" s="2">
        <v>4.9400000000000004</v>
      </c>
      <c r="Q563" s="2">
        <v>9.7100000000000009</v>
      </c>
      <c r="R563" s="3">
        <f t="shared" si="40"/>
        <v>2647.0990000000002</v>
      </c>
      <c r="S563" s="3">
        <f t="shared" si="41"/>
        <v>5203.1035000000011</v>
      </c>
      <c r="T563" s="3">
        <f t="shared" si="42"/>
        <v>2556.0045000000009</v>
      </c>
      <c r="U563" s="4">
        <f t="shared" si="43"/>
        <v>0.4912461380020598</v>
      </c>
      <c r="V563" s="5">
        <f t="shared" si="44"/>
        <v>26.042310000000001</v>
      </c>
    </row>
    <row r="564" spans="1:22" x14ac:dyDescent="0.25">
      <c r="A564" s="2" t="s">
        <v>598</v>
      </c>
      <c r="B564" s="2" t="s">
        <v>18</v>
      </c>
      <c r="C564" s="2" t="s">
        <v>27</v>
      </c>
      <c r="D564" s="2" t="s">
        <v>28</v>
      </c>
      <c r="E564" s="2">
        <v>426.9</v>
      </c>
      <c r="F564" s="2">
        <v>9.07</v>
      </c>
      <c r="G564" s="2">
        <v>28.98</v>
      </c>
      <c r="H564" s="2">
        <v>1.4</v>
      </c>
      <c r="I564" s="2">
        <v>2</v>
      </c>
      <c r="J564" s="2">
        <v>26</v>
      </c>
      <c r="K564" s="2" t="s">
        <v>29</v>
      </c>
      <c r="L564" s="2">
        <v>6.42</v>
      </c>
      <c r="M564" s="2" t="s">
        <v>37</v>
      </c>
      <c r="N564" s="2">
        <v>51.1</v>
      </c>
      <c r="O564" s="2" t="s">
        <v>30</v>
      </c>
      <c r="P564" s="2">
        <v>9.41</v>
      </c>
      <c r="Q564" s="2">
        <v>11.68</v>
      </c>
      <c r="R564" s="3">
        <f t="shared" si="40"/>
        <v>4017.1289999999999</v>
      </c>
      <c r="S564" s="3">
        <f t="shared" si="41"/>
        <v>4986.192</v>
      </c>
      <c r="T564" s="3">
        <f t="shared" si="42"/>
        <v>969.0630000000001</v>
      </c>
      <c r="U564" s="4">
        <f t="shared" si="43"/>
        <v>0.19434931506849318</v>
      </c>
      <c r="V564" s="5">
        <f t="shared" si="44"/>
        <v>27.406979999999997</v>
      </c>
    </row>
    <row r="565" spans="1:22" x14ac:dyDescent="0.25">
      <c r="A565" s="2" t="s">
        <v>599</v>
      </c>
      <c r="B565" s="2" t="s">
        <v>18</v>
      </c>
      <c r="C565" s="2" t="s">
        <v>43</v>
      </c>
      <c r="D565" s="2" t="s">
        <v>28</v>
      </c>
      <c r="E565" s="2">
        <v>575.79</v>
      </c>
      <c r="F565" s="2">
        <v>10.39</v>
      </c>
      <c r="G565" s="2">
        <v>31.41</v>
      </c>
      <c r="H565" s="2">
        <v>4.5</v>
      </c>
      <c r="I565" s="2">
        <v>0.4</v>
      </c>
      <c r="J565" s="2">
        <v>28</v>
      </c>
      <c r="K565" s="2" t="s">
        <v>34</v>
      </c>
      <c r="L565" s="2">
        <v>2.97</v>
      </c>
      <c r="M565" s="2" t="s">
        <v>40</v>
      </c>
      <c r="N565" s="2">
        <v>61.17</v>
      </c>
      <c r="O565" s="2" t="s">
        <v>30</v>
      </c>
      <c r="P565" s="2">
        <v>6.16</v>
      </c>
      <c r="Q565" s="2">
        <v>11.41</v>
      </c>
      <c r="R565" s="3">
        <f t="shared" si="40"/>
        <v>3546.8663999999999</v>
      </c>
      <c r="S565" s="3">
        <f t="shared" si="41"/>
        <v>6569.7638999999999</v>
      </c>
      <c r="T565" s="3">
        <f t="shared" si="42"/>
        <v>3022.8975</v>
      </c>
      <c r="U565" s="4">
        <f t="shared" si="43"/>
        <v>0.46012269938650308</v>
      </c>
      <c r="V565" s="5">
        <f t="shared" si="44"/>
        <v>17.100963</v>
      </c>
    </row>
    <row r="566" spans="1:22" x14ac:dyDescent="0.25">
      <c r="A566" s="2" t="s">
        <v>600</v>
      </c>
      <c r="B566" s="2" t="s">
        <v>26</v>
      </c>
      <c r="C566" s="2" t="s">
        <v>33</v>
      </c>
      <c r="D566" s="2" t="s">
        <v>20</v>
      </c>
      <c r="E566" s="2">
        <v>568.54999999999995</v>
      </c>
      <c r="F566" s="2">
        <v>17.489999999999998</v>
      </c>
      <c r="G566" s="2">
        <v>28.71</v>
      </c>
      <c r="H566" s="2">
        <v>5.5</v>
      </c>
      <c r="I566" s="2">
        <v>0.6</v>
      </c>
      <c r="J566" s="2">
        <v>4</v>
      </c>
      <c r="K566" s="2" t="s">
        <v>34</v>
      </c>
      <c r="L566" s="2">
        <v>6.03</v>
      </c>
      <c r="M566" s="2" t="s">
        <v>37</v>
      </c>
      <c r="N566" s="2">
        <v>80.22</v>
      </c>
      <c r="O566" s="2" t="s">
        <v>24</v>
      </c>
      <c r="P566" s="2">
        <v>9.2899999999999991</v>
      </c>
      <c r="Q566" s="2">
        <v>6.44</v>
      </c>
      <c r="R566" s="3">
        <f t="shared" si="40"/>
        <v>5281.8294999999989</v>
      </c>
      <c r="S566" s="3">
        <f t="shared" si="41"/>
        <v>3661.462</v>
      </c>
      <c r="T566" s="3">
        <f t="shared" si="42"/>
        <v>-1620.3674999999989</v>
      </c>
      <c r="U566" s="4">
        <f t="shared" si="43"/>
        <v>-0.44254658385093137</v>
      </c>
      <c r="V566" s="5">
        <f t="shared" si="44"/>
        <v>34.283564999999996</v>
      </c>
    </row>
    <row r="567" spans="1:22" x14ac:dyDescent="0.25">
      <c r="A567" s="2" t="s">
        <v>601</v>
      </c>
      <c r="B567" s="2" t="s">
        <v>45</v>
      </c>
      <c r="C567" s="2" t="s">
        <v>27</v>
      </c>
      <c r="D567" s="2" t="s">
        <v>20</v>
      </c>
      <c r="E567" s="2">
        <v>684.86</v>
      </c>
      <c r="F567" s="2">
        <v>11.05</v>
      </c>
      <c r="G567" s="2">
        <v>28.3</v>
      </c>
      <c r="H567" s="2">
        <v>3.3</v>
      </c>
      <c r="I567" s="2">
        <v>0.5</v>
      </c>
      <c r="J567" s="2">
        <v>10</v>
      </c>
      <c r="K567" s="2" t="s">
        <v>29</v>
      </c>
      <c r="L567" s="2">
        <v>2.79</v>
      </c>
      <c r="M567" s="2" t="s">
        <v>40</v>
      </c>
      <c r="N567" s="2">
        <v>95.21</v>
      </c>
      <c r="O567" s="2" t="s">
        <v>30</v>
      </c>
      <c r="P567" s="2">
        <v>5.09</v>
      </c>
      <c r="Q567" s="2">
        <v>11.33</v>
      </c>
      <c r="R567" s="3">
        <f t="shared" si="40"/>
        <v>3485.9373999999998</v>
      </c>
      <c r="S567" s="3">
        <f t="shared" si="41"/>
        <v>7759.4638000000004</v>
      </c>
      <c r="T567" s="3">
        <f t="shared" si="42"/>
        <v>4273.5264000000006</v>
      </c>
      <c r="U567" s="4">
        <f t="shared" si="43"/>
        <v>0.55075022065313328</v>
      </c>
      <c r="V567" s="5">
        <f t="shared" si="44"/>
        <v>19.107594000000002</v>
      </c>
    </row>
    <row r="568" spans="1:22" x14ac:dyDescent="0.25">
      <c r="A568" s="2" t="s">
        <v>602</v>
      </c>
      <c r="B568" s="2" t="s">
        <v>45</v>
      </c>
      <c r="C568" s="2" t="s">
        <v>27</v>
      </c>
      <c r="D568" s="2" t="s">
        <v>20</v>
      </c>
      <c r="E568" s="2">
        <v>482.44</v>
      </c>
      <c r="F568" s="2">
        <v>9.69</v>
      </c>
      <c r="G568" s="2">
        <v>34.65</v>
      </c>
      <c r="H568" s="2">
        <v>2</v>
      </c>
      <c r="I568" s="2">
        <v>0.2</v>
      </c>
      <c r="J568" s="2">
        <v>19</v>
      </c>
      <c r="K568" s="2" t="s">
        <v>21</v>
      </c>
      <c r="L568" s="2">
        <v>4.74</v>
      </c>
      <c r="M568" s="2" t="s">
        <v>40</v>
      </c>
      <c r="N568" s="2">
        <v>56.67</v>
      </c>
      <c r="O568" s="2" t="s">
        <v>23</v>
      </c>
      <c r="P568" s="2">
        <v>5.71</v>
      </c>
      <c r="Q568" s="2">
        <v>9.0500000000000007</v>
      </c>
      <c r="R568" s="3">
        <f t="shared" si="40"/>
        <v>2754.7323999999999</v>
      </c>
      <c r="S568" s="3">
        <f t="shared" si="41"/>
        <v>4366.0820000000003</v>
      </c>
      <c r="T568" s="3">
        <f t="shared" si="42"/>
        <v>1611.3496000000005</v>
      </c>
      <c r="U568" s="4">
        <f t="shared" si="43"/>
        <v>0.36906077348066307</v>
      </c>
      <c r="V568" s="5">
        <f t="shared" si="44"/>
        <v>22.867656</v>
      </c>
    </row>
    <row r="569" spans="1:22" x14ac:dyDescent="0.25">
      <c r="A569" s="2" t="s">
        <v>603</v>
      </c>
      <c r="B569" s="2" t="s">
        <v>26</v>
      </c>
      <c r="C569" s="2" t="s">
        <v>33</v>
      </c>
      <c r="D569" s="2" t="s">
        <v>28</v>
      </c>
      <c r="E569" s="2">
        <v>566.87</v>
      </c>
      <c r="F569" s="2">
        <v>12.61</v>
      </c>
      <c r="G569" s="2">
        <v>33.72</v>
      </c>
      <c r="H569" s="2">
        <v>0.7</v>
      </c>
      <c r="I569" s="2">
        <v>3.2</v>
      </c>
      <c r="J569" s="2">
        <v>13</v>
      </c>
      <c r="K569" s="2" t="s">
        <v>21</v>
      </c>
      <c r="L569" s="2">
        <v>1.67</v>
      </c>
      <c r="M569" s="2" t="s">
        <v>22</v>
      </c>
      <c r="N569" s="2">
        <v>95.9</v>
      </c>
      <c r="O569" s="2" t="s">
        <v>23</v>
      </c>
      <c r="P569" s="2">
        <v>9.6300000000000008</v>
      </c>
      <c r="Q569" s="2">
        <v>9.65</v>
      </c>
      <c r="R569" s="3">
        <f t="shared" si="40"/>
        <v>5458.9581000000007</v>
      </c>
      <c r="S569" s="3">
        <f t="shared" si="41"/>
        <v>5470.2955000000002</v>
      </c>
      <c r="T569" s="3">
        <f t="shared" si="42"/>
        <v>11.337399999999434</v>
      </c>
      <c r="U569" s="4">
        <f t="shared" si="43"/>
        <v>2.0725388601035232E-3</v>
      </c>
      <c r="V569" s="5">
        <f t="shared" si="44"/>
        <v>9.4667289999999991</v>
      </c>
    </row>
    <row r="570" spans="1:22" x14ac:dyDescent="0.25">
      <c r="A570" s="2" t="s">
        <v>604</v>
      </c>
      <c r="B570" s="2" t="s">
        <v>18</v>
      </c>
      <c r="C570" s="2" t="s">
        <v>27</v>
      </c>
      <c r="D570" s="2" t="s">
        <v>20</v>
      </c>
      <c r="E570" s="2">
        <v>509.81</v>
      </c>
      <c r="F570" s="2">
        <v>11.07</v>
      </c>
      <c r="G570" s="2">
        <v>36.67</v>
      </c>
      <c r="H570" s="2">
        <v>8.1</v>
      </c>
      <c r="I570" s="2">
        <v>0.5</v>
      </c>
      <c r="J570" s="2">
        <v>18</v>
      </c>
      <c r="K570" s="2" t="s">
        <v>29</v>
      </c>
      <c r="L570" s="2">
        <v>0.85</v>
      </c>
      <c r="M570" s="2" t="s">
        <v>22</v>
      </c>
      <c r="N570" s="2">
        <v>67.27</v>
      </c>
      <c r="O570" s="2" t="s">
        <v>24</v>
      </c>
      <c r="P570" s="2">
        <v>4.41</v>
      </c>
      <c r="Q570" s="2">
        <v>13.01</v>
      </c>
      <c r="R570" s="3">
        <f t="shared" si="40"/>
        <v>2248.2620999999999</v>
      </c>
      <c r="S570" s="3">
        <f t="shared" si="41"/>
        <v>6632.6280999999999</v>
      </c>
      <c r="T570" s="3">
        <f t="shared" si="42"/>
        <v>4384.366</v>
      </c>
      <c r="U570" s="4">
        <f t="shared" si="43"/>
        <v>0.66102997694081478</v>
      </c>
      <c r="V570" s="5">
        <f t="shared" si="44"/>
        <v>4.3333849999999998</v>
      </c>
    </row>
    <row r="571" spans="1:22" x14ac:dyDescent="0.25">
      <c r="A571" s="2" t="s">
        <v>605</v>
      </c>
      <c r="B571" s="2" t="s">
        <v>18</v>
      </c>
      <c r="C571" s="2" t="s">
        <v>43</v>
      </c>
      <c r="D571" s="2" t="s">
        <v>28</v>
      </c>
      <c r="E571" s="2">
        <v>629.59</v>
      </c>
      <c r="F571" s="2">
        <v>8.35</v>
      </c>
      <c r="G571" s="2">
        <v>25</v>
      </c>
      <c r="H571" s="2">
        <v>0.6</v>
      </c>
      <c r="I571" s="2">
        <v>2.1</v>
      </c>
      <c r="J571" s="2">
        <v>15</v>
      </c>
      <c r="K571" s="2" t="s">
        <v>21</v>
      </c>
      <c r="L571" s="2">
        <v>3.55</v>
      </c>
      <c r="M571" s="2" t="s">
        <v>37</v>
      </c>
      <c r="N571" s="2">
        <v>71.34</v>
      </c>
      <c r="O571" s="2" t="s">
        <v>24</v>
      </c>
      <c r="P571" s="2">
        <v>7.05</v>
      </c>
      <c r="Q571" s="2">
        <v>8.32</v>
      </c>
      <c r="R571" s="3">
        <f t="shared" si="40"/>
        <v>4438.6095000000005</v>
      </c>
      <c r="S571" s="3">
        <f t="shared" si="41"/>
        <v>5238.1888000000008</v>
      </c>
      <c r="T571" s="3">
        <f t="shared" si="42"/>
        <v>799.57930000000033</v>
      </c>
      <c r="U571" s="4">
        <f t="shared" si="43"/>
        <v>0.15264423076923081</v>
      </c>
      <c r="V571" s="5">
        <f t="shared" si="44"/>
        <v>22.350445000000001</v>
      </c>
    </row>
    <row r="572" spans="1:22" x14ac:dyDescent="0.25">
      <c r="A572" s="2" t="s">
        <v>606</v>
      </c>
      <c r="B572" s="2" t="s">
        <v>45</v>
      </c>
      <c r="C572" s="2" t="s">
        <v>33</v>
      </c>
      <c r="D572" s="2" t="s">
        <v>20</v>
      </c>
      <c r="E572" s="2">
        <v>428.12</v>
      </c>
      <c r="F572" s="2">
        <v>11.23</v>
      </c>
      <c r="G572" s="2">
        <v>32.19</v>
      </c>
      <c r="H572" s="2">
        <v>0.5</v>
      </c>
      <c r="I572" s="2">
        <v>0.2</v>
      </c>
      <c r="J572" s="2">
        <v>4</v>
      </c>
      <c r="K572" s="2" t="s">
        <v>21</v>
      </c>
      <c r="L572" s="2">
        <v>3.11</v>
      </c>
      <c r="M572" s="2" t="s">
        <v>22</v>
      </c>
      <c r="N572" s="2">
        <v>68.25</v>
      </c>
      <c r="O572" s="2" t="s">
        <v>24</v>
      </c>
      <c r="P572" s="2">
        <v>5.72</v>
      </c>
      <c r="Q572" s="2">
        <v>6.47</v>
      </c>
      <c r="R572" s="3">
        <f t="shared" si="40"/>
        <v>2448.8463999999999</v>
      </c>
      <c r="S572" s="3">
        <f t="shared" si="41"/>
        <v>2769.9364</v>
      </c>
      <c r="T572" s="3">
        <f t="shared" si="42"/>
        <v>321.09000000000015</v>
      </c>
      <c r="U572" s="4">
        <f t="shared" si="43"/>
        <v>0.11591962905718707</v>
      </c>
      <c r="V572" s="5">
        <f t="shared" si="44"/>
        <v>13.314532</v>
      </c>
    </row>
    <row r="573" spans="1:22" x14ac:dyDescent="0.25">
      <c r="A573" s="2" t="s">
        <v>607</v>
      </c>
      <c r="B573" s="2" t="s">
        <v>18</v>
      </c>
      <c r="C573" s="2" t="s">
        <v>43</v>
      </c>
      <c r="D573" s="2" t="s">
        <v>20</v>
      </c>
      <c r="E573" s="2">
        <v>574.5</v>
      </c>
      <c r="F573" s="2">
        <v>13.44</v>
      </c>
      <c r="G573" s="2">
        <v>31.7</v>
      </c>
      <c r="H573" s="2">
        <v>1.2</v>
      </c>
      <c r="I573" s="2">
        <v>0.8</v>
      </c>
      <c r="J573" s="2">
        <v>9</v>
      </c>
      <c r="K573" s="2" t="s">
        <v>21</v>
      </c>
      <c r="L573" s="2">
        <v>4.37</v>
      </c>
      <c r="M573" s="2" t="s">
        <v>37</v>
      </c>
      <c r="N573" s="2">
        <v>70.430000000000007</v>
      </c>
      <c r="O573" s="2" t="s">
        <v>23</v>
      </c>
      <c r="P573" s="2">
        <v>8.42</v>
      </c>
      <c r="Q573" s="2">
        <v>13.73</v>
      </c>
      <c r="R573" s="3">
        <f t="shared" si="40"/>
        <v>4837.29</v>
      </c>
      <c r="S573" s="3">
        <f t="shared" si="41"/>
        <v>7887.8850000000002</v>
      </c>
      <c r="T573" s="3">
        <f t="shared" si="42"/>
        <v>3050.5950000000003</v>
      </c>
      <c r="U573" s="4">
        <f t="shared" si="43"/>
        <v>0.38674435542607433</v>
      </c>
      <c r="V573" s="5">
        <f t="shared" si="44"/>
        <v>25.105650000000001</v>
      </c>
    </row>
    <row r="574" spans="1:22" x14ac:dyDescent="0.25">
      <c r="A574" s="2" t="s">
        <v>608</v>
      </c>
      <c r="B574" s="2" t="s">
        <v>32</v>
      </c>
      <c r="C574" s="2" t="s">
        <v>43</v>
      </c>
      <c r="D574" s="2" t="s">
        <v>28</v>
      </c>
      <c r="E574" s="2">
        <v>480.53</v>
      </c>
      <c r="F574" s="2">
        <v>13.52</v>
      </c>
      <c r="G574" s="2">
        <v>27.39</v>
      </c>
      <c r="H574" s="2">
        <v>0.1</v>
      </c>
      <c r="I574" s="2">
        <v>0</v>
      </c>
      <c r="J574" s="2">
        <v>4</v>
      </c>
      <c r="K574" s="2" t="s">
        <v>29</v>
      </c>
      <c r="L574" s="2">
        <v>9.64</v>
      </c>
      <c r="M574" s="2" t="s">
        <v>22</v>
      </c>
      <c r="N574" s="2">
        <v>62.96</v>
      </c>
      <c r="O574" s="2" t="s">
        <v>24</v>
      </c>
      <c r="P574" s="2">
        <v>3.91</v>
      </c>
      <c r="Q574" s="2">
        <v>7.12</v>
      </c>
      <c r="R574" s="3">
        <f t="shared" si="40"/>
        <v>1878.8723</v>
      </c>
      <c r="S574" s="3">
        <f t="shared" si="41"/>
        <v>3421.3735999999999</v>
      </c>
      <c r="T574" s="3">
        <f t="shared" si="42"/>
        <v>1542.5012999999999</v>
      </c>
      <c r="U574" s="4">
        <f t="shared" si="43"/>
        <v>0.45084269662921345</v>
      </c>
      <c r="V574" s="5">
        <f t="shared" si="44"/>
        <v>46.323091999999995</v>
      </c>
    </row>
    <row r="575" spans="1:22" x14ac:dyDescent="0.25">
      <c r="A575" s="2" t="s">
        <v>609</v>
      </c>
      <c r="B575" s="2" t="s">
        <v>45</v>
      </c>
      <c r="C575" s="2" t="s">
        <v>43</v>
      </c>
      <c r="D575" s="2" t="s">
        <v>28</v>
      </c>
      <c r="E575" s="2">
        <v>493.58</v>
      </c>
      <c r="F575" s="2">
        <v>11.57</v>
      </c>
      <c r="G575" s="2">
        <v>29.72</v>
      </c>
      <c r="H575" s="2">
        <v>7.7</v>
      </c>
      <c r="I575" s="2">
        <v>1.4</v>
      </c>
      <c r="J575" s="2">
        <v>29</v>
      </c>
      <c r="K575" s="2" t="s">
        <v>34</v>
      </c>
      <c r="L575" s="2">
        <v>5.46</v>
      </c>
      <c r="M575" s="2" t="s">
        <v>37</v>
      </c>
      <c r="N575" s="2">
        <v>84.93</v>
      </c>
      <c r="O575" s="2" t="s">
        <v>24</v>
      </c>
      <c r="P575" s="2">
        <v>6.06</v>
      </c>
      <c r="Q575" s="2">
        <v>7.94</v>
      </c>
      <c r="R575" s="3">
        <f t="shared" si="40"/>
        <v>2991.0947999999999</v>
      </c>
      <c r="S575" s="3">
        <f t="shared" si="41"/>
        <v>3919.0252</v>
      </c>
      <c r="T575" s="3">
        <f t="shared" si="42"/>
        <v>927.93040000000019</v>
      </c>
      <c r="U575" s="4">
        <f t="shared" si="43"/>
        <v>0.23677581863979855</v>
      </c>
      <c r="V575" s="5">
        <f t="shared" si="44"/>
        <v>26.949467999999996</v>
      </c>
    </row>
    <row r="576" spans="1:22" x14ac:dyDescent="0.25">
      <c r="A576" s="2" t="s">
        <v>610</v>
      </c>
      <c r="B576" s="2" t="s">
        <v>18</v>
      </c>
      <c r="C576" s="2" t="s">
        <v>43</v>
      </c>
      <c r="D576" s="2" t="s">
        <v>28</v>
      </c>
      <c r="E576" s="2">
        <v>509.18</v>
      </c>
      <c r="F576" s="2">
        <v>12.47</v>
      </c>
      <c r="G576" s="2">
        <v>26.28</v>
      </c>
      <c r="H576" s="2">
        <v>1.8</v>
      </c>
      <c r="I576" s="2">
        <v>0.9</v>
      </c>
      <c r="J576" s="2">
        <v>16</v>
      </c>
      <c r="K576" s="2" t="s">
        <v>34</v>
      </c>
      <c r="L576" s="2">
        <v>5.76</v>
      </c>
      <c r="M576" s="2" t="s">
        <v>22</v>
      </c>
      <c r="N576" s="2">
        <v>87.91</v>
      </c>
      <c r="O576" s="2" t="s">
        <v>30</v>
      </c>
      <c r="P576" s="2">
        <v>7.89</v>
      </c>
      <c r="Q576" s="2">
        <v>12.07</v>
      </c>
      <c r="R576" s="3">
        <f t="shared" si="40"/>
        <v>4017.4301999999998</v>
      </c>
      <c r="S576" s="3">
        <f t="shared" si="41"/>
        <v>6145.8026</v>
      </c>
      <c r="T576" s="3">
        <f t="shared" si="42"/>
        <v>2128.3724000000002</v>
      </c>
      <c r="U576" s="4">
        <f t="shared" si="43"/>
        <v>0.34631317315658661</v>
      </c>
      <c r="V576" s="5">
        <f t="shared" si="44"/>
        <v>29.328768</v>
      </c>
    </row>
    <row r="577" spans="1:22" x14ac:dyDescent="0.25">
      <c r="A577" s="2" t="s">
        <v>611</v>
      </c>
      <c r="B577" s="2" t="s">
        <v>45</v>
      </c>
      <c r="C577" s="2" t="s">
        <v>33</v>
      </c>
      <c r="D577" s="2" t="s">
        <v>28</v>
      </c>
      <c r="E577" s="2">
        <v>525.22</v>
      </c>
      <c r="F577" s="2">
        <v>17.66</v>
      </c>
      <c r="G577" s="2">
        <v>22.84</v>
      </c>
      <c r="H577" s="2">
        <v>1.6</v>
      </c>
      <c r="I577" s="2">
        <v>1</v>
      </c>
      <c r="J577" s="2">
        <v>28</v>
      </c>
      <c r="K577" s="2" t="s">
        <v>34</v>
      </c>
      <c r="L577" s="2">
        <v>9.4499999999999993</v>
      </c>
      <c r="M577" s="2" t="s">
        <v>22</v>
      </c>
      <c r="N577" s="2">
        <v>91.16</v>
      </c>
      <c r="O577" s="2" t="s">
        <v>24</v>
      </c>
      <c r="P577" s="2">
        <v>5.85</v>
      </c>
      <c r="Q577" s="2">
        <v>11.84</v>
      </c>
      <c r="R577" s="3">
        <f t="shared" si="40"/>
        <v>3072.5369999999998</v>
      </c>
      <c r="S577" s="3">
        <f t="shared" si="41"/>
        <v>6218.6048000000001</v>
      </c>
      <c r="T577" s="3">
        <f t="shared" si="42"/>
        <v>3146.0678000000003</v>
      </c>
      <c r="U577" s="4">
        <f t="shared" si="43"/>
        <v>0.50591216216216217</v>
      </c>
      <c r="V577" s="5">
        <f t="shared" si="44"/>
        <v>49.633289999999995</v>
      </c>
    </row>
    <row r="578" spans="1:22" x14ac:dyDescent="0.25">
      <c r="A578" s="2" t="s">
        <v>612</v>
      </c>
      <c r="B578" s="2" t="s">
        <v>32</v>
      </c>
      <c r="C578" s="2" t="s">
        <v>43</v>
      </c>
      <c r="D578" s="2" t="s">
        <v>28</v>
      </c>
      <c r="E578" s="2">
        <v>488.38</v>
      </c>
      <c r="F578" s="2">
        <v>11.77</v>
      </c>
      <c r="G578" s="2">
        <v>24.28</v>
      </c>
      <c r="H578" s="2">
        <v>2.1</v>
      </c>
      <c r="I578" s="2">
        <v>0.1</v>
      </c>
      <c r="J578" s="2">
        <v>21</v>
      </c>
      <c r="K578" s="2" t="s">
        <v>34</v>
      </c>
      <c r="L578" s="2">
        <v>9.25</v>
      </c>
      <c r="M578" s="2" t="s">
        <v>40</v>
      </c>
      <c r="N578" s="2">
        <v>67.06</v>
      </c>
      <c r="O578" s="2" t="s">
        <v>23</v>
      </c>
      <c r="P578" s="2">
        <v>3.41</v>
      </c>
      <c r="Q578" s="2">
        <v>13</v>
      </c>
      <c r="R578" s="3">
        <f t="shared" si="40"/>
        <v>1665.3758</v>
      </c>
      <c r="S578" s="3">
        <f t="shared" si="41"/>
        <v>6348.94</v>
      </c>
      <c r="T578" s="3">
        <f t="shared" si="42"/>
        <v>4683.5641999999998</v>
      </c>
      <c r="U578" s="4">
        <f t="shared" si="43"/>
        <v>0.73769230769230776</v>
      </c>
      <c r="V578" s="5">
        <f t="shared" si="44"/>
        <v>45.175150000000002</v>
      </c>
    </row>
    <row r="579" spans="1:22" x14ac:dyDescent="0.25">
      <c r="A579" s="2" t="s">
        <v>613</v>
      </c>
      <c r="B579" s="2" t="s">
        <v>45</v>
      </c>
      <c r="C579" s="2" t="s">
        <v>43</v>
      </c>
      <c r="D579" s="2" t="s">
        <v>28</v>
      </c>
      <c r="E579" s="2">
        <v>521.47</v>
      </c>
      <c r="F579" s="2">
        <v>10.58</v>
      </c>
      <c r="G579" s="2">
        <v>22.11</v>
      </c>
      <c r="H579" s="2">
        <v>1.4</v>
      </c>
      <c r="I579" s="2">
        <v>0.2</v>
      </c>
      <c r="J579" s="2">
        <v>15</v>
      </c>
      <c r="K579" s="2" t="s">
        <v>34</v>
      </c>
      <c r="L579" s="2">
        <v>8.9</v>
      </c>
      <c r="M579" s="2" t="s">
        <v>22</v>
      </c>
      <c r="N579" s="2">
        <v>88.23</v>
      </c>
      <c r="O579" s="2" t="s">
        <v>23</v>
      </c>
      <c r="P579" s="2">
        <v>7.94</v>
      </c>
      <c r="Q579" s="2">
        <v>6.84</v>
      </c>
      <c r="R579" s="3">
        <f t="shared" ref="R579:R642" si="45">E579*P579</f>
        <v>4140.4718000000003</v>
      </c>
      <c r="S579" s="3">
        <f t="shared" ref="S579:S642" si="46">E579*Q579</f>
        <v>3566.8548000000001</v>
      </c>
      <c r="T579" s="3">
        <f t="shared" ref="T579:T642" si="47">S579-R579</f>
        <v>-573.61700000000019</v>
      </c>
      <c r="U579" s="4">
        <f t="shared" ref="U579:U642" si="48">T579/S579</f>
        <v>-0.16081871345029244</v>
      </c>
      <c r="V579" s="5">
        <f t="shared" ref="V579:V642" si="49">E579*L579/100</f>
        <v>46.410830000000004</v>
      </c>
    </row>
    <row r="580" spans="1:22" x14ac:dyDescent="0.25">
      <c r="A580" s="2" t="s">
        <v>614</v>
      </c>
      <c r="B580" s="2" t="s">
        <v>45</v>
      </c>
      <c r="C580" s="2" t="s">
        <v>27</v>
      </c>
      <c r="D580" s="2" t="s">
        <v>20</v>
      </c>
      <c r="E580" s="2">
        <v>657.81</v>
      </c>
      <c r="F580" s="2">
        <v>10.43</v>
      </c>
      <c r="G580" s="2">
        <v>33.659999999999997</v>
      </c>
      <c r="H580" s="2">
        <v>0.1</v>
      </c>
      <c r="I580" s="2">
        <v>0.1</v>
      </c>
      <c r="J580" s="2">
        <v>24</v>
      </c>
      <c r="K580" s="2" t="s">
        <v>21</v>
      </c>
      <c r="L580" s="2">
        <v>1.43</v>
      </c>
      <c r="M580" s="2" t="s">
        <v>22</v>
      </c>
      <c r="N580" s="2">
        <v>81.88</v>
      </c>
      <c r="O580" s="2" t="s">
        <v>24</v>
      </c>
      <c r="P580" s="2">
        <v>6.52</v>
      </c>
      <c r="Q580" s="2">
        <v>8.52</v>
      </c>
      <c r="R580" s="3">
        <f t="shared" si="45"/>
        <v>4288.9211999999998</v>
      </c>
      <c r="S580" s="3">
        <f t="shared" si="46"/>
        <v>5604.5411999999997</v>
      </c>
      <c r="T580" s="3">
        <f t="shared" si="47"/>
        <v>1315.62</v>
      </c>
      <c r="U580" s="4">
        <f t="shared" si="48"/>
        <v>0.23474178403755869</v>
      </c>
      <c r="V580" s="5">
        <f t="shared" si="49"/>
        <v>9.4066829999999992</v>
      </c>
    </row>
    <row r="581" spans="1:22" x14ac:dyDescent="0.25">
      <c r="A581" s="2" t="s">
        <v>615</v>
      </c>
      <c r="B581" s="2" t="s">
        <v>45</v>
      </c>
      <c r="C581" s="2" t="s">
        <v>33</v>
      </c>
      <c r="D581" s="2" t="s">
        <v>20</v>
      </c>
      <c r="E581" s="2">
        <v>598.54</v>
      </c>
      <c r="F581" s="2">
        <v>12.58</v>
      </c>
      <c r="G581" s="2">
        <v>33.21</v>
      </c>
      <c r="H581" s="2">
        <v>1.9</v>
      </c>
      <c r="I581" s="2">
        <v>0.3</v>
      </c>
      <c r="J581" s="2">
        <v>2</v>
      </c>
      <c r="K581" s="2" t="s">
        <v>21</v>
      </c>
      <c r="L581" s="2">
        <v>6.53</v>
      </c>
      <c r="M581" s="2" t="s">
        <v>37</v>
      </c>
      <c r="N581" s="2">
        <v>97.9</v>
      </c>
      <c r="O581" s="2" t="s">
        <v>23</v>
      </c>
      <c r="P581" s="2">
        <v>3.08</v>
      </c>
      <c r="Q581" s="2">
        <v>6.26</v>
      </c>
      <c r="R581" s="3">
        <f t="shared" si="45"/>
        <v>1843.5031999999999</v>
      </c>
      <c r="S581" s="3">
        <f t="shared" si="46"/>
        <v>3746.8603999999996</v>
      </c>
      <c r="T581" s="3">
        <f t="shared" si="47"/>
        <v>1903.3571999999997</v>
      </c>
      <c r="U581" s="4">
        <f t="shared" si="48"/>
        <v>0.50798722044728428</v>
      </c>
      <c r="V581" s="5">
        <f t="shared" si="49"/>
        <v>39.084662000000002</v>
      </c>
    </row>
    <row r="582" spans="1:22" x14ac:dyDescent="0.25">
      <c r="A582" s="2" t="s">
        <v>616</v>
      </c>
      <c r="B582" s="2" t="s">
        <v>45</v>
      </c>
      <c r="C582" s="2" t="s">
        <v>33</v>
      </c>
      <c r="D582" s="2" t="s">
        <v>28</v>
      </c>
      <c r="E582" s="2">
        <v>586.91999999999996</v>
      </c>
      <c r="F582" s="2">
        <v>15.6</v>
      </c>
      <c r="G582" s="2">
        <v>39.01</v>
      </c>
      <c r="H582" s="2">
        <v>2.5</v>
      </c>
      <c r="I582" s="2">
        <v>1</v>
      </c>
      <c r="J582" s="2">
        <v>28</v>
      </c>
      <c r="K582" s="2" t="s">
        <v>21</v>
      </c>
      <c r="L582" s="2">
        <v>8.18</v>
      </c>
      <c r="M582" s="2" t="s">
        <v>40</v>
      </c>
      <c r="N582" s="2">
        <v>71.239999999999995</v>
      </c>
      <c r="O582" s="2" t="s">
        <v>30</v>
      </c>
      <c r="P582" s="2">
        <v>7.29</v>
      </c>
      <c r="Q582" s="2">
        <v>10.41</v>
      </c>
      <c r="R582" s="3">
        <f t="shared" si="45"/>
        <v>4278.6467999999995</v>
      </c>
      <c r="S582" s="3">
        <f t="shared" si="46"/>
        <v>6109.8371999999999</v>
      </c>
      <c r="T582" s="3">
        <f t="shared" si="47"/>
        <v>1831.1904000000004</v>
      </c>
      <c r="U582" s="4">
        <f t="shared" si="48"/>
        <v>0.29971181556195975</v>
      </c>
      <c r="V582" s="5">
        <f t="shared" si="49"/>
        <v>48.010055999999992</v>
      </c>
    </row>
    <row r="583" spans="1:22" x14ac:dyDescent="0.25">
      <c r="A583" s="2" t="s">
        <v>617</v>
      </c>
      <c r="B583" s="2" t="s">
        <v>32</v>
      </c>
      <c r="C583" s="2" t="s">
        <v>19</v>
      </c>
      <c r="D583" s="2" t="s">
        <v>20</v>
      </c>
      <c r="E583" s="2">
        <v>454.45</v>
      </c>
      <c r="F583" s="2">
        <v>10.06</v>
      </c>
      <c r="G583" s="2">
        <v>34.590000000000003</v>
      </c>
      <c r="H583" s="2">
        <v>1.1000000000000001</v>
      </c>
      <c r="I583" s="2">
        <v>0.8</v>
      </c>
      <c r="J583" s="2">
        <v>27</v>
      </c>
      <c r="K583" s="2" t="s">
        <v>29</v>
      </c>
      <c r="L583" s="2">
        <v>8.44</v>
      </c>
      <c r="M583" s="2" t="s">
        <v>37</v>
      </c>
      <c r="N583" s="2">
        <v>99.62</v>
      </c>
      <c r="O583" s="2" t="s">
        <v>30</v>
      </c>
      <c r="P583" s="2">
        <v>9.44</v>
      </c>
      <c r="Q583" s="2">
        <v>7.93</v>
      </c>
      <c r="R583" s="3">
        <f t="shared" si="45"/>
        <v>4290.0079999999998</v>
      </c>
      <c r="S583" s="3">
        <f t="shared" si="46"/>
        <v>3603.7884999999997</v>
      </c>
      <c r="T583" s="3">
        <f t="shared" si="47"/>
        <v>-686.21950000000015</v>
      </c>
      <c r="U583" s="4">
        <f t="shared" si="48"/>
        <v>-0.19041614123581344</v>
      </c>
      <c r="V583" s="5">
        <f t="shared" si="49"/>
        <v>38.355579999999996</v>
      </c>
    </row>
    <row r="584" spans="1:22" x14ac:dyDescent="0.25">
      <c r="A584" s="2" t="s">
        <v>618</v>
      </c>
      <c r="B584" s="2" t="s">
        <v>26</v>
      </c>
      <c r="C584" s="2" t="s">
        <v>33</v>
      </c>
      <c r="D584" s="2" t="s">
        <v>28</v>
      </c>
      <c r="E584" s="2">
        <v>411.08</v>
      </c>
      <c r="F584" s="2">
        <v>15.09</v>
      </c>
      <c r="G584" s="2">
        <v>21.04</v>
      </c>
      <c r="H584" s="2">
        <v>2.8</v>
      </c>
      <c r="I584" s="2">
        <v>0.9</v>
      </c>
      <c r="J584" s="2">
        <v>14</v>
      </c>
      <c r="K584" s="2" t="s">
        <v>21</v>
      </c>
      <c r="L584" s="2">
        <v>5.99</v>
      </c>
      <c r="M584" s="2" t="s">
        <v>22</v>
      </c>
      <c r="N584" s="2">
        <v>87.02</v>
      </c>
      <c r="O584" s="2" t="s">
        <v>24</v>
      </c>
      <c r="P584" s="2">
        <v>3.78</v>
      </c>
      <c r="Q584" s="2">
        <v>11.89</v>
      </c>
      <c r="R584" s="3">
        <f t="shared" si="45"/>
        <v>1553.8824</v>
      </c>
      <c r="S584" s="3">
        <f t="shared" si="46"/>
        <v>4887.7412000000004</v>
      </c>
      <c r="T584" s="3">
        <f t="shared" si="47"/>
        <v>3333.8588000000004</v>
      </c>
      <c r="U584" s="4">
        <f t="shared" si="48"/>
        <v>0.6820857863751052</v>
      </c>
      <c r="V584" s="5">
        <f t="shared" si="49"/>
        <v>24.623692000000002</v>
      </c>
    </row>
    <row r="585" spans="1:22" x14ac:dyDescent="0.25">
      <c r="A585" s="2" t="s">
        <v>619</v>
      </c>
      <c r="B585" s="2" t="s">
        <v>45</v>
      </c>
      <c r="C585" s="2" t="s">
        <v>33</v>
      </c>
      <c r="D585" s="2" t="s">
        <v>20</v>
      </c>
      <c r="E585" s="2">
        <v>595.53</v>
      </c>
      <c r="F585" s="2">
        <v>8.2100000000000009</v>
      </c>
      <c r="G585" s="2">
        <v>37.68</v>
      </c>
      <c r="H585" s="2">
        <v>0.5</v>
      </c>
      <c r="I585" s="2">
        <v>0.8</v>
      </c>
      <c r="J585" s="2">
        <v>3</v>
      </c>
      <c r="K585" s="2" t="s">
        <v>34</v>
      </c>
      <c r="L585" s="2">
        <v>0.67</v>
      </c>
      <c r="M585" s="2" t="s">
        <v>37</v>
      </c>
      <c r="N585" s="2">
        <v>88.81</v>
      </c>
      <c r="O585" s="2" t="s">
        <v>24</v>
      </c>
      <c r="P585" s="2">
        <v>7.13</v>
      </c>
      <c r="Q585" s="2">
        <v>5</v>
      </c>
      <c r="R585" s="3">
        <f t="shared" si="45"/>
        <v>4246.1288999999997</v>
      </c>
      <c r="S585" s="3">
        <f t="shared" si="46"/>
        <v>2977.6499999999996</v>
      </c>
      <c r="T585" s="3">
        <f t="shared" si="47"/>
        <v>-1268.4789000000001</v>
      </c>
      <c r="U585" s="4">
        <f t="shared" si="48"/>
        <v>-0.4260000000000001</v>
      </c>
      <c r="V585" s="5">
        <f t="shared" si="49"/>
        <v>3.9900510000000002</v>
      </c>
    </row>
    <row r="586" spans="1:22" x14ac:dyDescent="0.25">
      <c r="A586" s="2" t="s">
        <v>620</v>
      </c>
      <c r="B586" s="2" t="s">
        <v>45</v>
      </c>
      <c r="C586" s="2" t="s">
        <v>19</v>
      </c>
      <c r="D586" s="2" t="s">
        <v>20</v>
      </c>
      <c r="E586" s="2">
        <v>587.6</v>
      </c>
      <c r="F586" s="2">
        <v>12.19</v>
      </c>
      <c r="G586" s="2">
        <v>37.25</v>
      </c>
      <c r="H586" s="2">
        <v>0.5</v>
      </c>
      <c r="I586" s="2">
        <v>0.3</v>
      </c>
      <c r="J586" s="2">
        <v>22</v>
      </c>
      <c r="K586" s="2" t="s">
        <v>21</v>
      </c>
      <c r="L586" s="2">
        <v>9.75</v>
      </c>
      <c r="M586" s="2" t="s">
        <v>40</v>
      </c>
      <c r="N586" s="2">
        <v>51.29</v>
      </c>
      <c r="O586" s="2" t="s">
        <v>30</v>
      </c>
      <c r="P586" s="2">
        <v>8.1</v>
      </c>
      <c r="Q586" s="2">
        <v>5.6</v>
      </c>
      <c r="R586" s="3">
        <f t="shared" si="45"/>
        <v>4759.5600000000004</v>
      </c>
      <c r="S586" s="3">
        <f t="shared" si="46"/>
        <v>3290.56</v>
      </c>
      <c r="T586" s="3">
        <f t="shared" si="47"/>
        <v>-1469.0000000000005</v>
      </c>
      <c r="U586" s="4">
        <f t="shared" si="48"/>
        <v>-0.44642857142857156</v>
      </c>
      <c r="V586" s="5">
        <f t="shared" si="49"/>
        <v>57.291000000000004</v>
      </c>
    </row>
    <row r="587" spans="1:22" x14ac:dyDescent="0.25">
      <c r="A587" s="2" t="s">
        <v>621</v>
      </c>
      <c r="B587" s="2" t="s">
        <v>18</v>
      </c>
      <c r="C587" s="2" t="s">
        <v>33</v>
      </c>
      <c r="D587" s="2" t="s">
        <v>28</v>
      </c>
      <c r="E587" s="2">
        <v>647.27</v>
      </c>
      <c r="F587" s="2">
        <v>15.76</v>
      </c>
      <c r="G587" s="2">
        <v>28.87</v>
      </c>
      <c r="H587" s="2">
        <v>0.4</v>
      </c>
      <c r="I587" s="2">
        <v>0.3</v>
      </c>
      <c r="J587" s="2">
        <v>28</v>
      </c>
      <c r="K587" s="2" t="s">
        <v>34</v>
      </c>
      <c r="L587" s="2">
        <v>4.99</v>
      </c>
      <c r="M587" s="2" t="s">
        <v>37</v>
      </c>
      <c r="N587" s="2">
        <v>74.87</v>
      </c>
      <c r="O587" s="2" t="s">
        <v>30</v>
      </c>
      <c r="P587" s="2">
        <v>3.5</v>
      </c>
      <c r="Q587" s="2">
        <v>9.33</v>
      </c>
      <c r="R587" s="3">
        <f t="shared" si="45"/>
        <v>2265.4449999999997</v>
      </c>
      <c r="S587" s="3">
        <f t="shared" si="46"/>
        <v>6039.0290999999997</v>
      </c>
      <c r="T587" s="3">
        <f t="shared" si="47"/>
        <v>3773.5841</v>
      </c>
      <c r="U587" s="4">
        <f t="shared" si="48"/>
        <v>0.62486602357984999</v>
      </c>
      <c r="V587" s="5">
        <f t="shared" si="49"/>
        <v>32.298773000000004</v>
      </c>
    </row>
    <row r="588" spans="1:22" x14ac:dyDescent="0.25">
      <c r="A588" s="2" t="s">
        <v>622</v>
      </c>
      <c r="B588" s="2" t="s">
        <v>45</v>
      </c>
      <c r="C588" s="2" t="s">
        <v>33</v>
      </c>
      <c r="D588" s="2" t="s">
        <v>28</v>
      </c>
      <c r="E588" s="2">
        <v>439.6</v>
      </c>
      <c r="F588" s="2">
        <v>11.39</v>
      </c>
      <c r="G588" s="2">
        <v>31.72</v>
      </c>
      <c r="H588" s="2">
        <v>0.9</v>
      </c>
      <c r="I588" s="2">
        <v>0.1</v>
      </c>
      <c r="J588" s="2">
        <v>23</v>
      </c>
      <c r="K588" s="2" t="s">
        <v>21</v>
      </c>
      <c r="L588" s="2">
        <v>4.24</v>
      </c>
      <c r="M588" s="2" t="s">
        <v>22</v>
      </c>
      <c r="N588" s="2">
        <v>76.42</v>
      </c>
      <c r="O588" s="2" t="s">
        <v>24</v>
      </c>
      <c r="P588" s="2">
        <v>3.16</v>
      </c>
      <c r="Q588" s="2">
        <v>14.58</v>
      </c>
      <c r="R588" s="3">
        <f t="shared" si="45"/>
        <v>1389.1360000000002</v>
      </c>
      <c r="S588" s="3">
        <f t="shared" si="46"/>
        <v>6409.3680000000004</v>
      </c>
      <c r="T588" s="3">
        <f t="shared" si="47"/>
        <v>5020.232</v>
      </c>
      <c r="U588" s="4">
        <f t="shared" si="48"/>
        <v>0.78326474622770914</v>
      </c>
      <c r="V588" s="5">
        <f t="shared" si="49"/>
        <v>18.639040000000001</v>
      </c>
    </row>
    <row r="589" spans="1:22" x14ac:dyDescent="0.25">
      <c r="A589" s="2" t="s">
        <v>623</v>
      </c>
      <c r="B589" s="2" t="s">
        <v>18</v>
      </c>
      <c r="C589" s="2" t="s">
        <v>33</v>
      </c>
      <c r="D589" s="2" t="s">
        <v>28</v>
      </c>
      <c r="E589" s="2">
        <v>477.05</v>
      </c>
      <c r="F589" s="2">
        <v>13.64</v>
      </c>
      <c r="G589" s="2">
        <v>39.520000000000003</v>
      </c>
      <c r="H589" s="2">
        <v>3.8</v>
      </c>
      <c r="I589" s="2">
        <v>1.9</v>
      </c>
      <c r="J589" s="2">
        <v>4</v>
      </c>
      <c r="K589" s="2" t="s">
        <v>34</v>
      </c>
      <c r="L589" s="2">
        <v>4.25</v>
      </c>
      <c r="M589" s="2" t="s">
        <v>37</v>
      </c>
      <c r="N589" s="2">
        <v>52.03</v>
      </c>
      <c r="O589" s="2" t="s">
        <v>23</v>
      </c>
      <c r="P589" s="2">
        <v>6.25</v>
      </c>
      <c r="Q589" s="2">
        <v>13.91</v>
      </c>
      <c r="R589" s="3">
        <f t="shared" si="45"/>
        <v>2981.5625</v>
      </c>
      <c r="S589" s="3">
        <f t="shared" si="46"/>
        <v>6635.7655000000004</v>
      </c>
      <c r="T589" s="3">
        <f t="shared" si="47"/>
        <v>3654.2030000000004</v>
      </c>
      <c r="U589" s="4">
        <f t="shared" si="48"/>
        <v>0.55068296189791521</v>
      </c>
      <c r="V589" s="5">
        <f t="shared" si="49"/>
        <v>20.274625</v>
      </c>
    </row>
    <row r="590" spans="1:22" x14ac:dyDescent="0.25">
      <c r="A590" s="2" t="s">
        <v>624</v>
      </c>
      <c r="B590" s="2" t="s">
        <v>26</v>
      </c>
      <c r="C590" s="2" t="s">
        <v>33</v>
      </c>
      <c r="D590" s="2" t="s">
        <v>20</v>
      </c>
      <c r="E590" s="2">
        <v>336.05</v>
      </c>
      <c r="F590" s="2">
        <v>10.050000000000001</v>
      </c>
      <c r="G590" s="2">
        <v>30.65</v>
      </c>
      <c r="H590" s="2">
        <v>3.5</v>
      </c>
      <c r="I590" s="2">
        <v>1</v>
      </c>
      <c r="J590" s="2">
        <v>1</v>
      </c>
      <c r="K590" s="2" t="s">
        <v>21</v>
      </c>
      <c r="L590" s="2">
        <v>4.53</v>
      </c>
      <c r="M590" s="2" t="s">
        <v>22</v>
      </c>
      <c r="N590" s="2">
        <v>65.61</v>
      </c>
      <c r="O590" s="2" t="s">
        <v>24</v>
      </c>
      <c r="P590" s="2">
        <v>8.5399999999999991</v>
      </c>
      <c r="Q590" s="2">
        <v>14.94</v>
      </c>
      <c r="R590" s="3">
        <f t="shared" si="45"/>
        <v>2869.8669999999997</v>
      </c>
      <c r="S590" s="3">
        <f t="shared" si="46"/>
        <v>5020.5870000000004</v>
      </c>
      <c r="T590" s="3">
        <f t="shared" si="47"/>
        <v>2150.7200000000007</v>
      </c>
      <c r="U590" s="4">
        <f t="shared" si="48"/>
        <v>0.4283801874163321</v>
      </c>
      <c r="V590" s="5">
        <f t="shared" si="49"/>
        <v>15.223065000000002</v>
      </c>
    </row>
    <row r="591" spans="1:22" x14ac:dyDescent="0.25">
      <c r="A591" s="2" t="s">
        <v>625</v>
      </c>
      <c r="B591" s="2" t="s">
        <v>32</v>
      </c>
      <c r="C591" s="2" t="s">
        <v>19</v>
      </c>
      <c r="D591" s="2" t="s">
        <v>28</v>
      </c>
      <c r="E591" s="2">
        <v>460.75</v>
      </c>
      <c r="F591" s="2">
        <v>15.42</v>
      </c>
      <c r="G591" s="2">
        <v>38.11</v>
      </c>
      <c r="H591" s="2">
        <v>1</v>
      </c>
      <c r="I591" s="2">
        <v>0.2</v>
      </c>
      <c r="J591" s="2">
        <v>23</v>
      </c>
      <c r="K591" s="2" t="s">
        <v>34</v>
      </c>
      <c r="L591" s="2">
        <v>2.8</v>
      </c>
      <c r="M591" s="2" t="s">
        <v>40</v>
      </c>
      <c r="N591" s="2">
        <v>97.78</v>
      </c>
      <c r="O591" s="2" t="s">
        <v>24</v>
      </c>
      <c r="P591" s="2">
        <v>4.13</v>
      </c>
      <c r="Q591" s="2">
        <v>9.17</v>
      </c>
      <c r="R591" s="3">
        <f t="shared" si="45"/>
        <v>1902.8975</v>
      </c>
      <c r="S591" s="3">
        <f t="shared" si="46"/>
        <v>4225.0775000000003</v>
      </c>
      <c r="T591" s="3">
        <f t="shared" si="47"/>
        <v>2322.1800000000003</v>
      </c>
      <c r="U591" s="4">
        <f t="shared" si="48"/>
        <v>0.54961832061068705</v>
      </c>
      <c r="V591" s="5">
        <f t="shared" si="49"/>
        <v>12.901</v>
      </c>
    </row>
    <row r="592" spans="1:22" x14ac:dyDescent="0.25">
      <c r="A592" s="2" t="s">
        <v>626</v>
      </c>
      <c r="B592" s="2" t="s">
        <v>32</v>
      </c>
      <c r="C592" s="2" t="s">
        <v>33</v>
      </c>
      <c r="D592" s="2" t="s">
        <v>20</v>
      </c>
      <c r="E592" s="2">
        <v>599.66</v>
      </c>
      <c r="F592" s="2">
        <v>8.52</v>
      </c>
      <c r="G592" s="2">
        <v>21.66</v>
      </c>
      <c r="H592" s="2">
        <v>1.8</v>
      </c>
      <c r="I592" s="2">
        <v>0.2</v>
      </c>
      <c r="J592" s="2">
        <v>28</v>
      </c>
      <c r="K592" s="2" t="s">
        <v>34</v>
      </c>
      <c r="L592" s="2">
        <v>3.61</v>
      </c>
      <c r="M592" s="2" t="s">
        <v>40</v>
      </c>
      <c r="N592" s="2">
        <v>71.31</v>
      </c>
      <c r="O592" s="2" t="s">
        <v>24</v>
      </c>
      <c r="P592" s="2">
        <v>8.86</v>
      </c>
      <c r="Q592" s="2">
        <v>5.47</v>
      </c>
      <c r="R592" s="3">
        <f t="shared" si="45"/>
        <v>5312.9875999999995</v>
      </c>
      <c r="S592" s="3">
        <f t="shared" si="46"/>
        <v>3280.1401999999998</v>
      </c>
      <c r="T592" s="3">
        <f t="shared" si="47"/>
        <v>-2032.8473999999997</v>
      </c>
      <c r="U592" s="4">
        <f t="shared" si="48"/>
        <v>-0.61974405850091396</v>
      </c>
      <c r="V592" s="5">
        <f t="shared" si="49"/>
        <v>21.647725999999999</v>
      </c>
    </row>
    <row r="593" spans="1:22" x14ac:dyDescent="0.25">
      <c r="A593" s="2" t="s">
        <v>627</v>
      </c>
      <c r="B593" s="2" t="s">
        <v>26</v>
      </c>
      <c r="C593" s="2" t="s">
        <v>33</v>
      </c>
      <c r="D593" s="2" t="s">
        <v>28</v>
      </c>
      <c r="E593" s="2">
        <v>453.35</v>
      </c>
      <c r="F593" s="2">
        <v>16.53</v>
      </c>
      <c r="G593" s="2">
        <v>23.82</v>
      </c>
      <c r="H593" s="2">
        <v>2.6</v>
      </c>
      <c r="I593" s="2">
        <v>2.1</v>
      </c>
      <c r="J593" s="2">
        <v>9</v>
      </c>
      <c r="K593" s="2" t="s">
        <v>29</v>
      </c>
      <c r="L593" s="2">
        <v>9.86</v>
      </c>
      <c r="M593" s="2" t="s">
        <v>37</v>
      </c>
      <c r="N593" s="2">
        <v>59.34</v>
      </c>
      <c r="O593" s="2" t="s">
        <v>24</v>
      </c>
      <c r="P593" s="2">
        <v>7.6</v>
      </c>
      <c r="Q593" s="2">
        <v>8.06</v>
      </c>
      <c r="R593" s="3">
        <f t="shared" si="45"/>
        <v>3445.46</v>
      </c>
      <c r="S593" s="3">
        <f t="shared" si="46"/>
        <v>3654.0010000000002</v>
      </c>
      <c r="T593" s="3">
        <f t="shared" si="47"/>
        <v>208.54100000000017</v>
      </c>
      <c r="U593" s="4">
        <f t="shared" si="48"/>
        <v>5.7071960297766795E-2</v>
      </c>
      <c r="V593" s="5">
        <f t="shared" si="49"/>
        <v>44.700310000000002</v>
      </c>
    </row>
    <row r="594" spans="1:22" x14ac:dyDescent="0.25">
      <c r="A594" s="2" t="s">
        <v>628</v>
      </c>
      <c r="B594" s="2" t="s">
        <v>32</v>
      </c>
      <c r="C594" s="2" t="s">
        <v>19</v>
      </c>
      <c r="D594" s="2" t="s">
        <v>20</v>
      </c>
      <c r="E594" s="2">
        <v>564.04999999999995</v>
      </c>
      <c r="F594" s="2">
        <v>9.98</v>
      </c>
      <c r="G594" s="2">
        <v>28.82</v>
      </c>
      <c r="H594" s="2">
        <v>0.6</v>
      </c>
      <c r="I594" s="2">
        <v>1.4</v>
      </c>
      <c r="J594" s="2">
        <v>17</v>
      </c>
      <c r="K594" s="2" t="s">
        <v>21</v>
      </c>
      <c r="L594" s="2">
        <v>4</v>
      </c>
      <c r="M594" s="2" t="s">
        <v>40</v>
      </c>
      <c r="N594" s="2">
        <v>75.67</v>
      </c>
      <c r="O594" s="2" t="s">
        <v>24</v>
      </c>
      <c r="P594" s="2">
        <v>5.33</v>
      </c>
      <c r="Q594" s="2">
        <v>11.76</v>
      </c>
      <c r="R594" s="3">
        <f t="shared" si="45"/>
        <v>3006.3864999999996</v>
      </c>
      <c r="S594" s="3">
        <f t="shared" si="46"/>
        <v>6633.2279999999992</v>
      </c>
      <c r="T594" s="3">
        <f t="shared" si="47"/>
        <v>3626.8414999999995</v>
      </c>
      <c r="U594" s="4">
        <f t="shared" si="48"/>
        <v>0.54676870748299322</v>
      </c>
      <c r="V594" s="5">
        <f t="shared" si="49"/>
        <v>22.561999999999998</v>
      </c>
    </row>
    <row r="595" spans="1:22" x14ac:dyDescent="0.25">
      <c r="A595" s="2" t="s">
        <v>629</v>
      </c>
      <c r="B595" s="2" t="s">
        <v>26</v>
      </c>
      <c r="C595" s="2" t="s">
        <v>27</v>
      </c>
      <c r="D595" s="2" t="s">
        <v>20</v>
      </c>
      <c r="E595" s="2">
        <v>480.95</v>
      </c>
      <c r="F595" s="2">
        <v>16.739999999999998</v>
      </c>
      <c r="G595" s="2">
        <v>31.7</v>
      </c>
      <c r="H595" s="2">
        <v>0.4</v>
      </c>
      <c r="I595" s="2">
        <v>1.1000000000000001</v>
      </c>
      <c r="J595" s="2">
        <v>14</v>
      </c>
      <c r="K595" s="2" t="s">
        <v>34</v>
      </c>
      <c r="L595" s="2">
        <v>5.5</v>
      </c>
      <c r="M595" s="2" t="s">
        <v>37</v>
      </c>
      <c r="N595" s="2">
        <v>51.69</v>
      </c>
      <c r="O595" s="2" t="s">
        <v>24</v>
      </c>
      <c r="P595" s="2">
        <v>6.61</v>
      </c>
      <c r="Q595" s="2">
        <v>6.35</v>
      </c>
      <c r="R595" s="3">
        <f t="shared" si="45"/>
        <v>3179.0795000000003</v>
      </c>
      <c r="S595" s="3">
        <f t="shared" si="46"/>
        <v>3054.0324999999998</v>
      </c>
      <c r="T595" s="3">
        <f t="shared" si="47"/>
        <v>-125.04700000000048</v>
      </c>
      <c r="U595" s="4">
        <f t="shared" si="48"/>
        <v>-4.0944881889763939E-2</v>
      </c>
      <c r="V595" s="5">
        <f t="shared" si="49"/>
        <v>26.452249999999999</v>
      </c>
    </row>
    <row r="596" spans="1:22" x14ac:dyDescent="0.25">
      <c r="A596" s="2" t="s">
        <v>630</v>
      </c>
      <c r="B596" s="2" t="s">
        <v>26</v>
      </c>
      <c r="C596" s="2" t="s">
        <v>43</v>
      </c>
      <c r="D596" s="2" t="s">
        <v>28</v>
      </c>
      <c r="E596" s="2">
        <v>532.41</v>
      </c>
      <c r="F596" s="2">
        <v>11.53</v>
      </c>
      <c r="G596" s="2">
        <v>36.32</v>
      </c>
      <c r="H596" s="2">
        <v>7.2</v>
      </c>
      <c r="I596" s="2">
        <v>0.5</v>
      </c>
      <c r="J596" s="2">
        <v>17</v>
      </c>
      <c r="K596" s="2" t="s">
        <v>21</v>
      </c>
      <c r="L596" s="2">
        <v>8.56</v>
      </c>
      <c r="M596" s="2" t="s">
        <v>22</v>
      </c>
      <c r="N596" s="2">
        <v>75.8</v>
      </c>
      <c r="O596" s="2" t="s">
        <v>24</v>
      </c>
      <c r="P596" s="2">
        <v>9.76</v>
      </c>
      <c r="Q596" s="2">
        <v>8</v>
      </c>
      <c r="R596" s="3">
        <f t="shared" si="45"/>
        <v>5196.3215999999993</v>
      </c>
      <c r="S596" s="3">
        <f t="shared" si="46"/>
        <v>4259.28</v>
      </c>
      <c r="T596" s="3">
        <f t="shared" si="47"/>
        <v>-937.04159999999956</v>
      </c>
      <c r="U596" s="4">
        <f t="shared" si="48"/>
        <v>-0.21999999999999992</v>
      </c>
      <c r="V596" s="5">
        <f t="shared" si="49"/>
        <v>45.574296000000004</v>
      </c>
    </row>
    <row r="597" spans="1:22" x14ac:dyDescent="0.25">
      <c r="A597" s="2" t="s">
        <v>631</v>
      </c>
      <c r="B597" s="2" t="s">
        <v>26</v>
      </c>
      <c r="C597" s="2" t="s">
        <v>27</v>
      </c>
      <c r="D597" s="2" t="s">
        <v>20</v>
      </c>
      <c r="E597" s="2">
        <v>385.23</v>
      </c>
      <c r="F597" s="2">
        <v>15.23</v>
      </c>
      <c r="G597" s="2">
        <v>39.770000000000003</v>
      </c>
      <c r="H597" s="2">
        <v>1.9</v>
      </c>
      <c r="I597" s="2">
        <v>0.3</v>
      </c>
      <c r="J597" s="2">
        <v>1</v>
      </c>
      <c r="K597" s="2" t="s">
        <v>34</v>
      </c>
      <c r="L597" s="2">
        <v>5.51</v>
      </c>
      <c r="M597" s="2" t="s">
        <v>37</v>
      </c>
      <c r="N597" s="2">
        <v>79.709999999999994</v>
      </c>
      <c r="O597" s="2" t="s">
        <v>23</v>
      </c>
      <c r="P597" s="2">
        <v>4.5199999999999996</v>
      </c>
      <c r="Q597" s="2">
        <v>5.56</v>
      </c>
      <c r="R597" s="3">
        <f t="shared" si="45"/>
        <v>1741.2395999999999</v>
      </c>
      <c r="S597" s="3">
        <f t="shared" si="46"/>
        <v>2141.8788</v>
      </c>
      <c r="T597" s="3">
        <f t="shared" si="47"/>
        <v>400.63920000000007</v>
      </c>
      <c r="U597" s="4">
        <f t="shared" si="48"/>
        <v>0.18705035971223025</v>
      </c>
      <c r="V597" s="5">
        <f t="shared" si="49"/>
        <v>21.226172999999999</v>
      </c>
    </row>
    <row r="598" spans="1:22" x14ac:dyDescent="0.25">
      <c r="A598" s="2" t="s">
        <v>632</v>
      </c>
      <c r="B598" s="2" t="s">
        <v>32</v>
      </c>
      <c r="C598" s="2" t="s">
        <v>19</v>
      </c>
      <c r="D598" s="2" t="s">
        <v>20</v>
      </c>
      <c r="E598" s="2">
        <v>508.52</v>
      </c>
      <c r="F598" s="2">
        <v>11.19</v>
      </c>
      <c r="G598" s="2">
        <v>27.78</v>
      </c>
      <c r="H598" s="2">
        <v>8</v>
      </c>
      <c r="I598" s="2">
        <v>3.9</v>
      </c>
      <c r="J598" s="2">
        <v>10</v>
      </c>
      <c r="K598" s="2" t="s">
        <v>29</v>
      </c>
      <c r="L598" s="2">
        <v>3.58</v>
      </c>
      <c r="M598" s="2" t="s">
        <v>22</v>
      </c>
      <c r="N598" s="2">
        <v>67.88</v>
      </c>
      <c r="O598" s="2" t="s">
        <v>24</v>
      </c>
      <c r="P598" s="2">
        <v>6.5</v>
      </c>
      <c r="Q598" s="2">
        <v>9.75</v>
      </c>
      <c r="R598" s="3">
        <f t="shared" si="45"/>
        <v>3305.38</v>
      </c>
      <c r="S598" s="3">
        <f t="shared" si="46"/>
        <v>4958.07</v>
      </c>
      <c r="T598" s="3">
        <f t="shared" si="47"/>
        <v>1652.6899999999996</v>
      </c>
      <c r="U598" s="4">
        <f t="shared" si="48"/>
        <v>0.33333333333333326</v>
      </c>
      <c r="V598" s="5">
        <f t="shared" si="49"/>
        <v>18.205016000000001</v>
      </c>
    </row>
    <row r="599" spans="1:22" x14ac:dyDescent="0.25">
      <c r="A599" s="2" t="s">
        <v>633</v>
      </c>
      <c r="B599" s="2" t="s">
        <v>18</v>
      </c>
      <c r="C599" s="2" t="s">
        <v>43</v>
      </c>
      <c r="D599" s="2" t="s">
        <v>28</v>
      </c>
      <c r="E599" s="2">
        <v>200.89</v>
      </c>
      <c r="F599" s="2">
        <v>17.059999999999999</v>
      </c>
      <c r="G599" s="2">
        <v>20.95</v>
      </c>
      <c r="H599" s="2">
        <v>0.8</v>
      </c>
      <c r="I599" s="2">
        <v>1.6</v>
      </c>
      <c r="J599" s="2">
        <v>23</v>
      </c>
      <c r="K599" s="2" t="s">
        <v>29</v>
      </c>
      <c r="L599" s="2">
        <v>5.48</v>
      </c>
      <c r="M599" s="2" t="s">
        <v>40</v>
      </c>
      <c r="N599" s="2">
        <v>88.13</v>
      </c>
      <c r="O599" s="2" t="s">
        <v>30</v>
      </c>
      <c r="P599" s="2">
        <v>7.37</v>
      </c>
      <c r="Q599" s="2">
        <v>7.09</v>
      </c>
      <c r="R599" s="3">
        <f t="shared" si="45"/>
        <v>1480.5592999999999</v>
      </c>
      <c r="S599" s="3">
        <f t="shared" si="46"/>
        <v>1424.3100999999999</v>
      </c>
      <c r="T599" s="3">
        <f t="shared" si="47"/>
        <v>-56.249199999999973</v>
      </c>
      <c r="U599" s="4">
        <f t="shared" si="48"/>
        <v>-3.9492242595204494E-2</v>
      </c>
      <c r="V599" s="5">
        <f t="shared" si="49"/>
        <v>11.008771999999999</v>
      </c>
    </row>
    <row r="600" spans="1:22" x14ac:dyDescent="0.25">
      <c r="A600" s="2" t="s">
        <v>634</v>
      </c>
      <c r="B600" s="2" t="s">
        <v>26</v>
      </c>
      <c r="C600" s="2" t="s">
        <v>19</v>
      </c>
      <c r="D600" s="2" t="s">
        <v>20</v>
      </c>
      <c r="E600" s="2">
        <v>481.31</v>
      </c>
      <c r="F600" s="2">
        <v>9.27</v>
      </c>
      <c r="G600" s="2">
        <v>36.020000000000003</v>
      </c>
      <c r="H600" s="2">
        <v>2.4</v>
      </c>
      <c r="I600" s="2">
        <v>0.4</v>
      </c>
      <c r="J600" s="2">
        <v>16</v>
      </c>
      <c r="K600" s="2" t="s">
        <v>29</v>
      </c>
      <c r="L600" s="2">
        <v>1.58</v>
      </c>
      <c r="M600" s="2" t="s">
        <v>22</v>
      </c>
      <c r="N600" s="2">
        <v>56.79</v>
      </c>
      <c r="O600" s="2" t="s">
        <v>24</v>
      </c>
      <c r="P600" s="2">
        <v>3.97</v>
      </c>
      <c r="Q600" s="2">
        <v>5.91</v>
      </c>
      <c r="R600" s="3">
        <f t="shared" si="45"/>
        <v>1910.8007</v>
      </c>
      <c r="S600" s="3">
        <f t="shared" si="46"/>
        <v>2844.5421000000001</v>
      </c>
      <c r="T600" s="3">
        <f t="shared" si="47"/>
        <v>933.74140000000011</v>
      </c>
      <c r="U600" s="4">
        <f t="shared" si="48"/>
        <v>0.32825719120135366</v>
      </c>
      <c r="V600" s="5">
        <f t="shared" si="49"/>
        <v>7.6046980000000008</v>
      </c>
    </row>
    <row r="601" spans="1:22" x14ac:dyDescent="0.25">
      <c r="A601" s="2" t="s">
        <v>635</v>
      </c>
      <c r="B601" s="2" t="s">
        <v>45</v>
      </c>
      <c r="C601" s="2" t="s">
        <v>19</v>
      </c>
      <c r="D601" s="2" t="s">
        <v>28</v>
      </c>
      <c r="E601" s="2">
        <v>336.95</v>
      </c>
      <c r="F601" s="2">
        <v>9.7899999999999991</v>
      </c>
      <c r="G601" s="2">
        <v>32.090000000000003</v>
      </c>
      <c r="H601" s="2">
        <v>0.5</v>
      </c>
      <c r="I601" s="2">
        <v>1.9</v>
      </c>
      <c r="J601" s="2">
        <v>27</v>
      </c>
      <c r="K601" s="2" t="s">
        <v>29</v>
      </c>
      <c r="L601" s="2">
        <v>1.74</v>
      </c>
      <c r="M601" s="2" t="s">
        <v>22</v>
      </c>
      <c r="N601" s="2">
        <v>93.91</v>
      </c>
      <c r="O601" s="2" t="s">
        <v>23</v>
      </c>
      <c r="P601" s="2">
        <v>3.3</v>
      </c>
      <c r="Q601" s="2">
        <v>9.11</v>
      </c>
      <c r="R601" s="3">
        <f t="shared" si="45"/>
        <v>1111.9349999999999</v>
      </c>
      <c r="S601" s="3">
        <f t="shared" si="46"/>
        <v>3069.6144999999997</v>
      </c>
      <c r="T601" s="3">
        <f t="shared" si="47"/>
        <v>1957.6794999999997</v>
      </c>
      <c r="U601" s="4">
        <f t="shared" si="48"/>
        <v>0.63776070252469808</v>
      </c>
      <c r="V601" s="5">
        <f t="shared" si="49"/>
        <v>5.8629300000000004</v>
      </c>
    </row>
    <row r="602" spans="1:22" x14ac:dyDescent="0.25">
      <c r="A602" s="2" t="s">
        <v>636</v>
      </c>
      <c r="B602" s="2" t="s">
        <v>32</v>
      </c>
      <c r="C602" s="2" t="s">
        <v>33</v>
      </c>
      <c r="D602" s="2" t="s">
        <v>28</v>
      </c>
      <c r="E602" s="2">
        <v>620.6</v>
      </c>
      <c r="F602" s="2">
        <v>12.93</v>
      </c>
      <c r="G602" s="2">
        <v>23.97</v>
      </c>
      <c r="H602" s="2">
        <v>0.6</v>
      </c>
      <c r="I602" s="2">
        <v>1.4</v>
      </c>
      <c r="J602" s="2">
        <v>25</v>
      </c>
      <c r="K602" s="2" t="s">
        <v>34</v>
      </c>
      <c r="L602" s="2">
        <v>7.09</v>
      </c>
      <c r="M602" s="2" t="s">
        <v>22</v>
      </c>
      <c r="N602" s="2">
        <v>97.77</v>
      </c>
      <c r="O602" s="2" t="s">
        <v>30</v>
      </c>
      <c r="P602" s="2">
        <v>3.09</v>
      </c>
      <c r="Q602" s="2">
        <v>8.51</v>
      </c>
      <c r="R602" s="3">
        <f t="shared" si="45"/>
        <v>1917.654</v>
      </c>
      <c r="S602" s="3">
        <f t="shared" si="46"/>
        <v>5281.3060000000005</v>
      </c>
      <c r="T602" s="3">
        <f t="shared" si="47"/>
        <v>3363.6520000000005</v>
      </c>
      <c r="U602" s="4">
        <f t="shared" si="48"/>
        <v>0.63689776733254999</v>
      </c>
      <c r="V602" s="5">
        <f t="shared" si="49"/>
        <v>44.000540000000001</v>
      </c>
    </row>
    <row r="603" spans="1:22" x14ac:dyDescent="0.25">
      <c r="A603" s="2" t="s">
        <v>637</v>
      </c>
      <c r="B603" s="2" t="s">
        <v>26</v>
      </c>
      <c r="C603" s="2" t="s">
        <v>43</v>
      </c>
      <c r="D603" s="2" t="s">
        <v>28</v>
      </c>
      <c r="E603" s="2">
        <v>577.74</v>
      </c>
      <c r="F603" s="2">
        <v>8.82</v>
      </c>
      <c r="G603" s="2">
        <v>29.9</v>
      </c>
      <c r="H603" s="2">
        <v>1.4</v>
      </c>
      <c r="I603" s="2">
        <v>0.4</v>
      </c>
      <c r="J603" s="2">
        <v>19</v>
      </c>
      <c r="K603" s="2" t="s">
        <v>21</v>
      </c>
      <c r="L603" s="2">
        <v>9.2200000000000006</v>
      </c>
      <c r="M603" s="2" t="s">
        <v>22</v>
      </c>
      <c r="N603" s="2">
        <v>50.06</v>
      </c>
      <c r="O603" s="2" t="s">
        <v>24</v>
      </c>
      <c r="P603" s="2">
        <v>5.27</v>
      </c>
      <c r="Q603" s="2">
        <v>10.38</v>
      </c>
      <c r="R603" s="3">
        <f t="shared" si="45"/>
        <v>3044.6897999999997</v>
      </c>
      <c r="S603" s="3">
        <f t="shared" si="46"/>
        <v>5996.9412000000002</v>
      </c>
      <c r="T603" s="3">
        <f t="shared" si="47"/>
        <v>2952.2514000000006</v>
      </c>
      <c r="U603" s="4">
        <f t="shared" si="48"/>
        <v>0.49229287090558776</v>
      </c>
      <c r="V603" s="5">
        <f t="shared" si="49"/>
        <v>53.267628000000002</v>
      </c>
    </row>
    <row r="604" spans="1:22" x14ac:dyDescent="0.25">
      <c r="A604" s="2" t="s">
        <v>638</v>
      </c>
      <c r="B604" s="2" t="s">
        <v>26</v>
      </c>
      <c r="C604" s="2" t="s">
        <v>33</v>
      </c>
      <c r="D604" s="2" t="s">
        <v>28</v>
      </c>
      <c r="E604" s="2">
        <v>546.66999999999996</v>
      </c>
      <c r="F604" s="2">
        <v>9.9600000000000009</v>
      </c>
      <c r="G604" s="2">
        <v>34.85</v>
      </c>
      <c r="H604" s="2">
        <v>0.8</v>
      </c>
      <c r="I604" s="2">
        <v>0.6</v>
      </c>
      <c r="J604" s="2">
        <v>24</v>
      </c>
      <c r="K604" s="2" t="s">
        <v>29</v>
      </c>
      <c r="L604" s="2">
        <v>7.39</v>
      </c>
      <c r="M604" s="2" t="s">
        <v>22</v>
      </c>
      <c r="N604" s="2">
        <v>92.14</v>
      </c>
      <c r="O604" s="2" t="s">
        <v>24</v>
      </c>
      <c r="P604" s="2">
        <v>3.52</v>
      </c>
      <c r="Q604" s="2">
        <v>12.49</v>
      </c>
      <c r="R604" s="3">
        <f t="shared" si="45"/>
        <v>1924.2783999999999</v>
      </c>
      <c r="S604" s="3">
        <f t="shared" si="46"/>
        <v>6827.9083000000001</v>
      </c>
      <c r="T604" s="3">
        <f t="shared" si="47"/>
        <v>4903.6298999999999</v>
      </c>
      <c r="U604" s="4">
        <f t="shared" si="48"/>
        <v>0.7181745396317053</v>
      </c>
      <c r="V604" s="5">
        <f t="shared" si="49"/>
        <v>40.398912999999993</v>
      </c>
    </row>
    <row r="605" spans="1:22" x14ac:dyDescent="0.25">
      <c r="A605" s="2" t="s">
        <v>639</v>
      </c>
      <c r="B605" s="2" t="s">
        <v>45</v>
      </c>
      <c r="C605" s="2" t="s">
        <v>43</v>
      </c>
      <c r="D605" s="2" t="s">
        <v>20</v>
      </c>
      <c r="E605" s="2">
        <v>652.1</v>
      </c>
      <c r="F605" s="2">
        <v>17.440000000000001</v>
      </c>
      <c r="G605" s="2">
        <v>35.409999999999997</v>
      </c>
      <c r="H605" s="2">
        <v>0.4</v>
      </c>
      <c r="I605" s="2">
        <v>0.2</v>
      </c>
      <c r="J605" s="2">
        <v>25</v>
      </c>
      <c r="K605" s="2" t="s">
        <v>29</v>
      </c>
      <c r="L605" s="2">
        <v>1.21</v>
      </c>
      <c r="M605" s="2" t="s">
        <v>37</v>
      </c>
      <c r="N605" s="2">
        <v>75.31</v>
      </c>
      <c r="O605" s="2" t="s">
        <v>30</v>
      </c>
      <c r="P605" s="2">
        <v>8.6300000000000008</v>
      </c>
      <c r="Q605" s="2">
        <v>6.13</v>
      </c>
      <c r="R605" s="3">
        <f t="shared" si="45"/>
        <v>5627.6230000000005</v>
      </c>
      <c r="S605" s="3">
        <f t="shared" si="46"/>
        <v>3997.373</v>
      </c>
      <c r="T605" s="3">
        <f t="shared" si="47"/>
        <v>-1630.2500000000005</v>
      </c>
      <c r="U605" s="4">
        <f t="shared" si="48"/>
        <v>-0.40783034257748785</v>
      </c>
      <c r="V605" s="5">
        <f t="shared" si="49"/>
        <v>7.8904100000000001</v>
      </c>
    </row>
    <row r="606" spans="1:22" x14ac:dyDescent="0.25">
      <c r="A606" s="2" t="s">
        <v>640</v>
      </c>
      <c r="B606" s="2" t="s">
        <v>18</v>
      </c>
      <c r="C606" s="2" t="s">
        <v>19</v>
      </c>
      <c r="D606" s="2" t="s">
        <v>20</v>
      </c>
      <c r="E606" s="2">
        <v>405.11</v>
      </c>
      <c r="F606" s="2">
        <v>17.760000000000002</v>
      </c>
      <c r="G606" s="2">
        <v>29.99</v>
      </c>
      <c r="H606" s="2">
        <v>0.6</v>
      </c>
      <c r="I606" s="2">
        <v>0.1</v>
      </c>
      <c r="J606" s="2">
        <v>3</v>
      </c>
      <c r="K606" s="2" t="s">
        <v>29</v>
      </c>
      <c r="L606" s="2">
        <v>4.33</v>
      </c>
      <c r="M606" s="2" t="s">
        <v>22</v>
      </c>
      <c r="N606" s="2">
        <v>73.069999999999993</v>
      </c>
      <c r="O606" s="2" t="s">
        <v>24</v>
      </c>
      <c r="P606" s="2">
        <v>9.98</v>
      </c>
      <c r="Q606" s="2">
        <v>12.91</v>
      </c>
      <c r="R606" s="3">
        <f t="shared" si="45"/>
        <v>4042.9978000000001</v>
      </c>
      <c r="S606" s="3">
        <f t="shared" si="46"/>
        <v>5229.9701000000005</v>
      </c>
      <c r="T606" s="3">
        <f t="shared" si="47"/>
        <v>1186.9723000000004</v>
      </c>
      <c r="U606" s="4">
        <f t="shared" si="48"/>
        <v>0.22695584817970571</v>
      </c>
      <c r="V606" s="5">
        <f t="shared" si="49"/>
        <v>17.541263000000001</v>
      </c>
    </row>
    <row r="607" spans="1:22" x14ac:dyDescent="0.25">
      <c r="A607" s="2" t="s">
        <v>641</v>
      </c>
      <c r="B607" s="2" t="s">
        <v>18</v>
      </c>
      <c r="C607" s="2" t="s">
        <v>19</v>
      </c>
      <c r="D607" s="2" t="s">
        <v>20</v>
      </c>
      <c r="E607" s="2">
        <v>674.74</v>
      </c>
      <c r="F607" s="2">
        <v>11.76</v>
      </c>
      <c r="G607" s="2">
        <v>26.1</v>
      </c>
      <c r="H607" s="2">
        <v>0.1</v>
      </c>
      <c r="I607" s="2">
        <v>1.3</v>
      </c>
      <c r="J607" s="2">
        <v>28</v>
      </c>
      <c r="K607" s="2" t="s">
        <v>21</v>
      </c>
      <c r="L607" s="2">
        <v>0.52</v>
      </c>
      <c r="M607" s="2" t="s">
        <v>22</v>
      </c>
      <c r="N607" s="2">
        <v>61.93</v>
      </c>
      <c r="O607" s="2" t="s">
        <v>23</v>
      </c>
      <c r="P607" s="2">
        <v>3.43</v>
      </c>
      <c r="Q607" s="2">
        <v>5.26</v>
      </c>
      <c r="R607" s="3">
        <f t="shared" si="45"/>
        <v>2314.3582000000001</v>
      </c>
      <c r="S607" s="3">
        <f t="shared" si="46"/>
        <v>3549.1324</v>
      </c>
      <c r="T607" s="3">
        <f t="shared" si="47"/>
        <v>1234.7741999999998</v>
      </c>
      <c r="U607" s="4">
        <f t="shared" si="48"/>
        <v>0.34790874524714827</v>
      </c>
      <c r="V607" s="5">
        <f t="shared" si="49"/>
        <v>3.508648</v>
      </c>
    </row>
    <row r="608" spans="1:22" x14ac:dyDescent="0.25">
      <c r="A608" s="2" t="s">
        <v>642</v>
      </c>
      <c r="B608" s="2" t="s">
        <v>18</v>
      </c>
      <c r="C608" s="2" t="s">
        <v>27</v>
      </c>
      <c r="D608" s="2" t="s">
        <v>28</v>
      </c>
      <c r="E608" s="2">
        <v>593.22</v>
      </c>
      <c r="F608" s="2">
        <v>17.23</v>
      </c>
      <c r="G608" s="2">
        <v>39.47</v>
      </c>
      <c r="H608" s="2">
        <v>2.4</v>
      </c>
      <c r="I608" s="2">
        <v>0.3</v>
      </c>
      <c r="J608" s="2">
        <v>12</v>
      </c>
      <c r="K608" s="2" t="s">
        <v>34</v>
      </c>
      <c r="L608" s="2">
        <v>5.36</v>
      </c>
      <c r="M608" s="2" t="s">
        <v>22</v>
      </c>
      <c r="N608" s="2">
        <v>72.37</v>
      </c>
      <c r="O608" s="2" t="s">
        <v>24</v>
      </c>
      <c r="P608" s="2">
        <v>6.03</v>
      </c>
      <c r="Q608" s="2">
        <v>9.43</v>
      </c>
      <c r="R608" s="3">
        <f t="shared" si="45"/>
        <v>3577.1166000000003</v>
      </c>
      <c r="S608" s="3">
        <f t="shared" si="46"/>
        <v>5594.0645999999997</v>
      </c>
      <c r="T608" s="3">
        <f t="shared" si="47"/>
        <v>2016.9479999999994</v>
      </c>
      <c r="U608" s="4">
        <f t="shared" si="48"/>
        <v>0.36055143160127245</v>
      </c>
      <c r="V608" s="5">
        <f t="shared" si="49"/>
        <v>31.796592000000004</v>
      </c>
    </row>
    <row r="609" spans="1:22" x14ac:dyDescent="0.25">
      <c r="A609" s="2" t="s">
        <v>643</v>
      </c>
      <c r="B609" s="2" t="s">
        <v>26</v>
      </c>
      <c r="C609" s="2" t="s">
        <v>43</v>
      </c>
      <c r="D609" s="2" t="s">
        <v>20</v>
      </c>
      <c r="E609" s="2">
        <v>476.34</v>
      </c>
      <c r="F609" s="2">
        <v>13.45</v>
      </c>
      <c r="G609" s="2">
        <v>33.270000000000003</v>
      </c>
      <c r="H609" s="2">
        <v>1.4</v>
      </c>
      <c r="I609" s="2">
        <v>1.7</v>
      </c>
      <c r="J609" s="2">
        <v>3</v>
      </c>
      <c r="K609" s="2" t="s">
        <v>34</v>
      </c>
      <c r="L609" s="2">
        <v>2.34</v>
      </c>
      <c r="M609" s="2" t="s">
        <v>22</v>
      </c>
      <c r="N609" s="2">
        <v>97.52</v>
      </c>
      <c r="O609" s="2" t="s">
        <v>23</v>
      </c>
      <c r="P609" s="2">
        <v>3.18</v>
      </c>
      <c r="Q609" s="2">
        <v>10.87</v>
      </c>
      <c r="R609" s="3">
        <f t="shared" si="45"/>
        <v>1514.7611999999999</v>
      </c>
      <c r="S609" s="3">
        <f t="shared" si="46"/>
        <v>5177.8157999999994</v>
      </c>
      <c r="T609" s="3">
        <f t="shared" si="47"/>
        <v>3663.0545999999995</v>
      </c>
      <c r="U609" s="4">
        <f t="shared" si="48"/>
        <v>0.70745170193192275</v>
      </c>
      <c r="V609" s="5">
        <f t="shared" si="49"/>
        <v>11.146355999999999</v>
      </c>
    </row>
    <row r="610" spans="1:22" x14ac:dyDescent="0.25">
      <c r="A610" s="2" t="s">
        <v>644</v>
      </c>
      <c r="B610" s="2" t="s">
        <v>26</v>
      </c>
      <c r="C610" s="2" t="s">
        <v>33</v>
      </c>
      <c r="D610" s="2" t="s">
        <v>20</v>
      </c>
      <c r="E610" s="2">
        <v>613.55999999999995</v>
      </c>
      <c r="F610" s="2">
        <v>10.7</v>
      </c>
      <c r="G610" s="2">
        <v>28.16</v>
      </c>
      <c r="H610" s="2">
        <v>0.2</v>
      </c>
      <c r="I610" s="2">
        <v>5.4</v>
      </c>
      <c r="J610" s="2">
        <v>15</v>
      </c>
      <c r="K610" s="2" t="s">
        <v>34</v>
      </c>
      <c r="L610" s="2">
        <v>8.75</v>
      </c>
      <c r="M610" s="2" t="s">
        <v>22</v>
      </c>
      <c r="N610" s="2">
        <v>60.54</v>
      </c>
      <c r="O610" s="2" t="s">
        <v>24</v>
      </c>
      <c r="P610" s="2">
        <v>3.94</v>
      </c>
      <c r="Q610" s="2">
        <v>14.57</v>
      </c>
      <c r="R610" s="3">
        <f t="shared" si="45"/>
        <v>2417.4263999999998</v>
      </c>
      <c r="S610" s="3">
        <f t="shared" si="46"/>
        <v>8939.5691999999999</v>
      </c>
      <c r="T610" s="3">
        <f t="shared" si="47"/>
        <v>6522.1427999999996</v>
      </c>
      <c r="U610" s="4">
        <f t="shared" si="48"/>
        <v>0.72958133150308846</v>
      </c>
      <c r="V610" s="5">
        <f t="shared" si="49"/>
        <v>53.686499999999995</v>
      </c>
    </row>
    <row r="611" spans="1:22" x14ac:dyDescent="0.25">
      <c r="A611" s="2" t="s">
        <v>645</v>
      </c>
      <c r="B611" s="2" t="s">
        <v>26</v>
      </c>
      <c r="C611" s="2" t="s">
        <v>27</v>
      </c>
      <c r="D611" s="2" t="s">
        <v>28</v>
      </c>
      <c r="E611" s="2">
        <v>389.37</v>
      </c>
      <c r="F611" s="2">
        <v>15.02</v>
      </c>
      <c r="G611" s="2">
        <v>25.61</v>
      </c>
      <c r="H611" s="2">
        <v>0.4</v>
      </c>
      <c r="I611" s="2">
        <v>0.1</v>
      </c>
      <c r="J611" s="2">
        <v>17</v>
      </c>
      <c r="K611" s="2" t="s">
        <v>34</v>
      </c>
      <c r="L611" s="2">
        <v>1.49</v>
      </c>
      <c r="M611" s="2" t="s">
        <v>22</v>
      </c>
      <c r="N611" s="2">
        <v>58.95</v>
      </c>
      <c r="O611" s="2" t="s">
        <v>30</v>
      </c>
      <c r="P611" s="2">
        <v>5.26</v>
      </c>
      <c r="Q611" s="2">
        <v>10.74</v>
      </c>
      <c r="R611" s="3">
        <f t="shared" si="45"/>
        <v>2048.0861999999997</v>
      </c>
      <c r="S611" s="3">
        <f t="shared" si="46"/>
        <v>4181.8338000000003</v>
      </c>
      <c r="T611" s="3">
        <f t="shared" si="47"/>
        <v>2133.7476000000006</v>
      </c>
      <c r="U611" s="4">
        <f t="shared" si="48"/>
        <v>0.5102420856610802</v>
      </c>
      <c r="V611" s="5">
        <f t="shared" si="49"/>
        <v>5.8016129999999997</v>
      </c>
    </row>
    <row r="612" spans="1:22" x14ac:dyDescent="0.25">
      <c r="A612" s="2" t="s">
        <v>646</v>
      </c>
      <c r="B612" s="2" t="s">
        <v>32</v>
      </c>
      <c r="C612" s="2" t="s">
        <v>27</v>
      </c>
      <c r="D612" s="2" t="s">
        <v>28</v>
      </c>
      <c r="E612" s="2">
        <v>417.55</v>
      </c>
      <c r="F612" s="2">
        <v>14.59</v>
      </c>
      <c r="G612" s="2">
        <v>34.619999999999997</v>
      </c>
      <c r="H612" s="2">
        <v>0.2</v>
      </c>
      <c r="I612" s="2">
        <v>0.6</v>
      </c>
      <c r="J612" s="2">
        <v>18</v>
      </c>
      <c r="K612" s="2" t="s">
        <v>21</v>
      </c>
      <c r="L612" s="2">
        <v>0.51</v>
      </c>
      <c r="M612" s="2" t="s">
        <v>40</v>
      </c>
      <c r="N612" s="2">
        <v>62.09</v>
      </c>
      <c r="O612" s="2" t="s">
        <v>23</v>
      </c>
      <c r="P612" s="2">
        <v>5.76</v>
      </c>
      <c r="Q612" s="2">
        <v>6.59</v>
      </c>
      <c r="R612" s="3">
        <f t="shared" si="45"/>
        <v>2405.0880000000002</v>
      </c>
      <c r="S612" s="3">
        <f t="shared" si="46"/>
        <v>2751.6545000000001</v>
      </c>
      <c r="T612" s="3">
        <f t="shared" si="47"/>
        <v>346.56649999999991</v>
      </c>
      <c r="U612" s="4">
        <f t="shared" si="48"/>
        <v>0.12594840667678298</v>
      </c>
      <c r="V612" s="5">
        <f t="shared" si="49"/>
        <v>2.129505</v>
      </c>
    </row>
    <row r="613" spans="1:22" x14ac:dyDescent="0.25">
      <c r="A613" s="2" t="s">
        <v>647</v>
      </c>
      <c r="B613" s="2" t="s">
        <v>45</v>
      </c>
      <c r="C613" s="2" t="s">
        <v>27</v>
      </c>
      <c r="D613" s="2" t="s">
        <v>20</v>
      </c>
      <c r="E613" s="2">
        <v>439.14</v>
      </c>
      <c r="F613" s="2">
        <v>17.89</v>
      </c>
      <c r="G613" s="2">
        <v>24.84</v>
      </c>
      <c r="H613" s="2">
        <v>1.9</v>
      </c>
      <c r="I613" s="2">
        <v>1.6</v>
      </c>
      <c r="J613" s="2">
        <v>7</v>
      </c>
      <c r="K613" s="2" t="s">
        <v>21</v>
      </c>
      <c r="L613" s="2">
        <v>4.79</v>
      </c>
      <c r="M613" s="2" t="s">
        <v>37</v>
      </c>
      <c r="N613" s="2">
        <v>77.59</v>
      </c>
      <c r="O613" s="2" t="s">
        <v>24</v>
      </c>
      <c r="P613" s="2">
        <v>9.58</v>
      </c>
      <c r="Q613" s="2">
        <v>10.18</v>
      </c>
      <c r="R613" s="3">
        <f t="shared" si="45"/>
        <v>4206.9611999999997</v>
      </c>
      <c r="S613" s="3">
        <f t="shared" si="46"/>
        <v>4470.4452000000001</v>
      </c>
      <c r="T613" s="3">
        <f t="shared" si="47"/>
        <v>263.48400000000038</v>
      </c>
      <c r="U613" s="4">
        <f t="shared" si="48"/>
        <v>5.8939096267190655E-2</v>
      </c>
      <c r="V613" s="5">
        <f t="shared" si="49"/>
        <v>21.034806</v>
      </c>
    </row>
    <row r="614" spans="1:22" x14ac:dyDescent="0.25">
      <c r="A614" s="2" t="s">
        <v>648</v>
      </c>
      <c r="B614" s="2" t="s">
        <v>26</v>
      </c>
      <c r="C614" s="2" t="s">
        <v>33</v>
      </c>
      <c r="D614" s="2" t="s">
        <v>28</v>
      </c>
      <c r="E614" s="2">
        <v>447.1</v>
      </c>
      <c r="F614" s="2">
        <v>10.65</v>
      </c>
      <c r="G614" s="2">
        <v>23.43</v>
      </c>
      <c r="H614" s="2">
        <v>0.2</v>
      </c>
      <c r="I614" s="2">
        <v>1.6</v>
      </c>
      <c r="J614" s="2">
        <v>19</v>
      </c>
      <c r="K614" s="2" t="s">
        <v>21</v>
      </c>
      <c r="L614" s="2">
        <v>1.98</v>
      </c>
      <c r="M614" s="2" t="s">
        <v>22</v>
      </c>
      <c r="N614" s="2">
        <v>96.51</v>
      </c>
      <c r="O614" s="2" t="s">
        <v>24</v>
      </c>
      <c r="P614" s="2">
        <v>5.77</v>
      </c>
      <c r="Q614" s="2">
        <v>8.9600000000000009</v>
      </c>
      <c r="R614" s="3">
        <f t="shared" si="45"/>
        <v>2579.7669999999998</v>
      </c>
      <c r="S614" s="3">
        <f t="shared" si="46"/>
        <v>4006.0160000000005</v>
      </c>
      <c r="T614" s="3">
        <f t="shared" si="47"/>
        <v>1426.2490000000007</v>
      </c>
      <c r="U614" s="4">
        <f t="shared" si="48"/>
        <v>0.35602678571428586</v>
      </c>
      <c r="V614" s="5">
        <f t="shared" si="49"/>
        <v>8.8525799999999997</v>
      </c>
    </row>
    <row r="615" spans="1:22" x14ac:dyDescent="0.25">
      <c r="A615" s="2" t="s">
        <v>649</v>
      </c>
      <c r="B615" s="2" t="s">
        <v>45</v>
      </c>
      <c r="C615" s="2" t="s">
        <v>27</v>
      </c>
      <c r="D615" s="2" t="s">
        <v>28</v>
      </c>
      <c r="E615" s="2">
        <v>394.34</v>
      </c>
      <c r="F615" s="2">
        <v>14.72</v>
      </c>
      <c r="G615" s="2">
        <v>30.6</v>
      </c>
      <c r="H615" s="2">
        <v>2.8</v>
      </c>
      <c r="I615" s="2">
        <v>1.4</v>
      </c>
      <c r="J615" s="2">
        <v>7</v>
      </c>
      <c r="K615" s="2" t="s">
        <v>29</v>
      </c>
      <c r="L615" s="2">
        <v>7.51</v>
      </c>
      <c r="M615" s="2" t="s">
        <v>37</v>
      </c>
      <c r="N615" s="2">
        <v>78.69</v>
      </c>
      <c r="O615" s="2" t="s">
        <v>30</v>
      </c>
      <c r="P615" s="2">
        <v>6.47</v>
      </c>
      <c r="Q615" s="2">
        <v>9.7899999999999991</v>
      </c>
      <c r="R615" s="3">
        <f t="shared" si="45"/>
        <v>2551.3797999999997</v>
      </c>
      <c r="S615" s="3">
        <f t="shared" si="46"/>
        <v>3860.5885999999996</v>
      </c>
      <c r="T615" s="3">
        <f t="shared" si="47"/>
        <v>1309.2087999999999</v>
      </c>
      <c r="U615" s="4">
        <f t="shared" si="48"/>
        <v>0.33912155260469867</v>
      </c>
      <c r="V615" s="5">
        <f t="shared" si="49"/>
        <v>29.614933999999998</v>
      </c>
    </row>
    <row r="616" spans="1:22" x14ac:dyDescent="0.25">
      <c r="A616" s="2" t="s">
        <v>650</v>
      </c>
      <c r="B616" s="2" t="s">
        <v>45</v>
      </c>
      <c r="C616" s="2" t="s">
        <v>33</v>
      </c>
      <c r="D616" s="2" t="s">
        <v>28</v>
      </c>
      <c r="E616" s="2">
        <v>622.30999999999995</v>
      </c>
      <c r="F616" s="2">
        <v>8.52</v>
      </c>
      <c r="G616" s="2">
        <v>25.8</v>
      </c>
      <c r="H616" s="2">
        <v>0</v>
      </c>
      <c r="I616" s="2">
        <v>0.4</v>
      </c>
      <c r="J616" s="2">
        <v>5</v>
      </c>
      <c r="K616" s="2" t="s">
        <v>21</v>
      </c>
      <c r="L616" s="2">
        <v>9.24</v>
      </c>
      <c r="M616" s="2" t="s">
        <v>40</v>
      </c>
      <c r="N616" s="2">
        <v>62.17</v>
      </c>
      <c r="O616" s="2" t="s">
        <v>30</v>
      </c>
      <c r="P616" s="2">
        <v>4.72</v>
      </c>
      <c r="Q616" s="2">
        <v>6.97</v>
      </c>
      <c r="R616" s="3">
        <f t="shared" si="45"/>
        <v>2937.3031999999994</v>
      </c>
      <c r="S616" s="3">
        <f t="shared" si="46"/>
        <v>4337.5006999999996</v>
      </c>
      <c r="T616" s="3">
        <f t="shared" si="47"/>
        <v>1400.1975000000002</v>
      </c>
      <c r="U616" s="4">
        <f t="shared" si="48"/>
        <v>0.32281205164992832</v>
      </c>
      <c r="V616" s="5">
        <f t="shared" si="49"/>
        <v>57.501443999999992</v>
      </c>
    </row>
    <row r="617" spans="1:22" x14ac:dyDescent="0.25">
      <c r="A617" s="2" t="s">
        <v>651</v>
      </c>
      <c r="B617" s="2" t="s">
        <v>18</v>
      </c>
      <c r="C617" s="2" t="s">
        <v>27</v>
      </c>
      <c r="D617" s="2" t="s">
        <v>28</v>
      </c>
      <c r="E617" s="2">
        <v>474.11</v>
      </c>
      <c r="F617" s="2">
        <v>9.14</v>
      </c>
      <c r="G617" s="2">
        <v>32.58</v>
      </c>
      <c r="H617" s="2">
        <v>0.6</v>
      </c>
      <c r="I617" s="2">
        <v>0.6</v>
      </c>
      <c r="J617" s="2">
        <v>26</v>
      </c>
      <c r="K617" s="2" t="s">
        <v>34</v>
      </c>
      <c r="L617" s="2">
        <v>0.9</v>
      </c>
      <c r="M617" s="2" t="s">
        <v>40</v>
      </c>
      <c r="N617" s="2">
        <v>72.02</v>
      </c>
      <c r="O617" s="2" t="s">
        <v>23</v>
      </c>
      <c r="P617" s="2">
        <v>3</v>
      </c>
      <c r="Q617" s="2">
        <v>10.01</v>
      </c>
      <c r="R617" s="3">
        <f t="shared" si="45"/>
        <v>1422.33</v>
      </c>
      <c r="S617" s="3">
        <f t="shared" si="46"/>
        <v>4745.8410999999996</v>
      </c>
      <c r="T617" s="3">
        <f t="shared" si="47"/>
        <v>3323.5110999999997</v>
      </c>
      <c r="U617" s="4">
        <f t="shared" si="48"/>
        <v>0.70029970029970035</v>
      </c>
      <c r="V617" s="5">
        <f t="shared" si="49"/>
        <v>4.2669899999999998</v>
      </c>
    </row>
    <row r="618" spans="1:22" x14ac:dyDescent="0.25">
      <c r="A618" s="2" t="s">
        <v>652</v>
      </c>
      <c r="B618" s="2" t="s">
        <v>32</v>
      </c>
      <c r="C618" s="2" t="s">
        <v>33</v>
      </c>
      <c r="D618" s="2" t="s">
        <v>20</v>
      </c>
      <c r="E618" s="2">
        <v>535.25</v>
      </c>
      <c r="F618" s="2">
        <v>8.0399999999999991</v>
      </c>
      <c r="G618" s="2">
        <v>22.36</v>
      </c>
      <c r="H618" s="2">
        <v>4.4000000000000004</v>
      </c>
      <c r="I618" s="2">
        <v>0.9</v>
      </c>
      <c r="J618" s="2">
        <v>8</v>
      </c>
      <c r="K618" s="2" t="s">
        <v>21</v>
      </c>
      <c r="L618" s="2">
        <v>4.26</v>
      </c>
      <c r="M618" s="2" t="s">
        <v>22</v>
      </c>
      <c r="N618" s="2">
        <v>69.52</v>
      </c>
      <c r="O618" s="2" t="s">
        <v>23</v>
      </c>
      <c r="P618" s="2">
        <v>9.3000000000000007</v>
      </c>
      <c r="Q618" s="2">
        <v>6.5</v>
      </c>
      <c r="R618" s="3">
        <f t="shared" si="45"/>
        <v>4977.8250000000007</v>
      </c>
      <c r="S618" s="3">
        <f t="shared" si="46"/>
        <v>3479.125</v>
      </c>
      <c r="T618" s="3">
        <f t="shared" si="47"/>
        <v>-1498.7000000000007</v>
      </c>
      <c r="U618" s="4">
        <f t="shared" si="48"/>
        <v>-0.43076923076923096</v>
      </c>
      <c r="V618" s="5">
        <f t="shared" si="49"/>
        <v>22.801649999999999</v>
      </c>
    </row>
    <row r="619" spans="1:22" x14ac:dyDescent="0.25">
      <c r="A619" s="2" t="s">
        <v>653</v>
      </c>
      <c r="B619" s="2" t="s">
        <v>26</v>
      </c>
      <c r="C619" s="2" t="s">
        <v>19</v>
      </c>
      <c r="D619" s="2" t="s">
        <v>28</v>
      </c>
      <c r="E619" s="2">
        <v>442.96</v>
      </c>
      <c r="F619" s="2">
        <v>17.989999999999998</v>
      </c>
      <c r="G619" s="2">
        <v>33.1</v>
      </c>
      <c r="H619" s="2">
        <v>2.5</v>
      </c>
      <c r="I619" s="2">
        <v>3.6</v>
      </c>
      <c r="J619" s="2">
        <v>21</v>
      </c>
      <c r="K619" s="2" t="s">
        <v>29</v>
      </c>
      <c r="L619" s="2">
        <v>9.9700000000000006</v>
      </c>
      <c r="M619" s="2" t="s">
        <v>37</v>
      </c>
      <c r="N619" s="2">
        <v>52.33</v>
      </c>
      <c r="O619" s="2" t="s">
        <v>23</v>
      </c>
      <c r="P619" s="2">
        <v>3.57</v>
      </c>
      <c r="Q619" s="2">
        <v>12.44</v>
      </c>
      <c r="R619" s="3">
        <f t="shared" si="45"/>
        <v>1581.3671999999999</v>
      </c>
      <c r="S619" s="3">
        <f t="shared" si="46"/>
        <v>5510.4223999999995</v>
      </c>
      <c r="T619" s="3">
        <f t="shared" si="47"/>
        <v>3929.0551999999998</v>
      </c>
      <c r="U619" s="4">
        <f t="shared" si="48"/>
        <v>0.71302250803858525</v>
      </c>
      <c r="V619" s="5">
        <f t="shared" si="49"/>
        <v>44.163111999999998</v>
      </c>
    </row>
    <row r="620" spans="1:22" x14ac:dyDescent="0.25">
      <c r="A620" s="2" t="s">
        <v>654</v>
      </c>
      <c r="B620" s="2" t="s">
        <v>18</v>
      </c>
      <c r="C620" s="2" t="s">
        <v>19</v>
      </c>
      <c r="D620" s="2" t="s">
        <v>28</v>
      </c>
      <c r="E620" s="2">
        <v>317.94</v>
      </c>
      <c r="F620" s="2">
        <v>16.02</v>
      </c>
      <c r="G620" s="2">
        <v>25.67</v>
      </c>
      <c r="H620" s="2">
        <v>0.2</v>
      </c>
      <c r="I620" s="2">
        <v>0.4</v>
      </c>
      <c r="J620" s="2">
        <v>16</v>
      </c>
      <c r="K620" s="2" t="s">
        <v>34</v>
      </c>
      <c r="L620" s="2">
        <v>7.46</v>
      </c>
      <c r="M620" s="2" t="s">
        <v>22</v>
      </c>
      <c r="N620" s="2">
        <v>75.53</v>
      </c>
      <c r="O620" s="2" t="s">
        <v>24</v>
      </c>
      <c r="P620" s="2">
        <v>9.75</v>
      </c>
      <c r="Q620" s="2">
        <v>10.94</v>
      </c>
      <c r="R620" s="3">
        <f t="shared" si="45"/>
        <v>3099.915</v>
      </c>
      <c r="S620" s="3">
        <f t="shared" si="46"/>
        <v>3478.2635999999998</v>
      </c>
      <c r="T620" s="3">
        <f t="shared" si="47"/>
        <v>378.34859999999981</v>
      </c>
      <c r="U620" s="4">
        <f t="shared" si="48"/>
        <v>0.10877513711151732</v>
      </c>
      <c r="V620" s="5">
        <f t="shared" si="49"/>
        <v>23.718323999999999</v>
      </c>
    </row>
    <row r="621" spans="1:22" x14ac:dyDescent="0.25">
      <c r="A621" s="2" t="s">
        <v>655</v>
      </c>
      <c r="B621" s="2" t="s">
        <v>18</v>
      </c>
      <c r="C621" s="2" t="s">
        <v>19</v>
      </c>
      <c r="D621" s="2" t="s">
        <v>28</v>
      </c>
      <c r="E621" s="2">
        <v>527.01</v>
      </c>
      <c r="F621" s="2">
        <v>15.87</v>
      </c>
      <c r="G621" s="2">
        <v>20</v>
      </c>
      <c r="H621" s="2">
        <v>3.4</v>
      </c>
      <c r="I621" s="2">
        <v>2.6</v>
      </c>
      <c r="J621" s="2">
        <v>16</v>
      </c>
      <c r="K621" s="2" t="s">
        <v>21</v>
      </c>
      <c r="L621" s="2">
        <v>9.56</v>
      </c>
      <c r="M621" s="2" t="s">
        <v>40</v>
      </c>
      <c r="N621" s="2">
        <v>56.3</v>
      </c>
      <c r="O621" s="2" t="s">
        <v>24</v>
      </c>
      <c r="P621" s="2">
        <v>3.92</v>
      </c>
      <c r="Q621" s="2">
        <v>5.79</v>
      </c>
      <c r="R621" s="3">
        <f t="shared" si="45"/>
        <v>2065.8791999999999</v>
      </c>
      <c r="S621" s="3">
        <f t="shared" si="46"/>
        <v>3051.3879000000002</v>
      </c>
      <c r="T621" s="3">
        <f t="shared" si="47"/>
        <v>985.50870000000032</v>
      </c>
      <c r="U621" s="4">
        <f t="shared" si="48"/>
        <v>0.32297063903281531</v>
      </c>
      <c r="V621" s="5">
        <f t="shared" si="49"/>
        <v>50.382156000000002</v>
      </c>
    </row>
    <row r="622" spans="1:22" x14ac:dyDescent="0.25">
      <c r="A622" s="2" t="s">
        <v>656</v>
      </c>
      <c r="B622" s="2" t="s">
        <v>26</v>
      </c>
      <c r="C622" s="2" t="s">
        <v>19</v>
      </c>
      <c r="D622" s="2" t="s">
        <v>28</v>
      </c>
      <c r="E622" s="2">
        <v>308.77</v>
      </c>
      <c r="F622" s="2">
        <v>13.1</v>
      </c>
      <c r="G622" s="2">
        <v>22.54</v>
      </c>
      <c r="H622" s="2">
        <v>1.4</v>
      </c>
      <c r="I622" s="2">
        <v>0.3</v>
      </c>
      <c r="J622" s="2">
        <v>19</v>
      </c>
      <c r="K622" s="2" t="s">
        <v>34</v>
      </c>
      <c r="L622" s="2">
        <v>2.06</v>
      </c>
      <c r="M622" s="2" t="s">
        <v>40</v>
      </c>
      <c r="N622" s="2">
        <v>92.11</v>
      </c>
      <c r="O622" s="2" t="s">
        <v>23</v>
      </c>
      <c r="P622" s="2">
        <v>7.23</v>
      </c>
      <c r="Q622" s="2">
        <v>13.9</v>
      </c>
      <c r="R622" s="3">
        <f t="shared" si="45"/>
        <v>2232.4070999999999</v>
      </c>
      <c r="S622" s="3">
        <f t="shared" si="46"/>
        <v>4291.9030000000002</v>
      </c>
      <c r="T622" s="3">
        <f t="shared" si="47"/>
        <v>2059.4959000000003</v>
      </c>
      <c r="U622" s="4">
        <f t="shared" si="48"/>
        <v>0.47985611510791371</v>
      </c>
      <c r="V622" s="5">
        <f t="shared" si="49"/>
        <v>6.3606619999999996</v>
      </c>
    </row>
    <row r="623" spans="1:22" x14ac:dyDescent="0.25">
      <c r="A623" s="2" t="s">
        <v>657</v>
      </c>
      <c r="B623" s="2" t="s">
        <v>45</v>
      </c>
      <c r="C623" s="2" t="s">
        <v>19</v>
      </c>
      <c r="D623" s="2" t="s">
        <v>28</v>
      </c>
      <c r="E623" s="2">
        <v>493.14</v>
      </c>
      <c r="F623" s="2">
        <v>11</v>
      </c>
      <c r="G623" s="2">
        <v>38.67</v>
      </c>
      <c r="H623" s="2">
        <v>3.8</v>
      </c>
      <c r="I623" s="2">
        <v>4.5</v>
      </c>
      <c r="J623" s="2">
        <v>25</v>
      </c>
      <c r="K623" s="2" t="s">
        <v>34</v>
      </c>
      <c r="L623" s="2">
        <v>2.6</v>
      </c>
      <c r="M623" s="2" t="s">
        <v>37</v>
      </c>
      <c r="N623" s="2">
        <v>77.45</v>
      </c>
      <c r="O623" s="2" t="s">
        <v>24</v>
      </c>
      <c r="P623" s="2">
        <v>10</v>
      </c>
      <c r="Q623" s="2">
        <v>11.16</v>
      </c>
      <c r="R623" s="3">
        <f t="shared" si="45"/>
        <v>4931.3999999999996</v>
      </c>
      <c r="S623" s="3">
        <f t="shared" si="46"/>
        <v>5503.4423999999999</v>
      </c>
      <c r="T623" s="3">
        <f t="shared" si="47"/>
        <v>572.04240000000027</v>
      </c>
      <c r="U623" s="4">
        <f t="shared" si="48"/>
        <v>0.10394265232974916</v>
      </c>
      <c r="V623" s="5">
        <f t="shared" si="49"/>
        <v>12.82164</v>
      </c>
    </row>
    <row r="624" spans="1:22" x14ac:dyDescent="0.25">
      <c r="A624" s="2" t="s">
        <v>658</v>
      </c>
      <c r="B624" s="2" t="s">
        <v>18</v>
      </c>
      <c r="C624" s="2" t="s">
        <v>27</v>
      </c>
      <c r="D624" s="2" t="s">
        <v>28</v>
      </c>
      <c r="E624" s="2">
        <v>363.17</v>
      </c>
      <c r="F624" s="2">
        <v>9.51</v>
      </c>
      <c r="G624" s="2">
        <v>37.35</v>
      </c>
      <c r="H624" s="2">
        <v>1.8</v>
      </c>
      <c r="I624" s="2">
        <v>1.1000000000000001</v>
      </c>
      <c r="J624" s="2">
        <v>15</v>
      </c>
      <c r="K624" s="2" t="s">
        <v>21</v>
      </c>
      <c r="L624" s="2">
        <v>1.97</v>
      </c>
      <c r="M624" s="2" t="s">
        <v>22</v>
      </c>
      <c r="N624" s="2">
        <v>92.23</v>
      </c>
      <c r="O624" s="2" t="s">
        <v>30</v>
      </c>
      <c r="P624" s="2">
        <v>3.97</v>
      </c>
      <c r="Q624" s="2">
        <v>8.16</v>
      </c>
      <c r="R624" s="3">
        <f t="shared" si="45"/>
        <v>1441.7849000000001</v>
      </c>
      <c r="S624" s="3">
        <f t="shared" si="46"/>
        <v>2963.4672</v>
      </c>
      <c r="T624" s="3">
        <f t="shared" si="47"/>
        <v>1521.6822999999999</v>
      </c>
      <c r="U624" s="4">
        <f t="shared" si="48"/>
        <v>0.5134803921568627</v>
      </c>
      <c r="V624" s="5">
        <f t="shared" si="49"/>
        <v>7.1544490000000005</v>
      </c>
    </row>
    <row r="625" spans="1:22" x14ac:dyDescent="0.25">
      <c r="A625" s="2" t="s">
        <v>659</v>
      </c>
      <c r="B625" s="2" t="s">
        <v>45</v>
      </c>
      <c r="C625" s="2" t="s">
        <v>27</v>
      </c>
      <c r="D625" s="2" t="s">
        <v>28</v>
      </c>
      <c r="E625" s="2">
        <v>698.73</v>
      </c>
      <c r="F625" s="2">
        <v>10.85</v>
      </c>
      <c r="G625" s="2">
        <v>24.67</v>
      </c>
      <c r="H625" s="2">
        <v>2.2999999999999998</v>
      </c>
      <c r="I625" s="2">
        <v>0.6</v>
      </c>
      <c r="J625" s="2">
        <v>7</v>
      </c>
      <c r="K625" s="2" t="s">
        <v>21</v>
      </c>
      <c r="L625" s="2">
        <v>3.37</v>
      </c>
      <c r="M625" s="2" t="s">
        <v>37</v>
      </c>
      <c r="N625" s="2">
        <v>97.8</v>
      </c>
      <c r="O625" s="2" t="s">
        <v>24</v>
      </c>
      <c r="P625" s="2">
        <v>5.97</v>
      </c>
      <c r="Q625" s="2">
        <v>5.46</v>
      </c>
      <c r="R625" s="3">
        <f t="shared" si="45"/>
        <v>4171.4180999999999</v>
      </c>
      <c r="S625" s="3">
        <f t="shared" si="46"/>
        <v>3815.0657999999999</v>
      </c>
      <c r="T625" s="3">
        <f t="shared" si="47"/>
        <v>-356.35230000000001</v>
      </c>
      <c r="U625" s="4">
        <f t="shared" si="48"/>
        <v>-9.3406593406593408E-2</v>
      </c>
      <c r="V625" s="5">
        <f t="shared" si="49"/>
        <v>23.547201000000001</v>
      </c>
    </row>
    <row r="626" spans="1:22" x14ac:dyDescent="0.25">
      <c r="A626" s="2" t="s">
        <v>660</v>
      </c>
      <c r="B626" s="2" t="s">
        <v>32</v>
      </c>
      <c r="C626" s="2" t="s">
        <v>27</v>
      </c>
      <c r="D626" s="2" t="s">
        <v>28</v>
      </c>
      <c r="E626" s="2">
        <v>591.14</v>
      </c>
      <c r="F626" s="2">
        <v>11.76</v>
      </c>
      <c r="G626" s="2">
        <v>35.57</v>
      </c>
      <c r="H626" s="2">
        <v>10.1</v>
      </c>
      <c r="I626" s="2">
        <v>1</v>
      </c>
      <c r="J626" s="2">
        <v>5</v>
      </c>
      <c r="K626" s="2" t="s">
        <v>29</v>
      </c>
      <c r="L626" s="2">
        <v>7.38</v>
      </c>
      <c r="M626" s="2" t="s">
        <v>37</v>
      </c>
      <c r="N626" s="2">
        <v>97.16</v>
      </c>
      <c r="O626" s="2" t="s">
        <v>23</v>
      </c>
      <c r="P626" s="2">
        <v>8.4600000000000009</v>
      </c>
      <c r="Q626" s="2">
        <v>11.32</v>
      </c>
      <c r="R626" s="3">
        <f t="shared" si="45"/>
        <v>5001.0444000000007</v>
      </c>
      <c r="S626" s="3">
        <f t="shared" si="46"/>
        <v>6691.7048000000004</v>
      </c>
      <c r="T626" s="3">
        <f t="shared" si="47"/>
        <v>1690.6603999999998</v>
      </c>
      <c r="U626" s="4">
        <f t="shared" si="48"/>
        <v>0.25265017667844519</v>
      </c>
      <c r="V626" s="5">
        <f t="shared" si="49"/>
        <v>43.626131999999998</v>
      </c>
    </row>
    <row r="627" spans="1:22" x14ac:dyDescent="0.25">
      <c r="A627" s="2" t="s">
        <v>661</v>
      </c>
      <c r="B627" s="2" t="s">
        <v>45</v>
      </c>
      <c r="C627" s="2" t="s">
        <v>33</v>
      </c>
      <c r="D627" s="2" t="s">
        <v>20</v>
      </c>
      <c r="E627" s="2">
        <v>510.58</v>
      </c>
      <c r="F627" s="2">
        <v>15.56</v>
      </c>
      <c r="G627" s="2">
        <v>32.17</v>
      </c>
      <c r="H627" s="2">
        <v>0.5</v>
      </c>
      <c r="I627" s="2">
        <v>0.3</v>
      </c>
      <c r="J627" s="2">
        <v>23</v>
      </c>
      <c r="K627" s="2" t="s">
        <v>21</v>
      </c>
      <c r="L627" s="2">
        <v>2.0699999999999998</v>
      </c>
      <c r="M627" s="2" t="s">
        <v>40</v>
      </c>
      <c r="N627" s="2">
        <v>55.02</v>
      </c>
      <c r="O627" s="2" t="s">
        <v>24</v>
      </c>
      <c r="P627" s="2">
        <v>3.23</v>
      </c>
      <c r="Q627" s="2">
        <v>8.73</v>
      </c>
      <c r="R627" s="3">
        <f t="shared" si="45"/>
        <v>1649.1733999999999</v>
      </c>
      <c r="S627" s="3">
        <f t="shared" si="46"/>
        <v>4457.3634000000002</v>
      </c>
      <c r="T627" s="3">
        <f t="shared" si="47"/>
        <v>2808.1900000000005</v>
      </c>
      <c r="U627" s="4">
        <f t="shared" si="48"/>
        <v>0.63001145475372289</v>
      </c>
      <c r="V627" s="5">
        <f t="shared" si="49"/>
        <v>10.569006</v>
      </c>
    </row>
    <row r="628" spans="1:22" x14ac:dyDescent="0.25">
      <c r="A628" s="2" t="s">
        <v>662</v>
      </c>
      <c r="B628" s="2" t="s">
        <v>32</v>
      </c>
      <c r="C628" s="2" t="s">
        <v>33</v>
      </c>
      <c r="D628" s="2" t="s">
        <v>28</v>
      </c>
      <c r="E628" s="2">
        <v>626.37</v>
      </c>
      <c r="F628" s="2">
        <v>13.4</v>
      </c>
      <c r="G628" s="2">
        <v>39.42</v>
      </c>
      <c r="H628" s="2">
        <v>2</v>
      </c>
      <c r="I628" s="2">
        <v>0.3</v>
      </c>
      <c r="J628" s="2">
        <v>11</v>
      </c>
      <c r="K628" s="2" t="s">
        <v>21</v>
      </c>
      <c r="L628" s="2">
        <v>5.48</v>
      </c>
      <c r="M628" s="2" t="s">
        <v>37</v>
      </c>
      <c r="N628" s="2">
        <v>97.24</v>
      </c>
      <c r="O628" s="2" t="s">
        <v>30</v>
      </c>
      <c r="P628" s="2">
        <v>7.83</v>
      </c>
      <c r="Q628" s="2">
        <v>14.08</v>
      </c>
      <c r="R628" s="3">
        <f t="shared" si="45"/>
        <v>4904.4771000000001</v>
      </c>
      <c r="S628" s="3">
        <f t="shared" si="46"/>
        <v>8819.2896000000001</v>
      </c>
      <c r="T628" s="3">
        <f t="shared" si="47"/>
        <v>3914.8125</v>
      </c>
      <c r="U628" s="4">
        <f t="shared" si="48"/>
        <v>0.44389204545454547</v>
      </c>
      <c r="V628" s="5">
        <f t="shared" si="49"/>
        <v>34.325076000000003</v>
      </c>
    </row>
    <row r="629" spans="1:22" x14ac:dyDescent="0.25">
      <c r="A629" s="2" t="s">
        <v>663</v>
      </c>
      <c r="B629" s="2" t="s">
        <v>45</v>
      </c>
      <c r="C629" s="2" t="s">
        <v>33</v>
      </c>
      <c r="D629" s="2" t="s">
        <v>20</v>
      </c>
      <c r="E629" s="2">
        <v>415.37</v>
      </c>
      <c r="F629" s="2">
        <v>8.77</v>
      </c>
      <c r="G629" s="2">
        <v>27.47</v>
      </c>
      <c r="H629" s="2">
        <v>1.2</v>
      </c>
      <c r="I629" s="2">
        <v>0.1</v>
      </c>
      <c r="J629" s="2">
        <v>10</v>
      </c>
      <c r="K629" s="2" t="s">
        <v>21</v>
      </c>
      <c r="L629" s="2">
        <v>3.06</v>
      </c>
      <c r="M629" s="2" t="s">
        <v>40</v>
      </c>
      <c r="N629" s="2">
        <v>89.79</v>
      </c>
      <c r="O629" s="2" t="s">
        <v>23</v>
      </c>
      <c r="P629" s="2">
        <v>3.56</v>
      </c>
      <c r="Q629" s="2">
        <v>5.35</v>
      </c>
      <c r="R629" s="3">
        <f t="shared" si="45"/>
        <v>1478.7172</v>
      </c>
      <c r="S629" s="3">
        <f t="shared" si="46"/>
        <v>2222.2294999999999</v>
      </c>
      <c r="T629" s="3">
        <f t="shared" si="47"/>
        <v>743.51229999999987</v>
      </c>
      <c r="U629" s="4">
        <f t="shared" si="48"/>
        <v>0.33457943925233641</v>
      </c>
      <c r="V629" s="5">
        <f t="shared" si="49"/>
        <v>12.710322000000001</v>
      </c>
    </row>
    <row r="630" spans="1:22" x14ac:dyDescent="0.25">
      <c r="A630" s="2" t="s">
        <v>664</v>
      </c>
      <c r="B630" s="2" t="s">
        <v>18</v>
      </c>
      <c r="C630" s="2" t="s">
        <v>33</v>
      </c>
      <c r="D630" s="2" t="s">
        <v>28</v>
      </c>
      <c r="E630" s="2">
        <v>554.35</v>
      </c>
      <c r="F630" s="2">
        <v>8.18</v>
      </c>
      <c r="G630" s="2">
        <v>33.630000000000003</v>
      </c>
      <c r="H630" s="2">
        <v>0.1</v>
      </c>
      <c r="I630" s="2">
        <v>0.1</v>
      </c>
      <c r="J630" s="2">
        <v>25</v>
      </c>
      <c r="K630" s="2" t="s">
        <v>34</v>
      </c>
      <c r="L630" s="2">
        <v>8.3800000000000008</v>
      </c>
      <c r="M630" s="2" t="s">
        <v>22</v>
      </c>
      <c r="N630" s="2">
        <v>88.88</v>
      </c>
      <c r="O630" s="2" t="s">
        <v>23</v>
      </c>
      <c r="P630" s="2">
        <v>4.66</v>
      </c>
      <c r="Q630" s="2">
        <v>5.39</v>
      </c>
      <c r="R630" s="3">
        <f t="shared" si="45"/>
        <v>2583.2710000000002</v>
      </c>
      <c r="S630" s="3">
        <f t="shared" si="46"/>
        <v>2987.9465</v>
      </c>
      <c r="T630" s="3">
        <f t="shared" si="47"/>
        <v>404.67549999999983</v>
      </c>
      <c r="U630" s="4">
        <f t="shared" si="48"/>
        <v>0.13543599257884967</v>
      </c>
      <c r="V630" s="5">
        <f t="shared" si="49"/>
        <v>46.454530000000005</v>
      </c>
    </row>
    <row r="631" spans="1:22" x14ac:dyDescent="0.25">
      <c r="A631" s="2" t="s">
        <v>665</v>
      </c>
      <c r="B631" s="2" t="s">
        <v>18</v>
      </c>
      <c r="C631" s="2" t="s">
        <v>19</v>
      </c>
      <c r="D631" s="2" t="s">
        <v>28</v>
      </c>
      <c r="E631" s="2">
        <v>519.98</v>
      </c>
      <c r="F631" s="2">
        <v>9.02</v>
      </c>
      <c r="G631" s="2">
        <v>21.27</v>
      </c>
      <c r="H631" s="2">
        <v>0</v>
      </c>
      <c r="I631" s="2">
        <v>0.4</v>
      </c>
      <c r="J631" s="2">
        <v>21</v>
      </c>
      <c r="K631" s="2" t="s">
        <v>29</v>
      </c>
      <c r="L631" s="2">
        <v>0.56000000000000005</v>
      </c>
      <c r="M631" s="2" t="s">
        <v>37</v>
      </c>
      <c r="N631" s="2">
        <v>54.51</v>
      </c>
      <c r="O631" s="2" t="s">
        <v>23</v>
      </c>
      <c r="P631" s="2">
        <v>4.12</v>
      </c>
      <c r="Q631" s="2">
        <v>14.49</v>
      </c>
      <c r="R631" s="3">
        <f t="shared" si="45"/>
        <v>2142.3176000000003</v>
      </c>
      <c r="S631" s="3">
        <f t="shared" si="46"/>
        <v>7534.5102000000006</v>
      </c>
      <c r="T631" s="3">
        <f t="shared" si="47"/>
        <v>5392.1926000000003</v>
      </c>
      <c r="U631" s="4">
        <f t="shared" si="48"/>
        <v>0.71566597653554176</v>
      </c>
      <c r="V631" s="5">
        <f t="shared" si="49"/>
        <v>2.9118880000000003</v>
      </c>
    </row>
    <row r="632" spans="1:22" x14ac:dyDescent="0.25">
      <c r="A632" s="2" t="s">
        <v>666</v>
      </c>
      <c r="B632" s="2" t="s">
        <v>32</v>
      </c>
      <c r="C632" s="2" t="s">
        <v>19</v>
      </c>
      <c r="D632" s="2" t="s">
        <v>28</v>
      </c>
      <c r="E632" s="2">
        <v>526.4</v>
      </c>
      <c r="F632" s="2">
        <v>12.1</v>
      </c>
      <c r="G632" s="2">
        <v>27.92</v>
      </c>
      <c r="H632" s="2">
        <v>0.3</v>
      </c>
      <c r="I632" s="2">
        <v>1.4</v>
      </c>
      <c r="J632" s="2">
        <v>23</v>
      </c>
      <c r="K632" s="2" t="s">
        <v>34</v>
      </c>
      <c r="L632" s="2">
        <v>2.62</v>
      </c>
      <c r="M632" s="2" t="s">
        <v>37</v>
      </c>
      <c r="N632" s="2">
        <v>58.98</v>
      </c>
      <c r="O632" s="2" t="s">
        <v>23</v>
      </c>
      <c r="P632" s="2">
        <v>9.35</v>
      </c>
      <c r="Q632" s="2">
        <v>14.65</v>
      </c>
      <c r="R632" s="3">
        <f t="shared" si="45"/>
        <v>4921.8399999999992</v>
      </c>
      <c r="S632" s="3">
        <f t="shared" si="46"/>
        <v>7711.76</v>
      </c>
      <c r="T632" s="3">
        <f t="shared" si="47"/>
        <v>2789.920000000001</v>
      </c>
      <c r="U632" s="4">
        <f t="shared" si="48"/>
        <v>0.36177474402730386</v>
      </c>
      <c r="V632" s="5">
        <f t="shared" si="49"/>
        <v>13.791679999999999</v>
      </c>
    </row>
    <row r="633" spans="1:22" x14ac:dyDescent="0.25">
      <c r="A633" s="2" t="s">
        <v>667</v>
      </c>
      <c r="B633" s="2" t="s">
        <v>26</v>
      </c>
      <c r="C633" s="2" t="s">
        <v>19</v>
      </c>
      <c r="D633" s="2" t="s">
        <v>28</v>
      </c>
      <c r="E633" s="2">
        <v>627.24</v>
      </c>
      <c r="F633" s="2">
        <v>17.329999999999998</v>
      </c>
      <c r="G633" s="2">
        <v>39.28</v>
      </c>
      <c r="H633" s="2">
        <v>2.1</v>
      </c>
      <c r="I633" s="2">
        <v>0.9</v>
      </c>
      <c r="J633" s="2">
        <v>27</v>
      </c>
      <c r="K633" s="2" t="s">
        <v>21</v>
      </c>
      <c r="L633" s="2">
        <v>6.25</v>
      </c>
      <c r="M633" s="2" t="s">
        <v>22</v>
      </c>
      <c r="N633" s="2">
        <v>98.76</v>
      </c>
      <c r="O633" s="2" t="s">
        <v>24</v>
      </c>
      <c r="P633" s="2">
        <v>4.26</v>
      </c>
      <c r="Q633" s="2">
        <v>5.28</v>
      </c>
      <c r="R633" s="3">
        <f t="shared" si="45"/>
        <v>2672.0423999999998</v>
      </c>
      <c r="S633" s="3">
        <f t="shared" si="46"/>
        <v>3311.8272000000002</v>
      </c>
      <c r="T633" s="3">
        <f t="shared" si="47"/>
        <v>639.78480000000036</v>
      </c>
      <c r="U633" s="4">
        <f t="shared" si="48"/>
        <v>0.19318181818181829</v>
      </c>
      <c r="V633" s="5">
        <f t="shared" si="49"/>
        <v>39.202500000000001</v>
      </c>
    </row>
    <row r="634" spans="1:22" x14ac:dyDescent="0.25">
      <c r="A634" s="2" t="s">
        <v>668</v>
      </c>
      <c r="B634" s="2" t="s">
        <v>32</v>
      </c>
      <c r="C634" s="2" t="s">
        <v>43</v>
      </c>
      <c r="D634" s="2" t="s">
        <v>20</v>
      </c>
      <c r="E634" s="2">
        <v>573.25</v>
      </c>
      <c r="F634" s="2">
        <v>14.37</v>
      </c>
      <c r="G634" s="2">
        <v>30.78</v>
      </c>
      <c r="H634" s="2">
        <v>1.7</v>
      </c>
      <c r="I634" s="2">
        <v>0.1</v>
      </c>
      <c r="J634" s="2">
        <v>9</v>
      </c>
      <c r="K634" s="2" t="s">
        <v>29</v>
      </c>
      <c r="L634" s="2">
        <v>1.42</v>
      </c>
      <c r="M634" s="2" t="s">
        <v>37</v>
      </c>
      <c r="N634" s="2">
        <v>60.67</v>
      </c>
      <c r="O634" s="2" t="s">
        <v>30</v>
      </c>
      <c r="P634" s="2">
        <v>3.28</v>
      </c>
      <c r="Q634" s="2">
        <v>12.16</v>
      </c>
      <c r="R634" s="3">
        <f t="shared" si="45"/>
        <v>1880.26</v>
      </c>
      <c r="S634" s="3">
        <f t="shared" si="46"/>
        <v>6970.72</v>
      </c>
      <c r="T634" s="3">
        <f t="shared" si="47"/>
        <v>5090.46</v>
      </c>
      <c r="U634" s="4">
        <f t="shared" si="48"/>
        <v>0.73026315789473684</v>
      </c>
      <c r="V634" s="5">
        <f t="shared" si="49"/>
        <v>8.1401500000000002</v>
      </c>
    </row>
    <row r="635" spans="1:22" x14ac:dyDescent="0.25">
      <c r="A635" s="2" t="s">
        <v>669</v>
      </c>
      <c r="B635" s="2" t="s">
        <v>32</v>
      </c>
      <c r="C635" s="2" t="s">
        <v>27</v>
      </c>
      <c r="D635" s="2" t="s">
        <v>28</v>
      </c>
      <c r="E635" s="2">
        <v>528.87</v>
      </c>
      <c r="F635" s="2">
        <v>16.02</v>
      </c>
      <c r="G635" s="2">
        <v>25.76</v>
      </c>
      <c r="H635" s="2">
        <v>1.6</v>
      </c>
      <c r="I635" s="2">
        <v>1.9</v>
      </c>
      <c r="J635" s="2">
        <v>1</v>
      </c>
      <c r="K635" s="2" t="s">
        <v>21</v>
      </c>
      <c r="L635" s="2">
        <v>4.93</v>
      </c>
      <c r="M635" s="2" t="s">
        <v>22</v>
      </c>
      <c r="N635" s="2">
        <v>58.45</v>
      </c>
      <c r="O635" s="2" t="s">
        <v>24</v>
      </c>
      <c r="P635" s="2">
        <v>7.11</v>
      </c>
      <c r="Q635" s="2">
        <v>7.21</v>
      </c>
      <c r="R635" s="3">
        <f t="shared" si="45"/>
        <v>3760.2657000000004</v>
      </c>
      <c r="S635" s="3">
        <f t="shared" si="46"/>
        <v>3813.1527000000001</v>
      </c>
      <c r="T635" s="3">
        <f t="shared" si="47"/>
        <v>52.886999999999716</v>
      </c>
      <c r="U635" s="4">
        <f t="shared" si="48"/>
        <v>1.3869625520110881E-2</v>
      </c>
      <c r="V635" s="5">
        <f t="shared" si="49"/>
        <v>26.073290999999998</v>
      </c>
    </row>
    <row r="636" spans="1:22" x14ac:dyDescent="0.25">
      <c r="A636" s="2" t="s">
        <v>670</v>
      </c>
      <c r="B636" s="2" t="s">
        <v>45</v>
      </c>
      <c r="C636" s="2" t="s">
        <v>33</v>
      </c>
      <c r="D636" s="2" t="s">
        <v>28</v>
      </c>
      <c r="E636" s="2">
        <v>334.51</v>
      </c>
      <c r="F636" s="2">
        <v>12.66</v>
      </c>
      <c r="G636" s="2">
        <v>22.41</v>
      </c>
      <c r="H636" s="2">
        <v>0.1</v>
      </c>
      <c r="I636" s="2">
        <v>0.9</v>
      </c>
      <c r="J636" s="2">
        <v>20</v>
      </c>
      <c r="K636" s="2" t="s">
        <v>34</v>
      </c>
      <c r="L636" s="2">
        <v>4.6399999999999997</v>
      </c>
      <c r="M636" s="2" t="s">
        <v>40</v>
      </c>
      <c r="N636" s="2">
        <v>68.12</v>
      </c>
      <c r="O636" s="2" t="s">
        <v>24</v>
      </c>
      <c r="P636" s="2">
        <v>5.42</v>
      </c>
      <c r="Q636" s="2">
        <v>12.01</v>
      </c>
      <c r="R636" s="3">
        <f t="shared" si="45"/>
        <v>1813.0441999999998</v>
      </c>
      <c r="S636" s="3">
        <f t="shared" si="46"/>
        <v>4017.4650999999999</v>
      </c>
      <c r="T636" s="3">
        <f t="shared" si="47"/>
        <v>2204.4209000000001</v>
      </c>
      <c r="U636" s="4">
        <f t="shared" si="48"/>
        <v>0.54870940882597841</v>
      </c>
      <c r="V636" s="5">
        <f t="shared" si="49"/>
        <v>15.521263999999999</v>
      </c>
    </row>
    <row r="637" spans="1:22" x14ac:dyDescent="0.25">
      <c r="A637" s="2" t="s">
        <v>671</v>
      </c>
      <c r="B637" s="2" t="s">
        <v>45</v>
      </c>
      <c r="C637" s="2" t="s">
        <v>33</v>
      </c>
      <c r="D637" s="2" t="s">
        <v>20</v>
      </c>
      <c r="E637" s="2">
        <v>404</v>
      </c>
      <c r="F637" s="2">
        <v>11.62</v>
      </c>
      <c r="G637" s="2">
        <v>34.07</v>
      </c>
      <c r="H637" s="2">
        <v>1.3</v>
      </c>
      <c r="I637" s="2">
        <v>3.2</v>
      </c>
      <c r="J637" s="2">
        <v>1</v>
      </c>
      <c r="K637" s="2" t="s">
        <v>34</v>
      </c>
      <c r="L637" s="2">
        <v>8.6</v>
      </c>
      <c r="M637" s="2" t="s">
        <v>40</v>
      </c>
      <c r="N637" s="2">
        <v>95.67</v>
      </c>
      <c r="O637" s="2" t="s">
        <v>23</v>
      </c>
      <c r="P637" s="2">
        <v>5.84</v>
      </c>
      <c r="Q637" s="2">
        <v>13.69</v>
      </c>
      <c r="R637" s="3">
        <f t="shared" si="45"/>
        <v>2359.36</v>
      </c>
      <c r="S637" s="3">
        <f t="shared" si="46"/>
        <v>5530.76</v>
      </c>
      <c r="T637" s="3">
        <f t="shared" si="47"/>
        <v>3171.4</v>
      </c>
      <c r="U637" s="4">
        <f t="shared" si="48"/>
        <v>0.57341124908692476</v>
      </c>
      <c r="V637" s="5">
        <f t="shared" si="49"/>
        <v>34.744</v>
      </c>
    </row>
    <row r="638" spans="1:22" x14ac:dyDescent="0.25">
      <c r="A638" s="2" t="s">
        <v>672</v>
      </c>
      <c r="B638" s="2" t="s">
        <v>32</v>
      </c>
      <c r="C638" s="2" t="s">
        <v>19</v>
      </c>
      <c r="D638" s="2" t="s">
        <v>20</v>
      </c>
      <c r="E638" s="2">
        <v>487.73</v>
      </c>
      <c r="F638" s="2">
        <v>9.08</v>
      </c>
      <c r="G638" s="2">
        <v>32.9</v>
      </c>
      <c r="H638" s="2">
        <v>5.2</v>
      </c>
      <c r="I638" s="2">
        <v>1.1000000000000001</v>
      </c>
      <c r="J638" s="2">
        <v>8</v>
      </c>
      <c r="K638" s="2" t="s">
        <v>21</v>
      </c>
      <c r="L638" s="2">
        <v>6.44</v>
      </c>
      <c r="M638" s="2" t="s">
        <v>37</v>
      </c>
      <c r="N638" s="2">
        <v>73.81</v>
      </c>
      <c r="O638" s="2" t="s">
        <v>30</v>
      </c>
      <c r="P638" s="2">
        <v>3.83</v>
      </c>
      <c r="Q638" s="2">
        <v>6.01</v>
      </c>
      <c r="R638" s="3">
        <f t="shared" si="45"/>
        <v>1868.0059000000001</v>
      </c>
      <c r="S638" s="3">
        <f t="shared" si="46"/>
        <v>2931.2573000000002</v>
      </c>
      <c r="T638" s="3">
        <f t="shared" si="47"/>
        <v>1063.2514000000001</v>
      </c>
      <c r="U638" s="4">
        <f t="shared" si="48"/>
        <v>0.36272878535773712</v>
      </c>
      <c r="V638" s="5">
        <f t="shared" si="49"/>
        <v>31.409812000000002</v>
      </c>
    </row>
    <row r="639" spans="1:22" x14ac:dyDescent="0.25">
      <c r="A639" s="2" t="s">
        <v>673</v>
      </c>
      <c r="B639" s="2" t="s">
        <v>18</v>
      </c>
      <c r="C639" s="2" t="s">
        <v>33</v>
      </c>
      <c r="D639" s="2" t="s">
        <v>28</v>
      </c>
      <c r="E639" s="2">
        <v>509.34</v>
      </c>
      <c r="F639" s="2">
        <v>16.760000000000002</v>
      </c>
      <c r="G639" s="2">
        <v>27.48</v>
      </c>
      <c r="H639" s="2">
        <v>1</v>
      </c>
      <c r="I639" s="2">
        <v>0.2</v>
      </c>
      <c r="J639" s="2">
        <v>3</v>
      </c>
      <c r="K639" s="2" t="s">
        <v>29</v>
      </c>
      <c r="L639" s="2">
        <v>6.58</v>
      </c>
      <c r="M639" s="2" t="s">
        <v>40</v>
      </c>
      <c r="N639" s="2">
        <v>96.03</v>
      </c>
      <c r="O639" s="2" t="s">
        <v>24</v>
      </c>
      <c r="P639" s="2">
        <v>8.24</v>
      </c>
      <c r="Q639" s="2">
        <v>7.39</v>
      </c>
      <c r="R639" s="3">
        <f t="shared" si="45"/>
        <v>4196.9615999999996</v>
      </c>
      <c r="S639" s="3">
        <f t="shared" si="46"/>
        <v>3764.0225999999998</v>
      </c>
      <c r="T639" s="3">
        <f t="shared" si="47"/>
        <v>-432.93899999999985</v>
      </c>
      <c r="U639" s="4">
        <f t="shared" si="48"/>
        <v>-0.11502029769959402</v>
      </c>
      <c r="V639" s="5">
        <f t="shared" si="49"/>
        <v>33.514572000000001</v>
      </c>
    </row>
    <row r="640" spans="1:22" x14ac:dyDescent="0.25">
      <c r="A640" s="2" t="s">
        <v>674</v>
      </c>
      <c r="B640" s="2" t="s">
        <v>45</v>
      </c>
      <c r="C640" s="2" t="s">
        <v>33</v>
      </c>
      <c r="D640" s="2" t="s">
        <v>20</v>
      </c>
      <c r="E640" s="2">
        <v>386.98</v>
      </c>
      <c r="F640" s="2">
        <v>15.83</v>
      </c>
      <c r="G640" s="2">
        <v>39.020000000000003</v>
      </c>
      <c r="H640" s="2">
        <v>2</v>
      </c>
      <c r="I640" s="2">
        <v>0.6</v>
      </c>
      <c r="J640" s="2">
        <v>2</v>
      </c>
      <c r="K640" s="2" t="s">
        <v>34</v>
      </c>
      <c r="L640" s="2">
        <v>9.5399999999999991</v>
      </c>
      <c r="M640" s="2" t="s">
        <v>40</v>
      </c>
      <c r="N640" s="2">
        <v>66.72</v>
      </c>
      <c r="O640" s="2" t="s">
        <v>30</v>
      </c>
      <c r="P640" s="2">
        <v>7.21</v>
      </c>
      <c r="Q640" s="2">
        <v>5.24</v>
      </c>
      <c r="R640" s="3">
        <f t="shared" si="45"/>
        <v>2790.1258000000003</v>
      </c>
      <c r="S640" s="3">
        <f t="shared" si="46"/>
        <v>2027.7752000000003</v>
      </c>
      <c r="T640" s="3">
        <f t="shared" si="47"/>
        <v>-762.35059999999999</v>
      </c>
      <c r="U640" s="4">
        <f t="shared" si="48"/>
        <v>-0.37595419847328237</v>
      </c>
      <c r="V640" s="5">
        <f t="shared" si="49"/>
        <v>36.917891999999995</v>
      </c>
    </row>
    <row r="641" spans="1:22" x14ac:dyDescent="0.25">
      <c r="A641" s="2" t="s">
        <v>675</v>
      </c>
      <c r="B641" s="2" t="s">
        <v>26</v>
      </c>
      <c r="C641" s="2" t="s">
        <v>27</v>
      </c>
      <c r="D641" s="2" t="s">
        <v>20</v>
      </c>
      <c r="E641" s="2">
        <v>741.17</v>
      </c>
      <c r="F641" s="2">
        <v>9.68</v>
      </c>
      <c r="G641" s="2">
        <v>20.440000000000001</v>
      </c>
      <c r="H641" s="2">
        <v>3</v>
      </c>
      <c r="I641" s="2">
        <v>1</v>
      </c>
      <c r="J641" s="2">
        <v>4</v>
      </c>
      <c r="K641" s="2" t="s">
        <v>21</v>
      </c>
      <c r="L641" s="2">
        <v>9.83</v>
      </c>
      <c r="M641" s="2" t="s">
        <v>22</v>
      </c>
      <c r="N641" s="2">
        <v>61.33</v>
      </c>
      <c r="O641" s="2" t="s">
        <v>30</v>
      </c>
      <c r="P641" s="2">
        <v>5.55</v>
      </c>
      <c r="Q641" s="2">
        <v>5.44</v>
      </c>
      <c r="R641" s="3">
        <f t="shared" si="45"/>
        <v>4113.4934999999996</v>
      </c>
      <c r="S641" s="3">
        <f t="shared" si="46"/>
        <v>4031.9648000000002</v>
      </c>
      <c r="T641" s="3">
        <f t="shared" si="47"/>
        <v>-81.52869999999939</v>
      </c>
      <c r="U641" s="4">
        <f t="shared" si="48"/>
        <v>-2.0220588235293966E-2</v>
      </c>
      <c r="V641" s="5">
        <f t="shared" si="49"/>
        <v>72.857011</v>
      </c>
    </row>
    <row r="642" spans="1:22" x14ac:dyDescent="0.25">
      <c r="A642" s="2" t="s">
        <v>676</v>
      </c>
      <c r="B642" s="2" t="s">
        <v>45</v>
      </c>
      <c r="C642" s="2" t="s">
        <v>19</v>
      </c>
      <c r="D642" s="2" t="s">
        <v>20</v>
      </c>
      <c r="E642" s="2">
        <v>651.64</v>
      </c>
      <c r="F642" s="2">
        <v>13.12</v>
      </c>
      <c r="G642" s="2">
        <v>26.07</v>
      </c>
      <c r="H642" s="2">
        <v>3.1</v>
      </c>
      <c r="I642" s="2">
        <v>0</v>
      </c>
      <c r="J642" s="2">
        <v>27</v>
      </c>
      <c r="K642" s="2" t="s">
        <v>21</v>
      </c>
      <c r="L642" s="2">
        <v>6.71</v>
      </c>
      <c r="M642" s="2" t="s">
        <v>40</v>
      </c>
      <c r="N642" s="2">
        <v>74.760000000000005</v>
      </c>
      <c r="O642" s="2" t="s">
        <v>30</v>
      </c>
      <c r="P642" s="2">
        <v>4.2</v>
      </c>
      <c r="Q642" s="2">
        <v>5.3</v>
      </c>
      <c r="R642" s="3">
        <f t="shared" si="45"/>
        <v>2736.8879999999999</v>
      </c>
      <c r="S642" s="3">
        <f t="shared" si="46"/>
        <v>3453.692</v>
      </c>
      <c r="T642" s="3">
        <f t="shared" si="47"/>
        <v>716.80400000000009</v>
      </c>
      <c r="U642" s="4">
        <f t="shared" si="48"/>
        <v>0.20754716981132079</v>
      </c>
      <c r="V642" s="5">
        <f t="shared" si="49"/>
        <v>43.725043999999997</v>
      </c>
    </row>
    <row r="643" spans="1:22" x14ac:dyDescent="0.25">
      <c r="A643" s="2" t="s">
        <v>677</v>
      </c>
      <c r="B643" s="2" t="s">
        <v>45</v>
      </c>
      <c r="C643" s="2" t="s">
        <v>27</v>
      </c>
      <c r="D643" s="2" t="s">
        <v>28</v>
      </c>
      <c r="E643" s="2">
        <v>560.21</v>
      </c>
      <c r="F643" s="2">
        <v>12.87</v>
      </c>
      <c r="G643" s="2">
        <v>38.42</v>
      </c>
      <c r="H643" s="2">
        <v>1.5</v>
      </c>
      <c r="I643" s="2">
        <v>0</v>
      </c>
      <c r="J643" s="2">
        <v>19</v>
      </c>
      <c r="K643" s="2" t="s">
        <v>21</v>
      </c>
      <c r="L643" s="2">
        <v>5.46</v>
      </c>
      <c r="M643" s="2" t="s">
        <v>40</v>
      </c>
      <c r="N643" s="2">
        <v>80.77</v>
      </c>
      <c r="O643" s="2" t="s">
        <v>30</v>
      </c>
      <c r="P643" s="2">
        <v>7.15</v>
      </c>
      <c r="Q643" s="2">
        <v>13.01</v>
      </c>
      <c r="R643" s="3">
        <f t="shared" ref="R643:R706" si="50">E643*P643</f>
        <v>4005.5015000000003</v>
      </c>
      <c r="S643" s="3">
        <f t="shared" ref="S643:S706" si="51">E643*Q643</f>
        <v>7288.3321000000005</v>
      </c>
      <c r="T643" s="3">
        <f t="shared" ref="T643:T706" si="52">S643-R643</f>
        <v>3282.8306000000002</v>
      </c>
      <c r="U643" s="4">
        <f t="shared" ref="U643:U706" si="53">T643/S643</f>
        <v>0.45042275172943891</v>
      </c>
      <c r="V643" s="5">
        <f t="shared" ref="V643:V706" si="54">E643*L643/100</f>
        <v>30.587466000000003</v>
      </c>
    </row>
    <row r="644" spans="1:22" x14ac:dyDescent="0.25">
      <c r="A644" s="2" t="s">
        <v>678</v>
      </c>
      <c r="B644" s="2" t="s">
        <v>26</v>
      </c>
      <c r="C644" s="2" t="s">
        <v>43</v>
      </c>
      <c r="D644" s="2" t="s">
        <v>28</v>
      </c>
      <c r="E644" s="2">
        <v>507.2</v>
      </c>
      <c r="F644" s="2">
        <v>14.25</v>
      </c>
      <c r="G644" s="2">
        <v>26.42</v>
      </c>
      <c r="H644" s="2">
        <v>3.9</v>
      </c>
      <c r="I644" s="2">
        <v>0.1</v>
      </c>
      <c r="J644" s="2">
        <v>11</v>
      </c>
      <c r="K644" s="2" t="s">
        <v>29</v>
      </c>
      <c r="L644" s="2">
        <v>6.28</v>
      </c>
      <c r="M644" s="2" t="s">
        <v>40</v>
      </c>
      <c r="N644" s="2">
        <v>69.569999999999993</v>
      </c>
      <c r="O644" s="2" t="s">
        <v>24</v>
      </c>
      <c r="P644" s="2">
        <v>8.4499999999999993</v>
      </c>
      <c r="Q644" s="2">
        <v>7.98</v>
      </c>
      <c r="R644" s="3">
        <f t="shared" si="50"/>
        <v>4285.8399999999992</v>
      </c>
      <c r="S644" s="3">
        <f t="shared" si="51"/>
        <v>4047.4560000000001</v>
      </c>
      <c r="T644" s="3">
        <f t="shared" si="52"/>
        <v>-238.38399999999911</v>
      </c>
      <c r="U644" s="4">
        <f t="shared" si="53"/>
        <v>-5.8897243107769198E-2</v>
      </c>
      <c r="V644" s="5">
        <f t="shared" si="54"/>
        <v>31.852159999999998</v>
      </c>
    </row>
    <row r="645" spans="1:22" x14ac:dyDescent="0.25">
      <c r="A645" s="2" t="s">
        <v>679</v>
      </c>
      <c r="B645" s="2" t="s">
        <v>32</v>
      </c>
      <c r="C645" s="2" t="s">
        <v>43</v>
      </c>
      <c r="D645" s="2" t="s">
        <v>28</v>
      </c>
      <c r="E645" s="2">
        <v>478.78</v>
      </c>
      <c r="F645" s="2">
        <v>17.46</v>
      </c>
      <c r="G645" s="2">
        <v>25.05</v>
      </c>
      <c r="H645" s="2">
        <v>1</v>
      </c>
      <c r="I645" s="2">
        <v>0.3</v>
      </c>
      <c r="J645" s="2">
        <v>5</v>
      </c>
      <c r="K645" s="2" t="s">
        <v>21</v>
      </c>
      <c r="L645" s="2">
        <v>4.13</v>
      </c>
      <c r="M645" s="2" t="s">
        <v>22</v>
      </c>
      <c r="N645" s="2">
        <v>67.3</v>
      </c>
      <c r="O645" s="2" t="s">
        <v>30</v>
      </c>
      <c r="P645" s="2">
        <v>5.19</v>
      </c>
      <c r="Q645" s="2">
        <v>9.93</v>
      </c>
      <c r="R645" s="3">
        <f t="shared" si="50"/>
        <v>2484.8681999999999</v>
      </c>
      <c r="S645" s="3">
        <f t="shared" si="51"/>
        <v>4754.2853999999998</v>
      </c>
      <c r="T645" s="3">
        <f t="shared" si="52"/>
        <v>2269.4171999999999</v>
      </c>
      <c r="U645" s="4">
        <f t="shared" si="53"/>
        <v>0.4773413897280967</v>
      </c>
      <c r="V645" s="5">
        <f t="shared" si="54"/>
        <v>19.773613999999998</v>
      </c>
    </row>
    <row r="646" spans="1:22" x14ac:dyDescent="0.25">
      <c r="A646" s="2" t="s">
        <v>680</v>
      </c>
      <c r="B646" s="2" t="s">
        <v>26</v>
      </c>
      <c r="C646" s="2" t="s">
        <v>43</v>
      </c>
      <c r="D646" s="2" t="s">
        <v>20</v>
      </c>
      <c r="E646" s="2">
        <v>404.81</v>
      </c>
      <c r="F646" s="2">
        <v>13.8</v>
      </c>
      <c r="G646" s="2">
        <v>30.68</v>
      </c>
      <c r="H646" s="2">
        <v>4.4000000000000004</v>
      </c>
      <c r="I646" s="2">
        <v>0.6</v>
      </c>
      <c r="J646" s="2">
        <v>29</v>
      </c>
      <c r="K646" s="2" t="s">
        <v>21</v>
      </c>
      <c r="L646" s="2">
        <v>9.8800000000000008</v>
      </c>
      <c r="M646" s="2" t="s">
        <v>37</v>
      </c>
      <c r="N646" s="2">
        <v>60.9</v>
      </c>
      <c r="O646" s="2" t="s">
        <v>24</v>
      </c>
      <c r="P646" s="2">
        <v>3.18</v>
      </c>
      <c r="Q646" s="2">
        <v>12.88</v>
      </c>
      <c r="R646" s="3">
        <f t="shared" si="50"/>
        <v>1287.2958000000001</v>
      </c>
      <c r="S646" s="3">
        <f t="shared" si="51"/>
        <v>5213.9528</v>
      </c>
      <c r="T646" s="3">
        <f t="shared" si="52"/>
        <v>3926.6570000000002</v>
      </c>
      <c r="U646" s="4">
        <f t="shared" si="53"/>
        <v>0.75310559006211186</v>
      </c>
      <c r="V646" s="5">
        <f t="shared" si="54"/>
        <v>39.995228000000004</v>
      </c>
    </row>
    <row r="647" spans="1:22" x14ac:dyDescent="0.25">
      <c r="A647" s="2" t="s">
        <v>681</v>
      </c>
      <c r="B647" s="2" t="s">
        <v>32</v>
      </c>
      <c r="C647" s="2" t="s">
        <v>19</v>
      </c>
      <c r="D647" s="2" t="s">
        <v>28</v>
      </c>
      <c r="E647" s="2">
        <v>507.75</v>
      </c>
      <c r="F647" s="2">
        <v>13.4</v>
      </c>
      <c r="G647" s="2">
        <v>36.479999999999997</v>
      </c>
      <c r="H647" s="2">
        <v>0.5</v>
      </c>
      <c r="I647" s="2">
        <v>0.7</v>
      </c>
      <c r="J647" s="2">
        <v>24</v>
      </c>
      <c r="K647" s="2" t="s">
        <v>34</v>
      </c>
      <c r="L647" s="2">
        <v>7.2</v>
      </c>
      <c r="M647" s="2" t="s">
        <v>22</v>
      </c>
      <c r="N647" s="2">
        <v>63.75</v>
      </c>
      <c r="O647" s="2" t="s">
        <v>30</v>
      </c>
      <c r="P647" s="2">
        <v>4.5</v>
      </c>
      <c r="Q647" s="2">
        <v>9.9499999999999993</v>
      </c>
      <c r="R647" s="3">
        <f t="shared" si="50"/>
        <v>2284.875</v>
      </c>
      <c r="S647" s="3">
        <f t="shared" si="51"/>
        <v>5052.1124999999993</v>
      </c>
      <c r="T647" s="3">
        <f t="shared" si="52"/>
        <v>2767.2374999999993</v>
      </c>
      <c r="U647" s="4">
        <f t="shared" si="53"/>
        <v>0.54773869346733661</v>
      </c>
      <c r="V647" s="5">
        <f t="shared" si="54"/>
        <v>36.558</v>
      </c>
    </row>
    <row r="648" spans="1:22" x14ac:dyDescent="0.25">
      <c r="A648" s="2" t="s">
        <v>682</v>
      </c>
      <c r="B648" s="2" t="s">
        <v>32</v>
      </c>
      <c r="C648" s="2" t="s">
        <v>33</v>
      </c>
      <c r="D648" s="2" t="s">
        <v>20</v>
      </c>
      <c r="E648" s="2">
        <v>525.78</v>
      </c>
      <c r="F648" s="2">
        <v>8.5</v>
      </c>
      <c r="G648" s="2">
        <v>22.06</v>
      </c>
      <c r="H648" s="2">
        <v>0.7</v>
      </c>
      <c r="I648" s="2">
        <v>0.1</v>
      </c>
      <c r="J648" s="2">
        <v>10</v>
      </c>
      <c r="K648" s="2" t="s">
        <v>21</v>
      </c>
      <c r="L648" s="2">
        <v>3.26</v>
      </c>
      <c r="M648" s="2" t="s">
        <v>37</v>
      </c>
      <c r="N648" s="2">
        <v>83.66</v>
      </c>
      <c r="O648" s="2" t="s">
        <v>30</v>
      </c>
      <c r="P648" s="2">
        <v>7.78</v>
      </c>
      <c r="Q648" s="2">
        <v>9.2899999999999991</v>
      </c>
      <c r="R648" s="3">
        <f t="shared" si="50"/>
        <v>4090.5684000000001</v>
      </c>
      <c r="S648" s="3">
        <f t="shared" si="51"/>
        <v>4884.4961999999996</v>
      </c>
      <c r="T648" s="3">
        <f t="shared" si="52"/>
        <v>793.92779999999948</v>
      </c>
      <c r="U648" s="4">
        <f t="shared" si="53"/>
        <v>0.16254036598492994</v>
      </c>
      <c r="V648" s="5">
        <f t="shared" si="54"/>
        <v>17.140427999999996</v>
      </c>
    </row>
    <row r="649" spans="1:22" x14ac:dyDescent="0.25">
      <c r="A649" s="2" t="s">
        <v>683</v>
      </c>
      <c r="B649" s="2" t="s">
        <v>32</v>
      </c>
      <c r="C649" s="2" t="s">
        <v>19</v>
      </c>
      <c r="D649" s="2" t="s">
        <v>28</v>
      </c>
      <c r="E649" s="2">
        <v>375.82</v>
      </c>
      <c r="F649" s="2">
        <v>8.6300000000000008</v>
      </c>
      <c r="G649" s="2">
        <v>38.86</v>
      </c>
      <c r="H649" s="2">
        <v>0.1</v>
      </c>
      <c r="I649" s="2">
        <v>1.1000000000000001</v>
      </c>
      <c r="J649" s="2">
        <v>24</v>
      </c>
      <c r="K649" s="2" t="s">
        <v>29</v>
      </c>
      <c r="L649" s="2">
        <v>1.05</v>
      </c>
      <c r="M649" s="2" t="s">
        <v>37</v>
      </c>
      <c r="N649" s="2">
        <v>68.489999999999995</v>
      </c>
      <c r="O649" s="2" t="s">
        <v>24</v>
      </c>
      <c r="P649" s="2">
        <v>9.92</v>
      </c>
      <c r="Q649" s="2">
        <v>5.12</v>
      </c>
      <c r="R649" s="3">
        <f t="shared" si="50"/>
        <v>3728.1343999999999</v>
      </c>
      <c r="S649" s="3">
        <f t="shared" si="51"/>
        <v>1924.1984</v>
      </c>
      <c r="T649" s="3">
        <f t="shared" si="52"/>
        <v>-1803.9359999999999</v>
      </c>
      <c r="U649" s="4">
        <f t="shared" si="53"/>
        <v>-0.9375</v>
      </c>
      <c r="V649" s="5">
        <f t="shared" si="54"/>
        <v>3.94611</v>
      </c>
    </row>
    <row r="650" spans="1:22" x14ac:dyDescent="0.25">
      <c r="A650" s="2" t="s">
        <v>684</v>
      </c>
      <c r="B650" s="2" t="s">
        <v>26</v>
      </c>
      <c r="C650" s="2" t="s">
        <v>19</v>
      </c>
      <c r="D650" s="2" t="s">
        <v>28</v>
      </c>
      <c r="E650" s="2">
        <v>533.41999999999996</v>
      </c>
      <c r="F650" s="2">
        <v>9.8699999999999992</v>
      </c>
      <c r="G650" s="2">
        <v>35.9</v>
      </c>
      <c r="H650" s="2">
        <v>3.2</v>
      </c>
      <c r="I650" s="2">
        <v>0.9</v>
      </c>
      <c r="J650" s="2">
        <v>27</v>
      </c>
      <c r="K650" s="2" t="s">
        <v>21</v>
      </c>
      <c r="L650" s="2">
        <v>0.92</v>
      </c>
      <c r="M650" s="2" t="s">
        <v>40</v>
      </c>
      <c r="N650" s="2">
        <v>53.99</v>
      </c>
      <c r="O650" s="2" t="s">
        <v>23</v>
      </c>
      <c r="P650" s="2">
        <v>3.09</v>
      </c>
      <c r="Q650" s="2">
        <v>10.68</v>
      </c>
      <c r="R650" s="3">
        <f t="shared" si="50"/>
        <v>1648.2677999999999</v>
      </c>
      <c r="S650" s="3">
        <f t="shared" si="51"/>
        <v>5696.9255999999996</v>
      </c>
      <c r="T650" s="3">
        <f t="shared" si="52"/>
        <v>4048.6578</v>
      </c>
      <c r="U650" s="4">
        <f t="shared" si="53"/>
        <v>0.7106741573033708</v>
      </c>
      <c r="V650" s="5">
        <f t="shared" si="54"/>
        <v>4.907464</v>
      </c>
    </row>
    <row r="651" spans="1:22" x14ac:dyDescent="0.25">
      <c r="A651" s="2" t="s">
        <v>685</v>
      </c>
      <c r="B651" s="2" t="s">
        <v>32</v>
      </c>
      <c r="C651" s="2" t="s">
        <v>33</v>
      </c>
      <c r="D651" s="2" t="s">
        <v>20</v>
      </c>
      <c r="E651" s="2">
        <v>484.47</v>
      </c>
      <c r="F651" s="2">
        <v>8.32</v>
      </c>
      <c r="G651" s="2">
        <v>23.63</v>
      </c>
      <c r="H651" s="2">
        <v>1.1000000000000001</v>
      </c>
      <c r="I651" s="2">
        <v>0.3</v>
      </c>
      <c r="J651" s="2">
        <v>23</v>
      </c>
      <c r="K651" s="2" t="s">
        <v>29</v>
      </c>
      <c r="L651" s="2">
        <v>2.4500000000000002</v>
      </c>
      <c r="M651" s="2" t="s">
        <v>40</v>
      </c>
      <c r="N651" s="2">
        <v>56.91</v>
      </c>
      <c r="O651" s="2" t="s">
        <v>24</v>
      </c>
      <c r="P651" s="2">
        <v>5.14</v>
      </c>
      <c r="Q651" s="2">
        <v>6.25</v>
      </c>
      <c r="R651" s="3">
        <f t="shared" si="50"/>
        <v>2490.1758</v>
      </c>
      <c r="S651" s="3">
        <f t="shared" si="51"/>
        <v>3027.9375</v>
      </c>
      <c r="T651" s="3">
        <f t="shared" si="52"/>
        <v>537.76170000000002</v>
      </c>
      <c r="U651" s="4">
        <f t="shared" si="53"/>
        <v>0.17760000000000001</v>
      </c>
      <c r="V651" s="5">
        <f t="shared" si="54"/>
        <v>11.869515000000002</v>
      </c>
    </row>
    <row r="652" spans="1:22" x14ac:dyDescent="0.25">
      <c r="A652" s="2" t="s">
        <v>686</v>
      </c>
      <c r="B652" s="2" t="s">
        <v>18</v>
      </c>
      <c r="C652" s="2" t="s">
        <v>27</v>
      </c>
      <c r="D652" s="2" t="s">
        <v>28</v>
      </c>
      <c r="E652" s="2">
        <v>309.22000000000003</v>
      </c>
      <c r="F652" s="2">
        <v>15.43</v>
      </c>
      <c r="G652" s="2">
        <v>34.24</v>
      </c>
      <c r="H652" s="2">
        <v>0.5</v>
      </c>
      <c r="I652" s="2">
        <v>0</v>
      </c>
      <c r="J652" s="2">
        <v>8</v>
      </c>
      <c r="K652" s="2" t="s">
        <v>21</v>
      </c>
      <c r="L652" s="2">
        <v>2.71</v>
      </c>
      <c r="M652" s="2" t="s">
        <v>22</v>
      </c>
      <c r="N652" s="2">
        <v>68.62</v>
      </c>
      <c r="O652" s="2" t="s">
        <v>30</v>
      </c>
      <c r="P652" s="2">
        <v>3.43</v>
      </c>
      <c r="Q652" s="2">
        <v>12.65</v>
      </c>
      <c r="R652" s="3">
        <f t="shared" si="50"/>
        <v>1060.6246000000001</v>
      </c>
      <c r="S652" s="3">
        <f t="shared" si="51"/>
        <v>3911.6330000000003</v>
      </c>
      <c r="T652" s="3">
        <f t="shared" si="52"/>
        <v>2851.0084000000002</v>
      </c>
      <c r="U652" s="4">
        <f t="shared" si="53"/>
        <v>0.72885375494071147</v>
      </c>
      <c r="V652" s="5">
        <f t="shared" si="54"/>
        <v>8.379862000000001</v>
      </c>
    </row>
    <row r="653" spans="1:22" x14ac:dyDescent="0.25">
      <c r="A653" s="2" t="s">
        <v>687</v>
      </c>
      <c r="B653" s="2" t="s">
        <v>26</v>
      </c>
      <c r="C653" s="2" t="s">
        <v>43</v>
      </c>
      <c r="D653" s="2" t="s">
        <v>20</v>
      </c>
      <c r="E653" s="2">
        <v>413.96</v>
      </c>
      <c r="F653" s="2">
        <v>15.23</v>
      </c>
      <c r="G653" s="2">
        <v>27.7</v>
      </c>
      <c r="H653" s="2">
        <v>0.5</v>
      </c>
      <c r="I653" s="2">
        <v>0.1</v>
      </c>
      <c r="J653" s="2">
        <v>13</v>
      </c>
      <c r="K653" s="2" t="s">
        <v>21</v>
      </c>
      <c r="L653" s="2">
        <v>4.4400000000000004</v>
      </c>
      <c r="M653" s="2" t="s">
        <v>22</v>
      </c>
      <c r="N653" s="2">
        <v>96.23</v>
      </c>
      <c r="O653" s="2" t="s">
        <v>24</v>
      </c>
      <c r="P653" s="2">
        <v>5.21</v>
      </c>
      <c r="Q653" s="2">
        <v>7.58</v>
      </c>
      <c r="R653" s="3">
        <f t="shared" si="50"/>
        <v>2156.7316000000001</v>
      </c>
      <c r="S653" s="3">
        <f t="shared" si="51"/>
        <v>3137.8168000000001</v>
      </c>
      <c r="T653" s="3">
        <f t="shared" si="52"/>
        <v>981.08519999999999</v>
      </c>
      <c r="U653" s="4">
        <f t="shared" si="53"/>
        <v>0.31266490765171501</v>
      </c>
      <c r="V653" s="5">
        <f t="shared" si="54"/>
        <v>18.379823999999999</v>
      </c>
    </row>
    <row r="654" spans="1:22" x14ac:dyDescent="0.25">
      <c r="A654" s="2" t="s">
        <v>688</v>
      </c>
      <c r="B654" s="2" t="s">
        <v>18</v>
      </c>
      <c r="C654" s="2" t="s">
        <v>27</v>
      </c>
      <c r="D654" s="2" t="s">
        <v>20</v>
      </c>
      <c r="E654" s="2">
        <v>458.64</v>
      </c>
      <c r="F654" s="2">
        <v>9.36</v>
      </c>
      <c r="G654" s="2">
        <v>28.05</v>
      </c>
      <c r="H654" s="2">
        <v>4.5999999999999996</v>
      </c>
      <c r="I654" s="2">
        <v>0.5</v>
      </c>
      <c r="J654" s="2">
        <v>29</v>
      </c>
      <c r="K654" s="2" t="s">
        <v>21</v>
      </c>
      <c r="L654" s="2">
        <v>2.54</v>
      </c>
      <c r="M654" s="2" t="s">
        <v>22</v>
      </c>
      <c r="N654" s="2">
        <v>68.95</v>
      </c>
      <c r="O654" s="2" t="s">
        <v>30</v>
      </c>
      <c r="P654" s="2">
        <v>5.84</v>
      </c>
      <c r="Q654" s="2">
        <v>11.74</v>
      </c>
      <c r="R654" s="3">
        <f t="shared" si="50"/>
        <v>2678.4575999999997</v>
      </c>
      <c r="S654" s="3">
        <f t="shared" si="51"/>
        <v>5384.4336000000003</v>
      </c>
      <c r="T654" s="3">
        <f t="shared" si="52"/>
        <v>2705.9760000000006</v>
      </c>
      <c r="U654" s="4">
        <f t="shared" si="53"/>
        <v>0.5025553662691653</v>
      </c>
      <c r="V654" s="5">
        <f t="shared" si="54"/>
        <v>11.649456000000001</v>
      </c>
    </row>
    <row r="655" spans="1:22" x14ac:dyDescent="0.25">
      <c r="A655" s="2" t="s">
        <v>689</v>
      </c>
      <c r="B655" s="2" t="s">
        <v>32</v>
      </c>
      <c r="C655" s="2" t="s">
        <v>43</v>
      </c>
      <c r="D655" s="2" t="s">
        <v>28</v>
      </c>
      <c r="E655" s="2">
        <v>688.77</v>
      </c>
      <c r="F655" s="2">
        <v>16.36</v>
      </c>
      <c r="G655" s="2">
        <v>35.67</v>
      </c>
      <c r="H655" s="2">
        <v>3.6</v>
      </c>
      <c r="I655" s="2">
        <v>0.2</v>
      </c>
      <c r="J655" s="2">
        <v>5</v>
      </c>
      <c r="K655" s="2" t="s">
        <v>29</v>
      </c>
      <c r="L655" s="2">
        <v>6.49</v>
      </c>
      <c r="M655" s="2" t="s">
        <v>40</v>
      </c>
      <c r="N655" s="2">
        <v>53.03</v>
      </c>
      <c r="O655" s="2" t="s">
        <v>24</v>
      </c>
      <c r="P655" s="2">
        <v>9.4499999999999993</v>
      </c>
      <c r="Q655" s="2">
        <v>11.46</v>
      </c>
      <c r="R655" s="3">
        <f t="shared" si="50"/>
        <v>6508.8764999999994</v>
      </c>
      <c r="S655" s="3">
        <f t="shared" si="51"/>
        <v>7893.3042000000005</v>
      </c>
      <c r="T655" s="3">
        <f t="shared" si="52"/>
        <v>1384.4277000000011</v>
      </c>
      <c r="U655" s="4">
        <f t="shared" si="53"/>
        <v>0.17539267015706819</v>
      </c>
      <c r="V655" s="5">
        <f t="shared" si="54"/>
        <v>44.701172999999997</v>
      </c>
    </row>
    <row r="656" spans="1:22" x14ac:dyDescent="0.25">
      <c r="A656" s="2" t="s">
        <v>690</v>
      </c>
      <c r="B656" s="2" t="s">
        <v>45</v>
      </c>
      <c r="C656" s="2" t="s">
        <v>19</v>
      </c>
      <c r="D656" s="2" t="s">
        <v>20</v>
      </c>
      <c r="E656" s="2">
        <v>555.66</v>
      </c>
      <c r="F656" s="2">
        <v>9.5500000000000007</v>
      </c>
      <c r="G656" s="2">
        <v>39.26</v>
      </c>
      <c r="H656" s="2">
        <v>1.6</v>
      </c>
      <c r="I656" s="2">
        <v>0.5</v>
      </c>
      <c r="J656" s="2">
        <v>26</v>
      </c>
      <c r="K656" s="2" t="s">
        <v>34</v>
      </c>
      <c r="L656" s="2">
        <v>2.5099999999999998</v>
      </c>
      <c r="M656" s="2" t="s">
        <v>37</v>
      </c>
      <c r="N656" s="2">
        <v>70.900000000000006</v>
      </c>
      <c r="O656" s="2" t="s">
        <v>24</v>
      </c>
      <c r="P656" s="2">
        <v>3.56</v>
      </c>
      <c r="Q656" s="2">
        <v>11.17</v>
      </c>
      <c r="R656" s="3">
        <f t="shared" si="50"/>
        <v>1978.1496</v>
      </c>
      <c r="S656" s="3">
        <f t="shared" si="51"/>
        <v>6206.7221999999992</v>
      </c>
      <c r="T656" s="3">
        <f t="shared" si="52"/>
        <v>4228.5725999999995</v>
      </c>
      <c r="U656" s="4">
        <f t="shared" si="53"/>
        <v>0.68128916741271262</v>
      </c>
      <c r="V656" s="5">
        <f t="shared" si="54"/>
        <v>13.947065999999998</v>
      </c>
    </row>
    <row r="657" spans="1:22" x14ac:dyDescent="0.25">
      <c r="A657" s="2" t="s">
        <v>691</v>
      </c>
      <c r="B657" s="2" t="s">
        <v>32</v>
      </c>
      <c r="C657" s="2" t="s">
        <v>43</v>
      </c>
      <c r="D657" s="2" t="s">
        <v>28</v>
      </c>
      <c r="E657" s="2">
        <v>366.45</v>
      </c>
      <c r="F657" s="2">
        <v>11.01</v>
      </c>
      <c r="G657" s="2">
        <v>22.53</v>
      </c>
      <c r="H657" s="2">
        <v>1.9</v>
      </c>
      <c r="I657" s="2">
        <v>1</v>
      </c>
      <c r="J657" s="2">
        <v>26</v>
      </c>
      <c r="K657" s="2" t="s">
        <v>29</v>
      </c>
      <c r="L657" s="2">
        <v>2.2799999999999998</v>
      </c>
      <c r="M657" s="2" t="s">
        <v>22</v>
      </c>
      <c r="N657" s="2">
        <v>83.44</v>
      </c>
      <c r="O657" s="2" t="s">
        <v>24</v>
      </c>
      <c r="P657" s="2">
        <v>8.44</v>
      </c>
      <c r="Q657" s="2">
        <v>7.67</v>
      </c>
      <c r="R657" s="3">
        <f t="shared" si="50"/>
        <v>3092.8379999999997</v>
      </c>
      <c r="S657" s="3">
        <f t="shared" si="51"/>
        <v>2810.6714999999999</v>
      </c>
      <c r="T657" s="3">
        <f t="shared" si="52"/>
        <v>-282.16649999999981</v>
      </c>
      <c r="U657" s="4">
        <f t="shared" si="53"/>
        <v>-0.10039113428943931</v>
      </c>
      <c r="V657" s="5">
        <f t="shared" si="54"/>
        <v>8.3550599999999982</v>
      </c>
    </row>
    <row r="658" spans="1:22" x14ac:dyDescent="0.25">
      <c r="A658" s="2" t="s">
        <v>692</v>
      </c>
      <c r="B658" s="2" t="s">
        <v>18</v>
      </c>
      <c r="C658" s="2" t="s">
        <v>19</v>
      </c>
      <c r="D658" s="2" t="s">
        <v>28</v>
      </c>
      <c r="E658" s="2">
        <v>548.6</v>
      </c>
      <c r="F658" s="2">
        <v>10.49</v>
      </c>
      <c r="G658" s="2">
        <v>28.41</v>
      </c>
      <c r="H658" s="2">
        <v>1.3</v>
      </c>
      <c r="I658" s="2">
        <v>0.8</v>
      </c>
      <c r="J658" s="2">
        <v>27</v>
      </c>
      <c r="K658" s="2" t="s">
        <v>34</v>
      </c>
      <c r="L658" s="2">
        <v>4.9800000000000004</v>
      </c>
      <c r="M658" s="2" t="s">
        <v>37</v>
      </c>
      <c r="N658" s="2">
        <v>79.680000000000007</v>
      </c>
      <c r="O658" s="2" t="s">
        <v>23</v>
      </c>
      <c r="P658" s="2">
        <v>5.77</v>
      </c>
      <c r="Q658" s="2">
        <v>7.67</v>
      </c>
      <c r="R658" s="3">
        <f t="shared" si="50"/>
        <v>3165.422</v>
      </c>
      <c r="S658" s="3">
        <f t="shared" si="51"/>
        <v>4207.7619999999997</v>
      </c>
      <c r="T658" s="3">
        <f t="shared" si="52"/>
        <v>1042.3399999999997</v>
      </c>
      <c r="U658" s="4">
        <f t="shared" si="53"/>
        <v>0.24771838331160359</v>
      </c>
      <c r="V658" s="5">
        <f t="shared" si="54"/>
        <v>27.320280000000004</v>
      </c>
    </row>
    <row r="659" spans="1:22" x14ac:dyDescent="0.25">
      <c r="A659" s="2" t="s">
        <v>693</v>
      </c>
      <c r="B659" s="2" t="s">
        <v>18</v>
      </c>
      <c r="C659" s="2" t="s">
        <v>27</v>
      </c>
      <c r="D659" s="2" t="s">
        <v>20</v>
      </c>
      <c r="E659" s="2">
        <v>345.27</v>
      </c>
      <c r="F659" s="2">
        <v>11.72</v>
      </c>
      <c r="G659" s="2">
        <v>29.62</v>
      </c>
      <c r="H659" s="2">
        <v>1</v>
      </c>
      <c r="I659" s="2">
        <v>0.3</v>
      </c>
      <c r="J659" s="2">
        <v>12</v>
      </c>
      <c r="K659" s="2" t="s">
        <v>29</v>
      </c>
      <c r="L659" s="2">
        <v>8.94</v>
      </c>
      <c r="M659" s="2" t="s">
        <v>40</v>
      </c>
      <c r="N659" s="2">
        <v>63.94</v>
      </c>
      <c r="O659" s="2" t="s">
        <v>24</v>
      </c>
      <c r="P659" s="2">
        <v>8.68</v>
      </c>
      <c r="Q659" s="2">
        <v>13.63</v>
      </c>
      <c r="R659" s="3">
        <f t="shared" si="50"/>
        <v>2996.9435999999996</v>
      </c>
      <c r="S659" s="3">
        <f t="shared" si="51"/>
        <v>4706.0300999999999</v>
      </c>
      <c r="T659" s="3">
        <f t="shared" si="52"/>
        <v>1709.0865000000003</v>
      </c>
      <c r="U659" s="4">
        <f t="shared" si="53"/>
        <v>0.36316947909024216</v>
      </c>
      <c r="V659" s="5">
        <f t="shared" si="54"/>
        <v>30.867137999999997</v>
      </c>
    </row>
    <row r="660" spans="1:22" x14ac:dyDescent="0.25">
      <c r="A660" s="2" t="s">
        <v>694</v>
      </c>
      <c r="B660" s="2" t="s">
        <v>26</v>
      </c>
      <c r="C660" s="2" t="s">
        <v>19</v>
      </c>
      <c r="D660" s="2" t="s">
        <v>28</v>
      </c>
      <c r="E660" s="2">
        <v>608.27</v>
      </c>
      <c r="F660" s="2">
        <v>10.55</v>
      </c>
      <c r="G660" s="2">
        <v>27.53</v>
      </c>
      <c r="H660" s="2">
        <v>4.9000000000000004</v>
      </c>
      <c r="I660" s="2">
        <v>0.4</v>
      </c>
      <c r="J660" s="2">
        <v>27</v>
      </c>
      <c r="K660" s="2" t="s">
        <v>21</v>
      </c>
      <c r="L660" s="2">
        <v>4.95</v>
      </c>
      <c r="M660" s="2" t="s">
        <v>40</v>
      </c>
      <c r="N660" s="2">
        <v>84.4</v>
      </c>
      <c r="O660" s="2" t="s">
        <v>24</v>
      </c>
      <c r="P660" s="2">
        <v>6.59</v>
      </c>
      <c r="Q660" s="2">
        <v>5.13</v>
      </c>
      <c r="R660" s="3">
        <f t="shared" si="50"/>
        <v>4008.4992999999999</v>
      </c>
      <c r="S660" s="3">
        <f t="shared" si="51"/>
        <v>3120.4250999999999</v>
      </c>
      <c r="T660" s="3">
        <f t="shared" si="52"/>
        <v>-888.07420000000002</v>
      </c>
      <c r="U660" s="4">
        <f t="shared" si="53"/>
        <v>-0.2846003898635478</v>
      </c>
      <c r="V660" s="5">
        <f t="shared" si="54"/>
        <v>30.109364999999997</v>
      </c>
    </row>
    <row r="661" spans="1:22" x14ac:dyDescent="0.25">
      <c r="A661" s="2" t="s">
        <v>695</v>
      </c>
      <c r="B661" s="2" t="s">
        <v>45</v>
      </c>
      <c r="C661" s="2" t="s">
        <v>27</v>
      </c>
      <c r="D661" s="2" t="s">
        <v>20</v>
      </c>
      <c r="E661" s="2">
        <v>452.89</v>
      </c>
      <c r="F661" s="2">
        <v>12.89</v>
      </c>
      <c r="G661" s="2">
        <v>27.26</v>
      </c>
      <c r="H661" s="2">
        <v>0.3</v>
      </c>
      <c r="I661" s="2">
        <v>1</v>
      </c>
      <c r="J661" s="2">
        <v>13</v>
      </c>
      <c r="K661" s="2" t="s">
        <v>21</v>
      </c>
      <c r="L661" s="2">
        <v>4.43</v>
      </c>
      <c r="M661" s="2" t="s">
        <v>40</v>
      </c>
      <c r="N661" s="2">
        <v>81.53</v>
      </c>
      <c r="O661" s="2" t="s">
        <v>23</v>
      </c>
      <c r="P661" s="2">
        <v>3.27</v>
      </c>
      <c r="Q661" s="2">
        <v>6.82</v>
      </c>
      <c r="R661" s="3">
        <f t="shared" si="50"/>
        <v>1480.9503</v>
      </c>
      <c r="S661" s="3">
        <f t="shared" si="51"/>
        <v>3088.7098000000001</v>
      </c>
      <c r="T661" s="3">
        <f t="shared" si="52"/>
        <v>1607.7595000000001</v>
      </c>
      <c r="U661" s="4">
        <f t="shared" si="53"/>
        <v>0.52052785923753664</v>
      </c>
      <c r="V661" s="5">
        <f t="shared" si="54"/>
        <v>20.063026999999998</v>
      </c>
    </row>
    <row r="662" spans="1:22" x14ac:dyDescent="0.25">
      <c r="A662" s="2" t="s">
        <v>696</v>
      </c>
      <c r="B662" s="2" t="s">
        <v>26</v>
      </c>
      <c r="C662" s="2" t="s">
        <v>33</v>
      </c>
      <c r="D662" s="2" t="s">
        <v>28</v>
      </c>
      <c r="E662" s="2">
        <v>490.64</v>
      </c>
      <c r="F662" s="2">
        <v>12.07</v>
      </c>
      <c r="G662" s="2">
        <v>21.05</v>
      </c>
      <c r="H662" s="2">
        <v>1.1000000000000001</v>
      </c>
      <c r="I662" s="2">
        <v>2</v>
      </c>
      <c r="J662" s="2">
        <v>22</v>
      </c>
      <c r="K662" s="2" t="s">
        <v>34</v>
      </c>
      <c r="L662" s="2">
        <v>5.99</v>
      </c>
      <c r="M662" s="2" t="s">
        <v>40</v>
      </c>
      <c r="N662" s="2">
        <v>58.61</v>
      </c>
      <c r="O662" s="2" t="s">
        <v>23</v>
      </c>
      <c r="P662" s="2">
        <v>9.6199999999999992</v>
      </c>
      <c r="Q662" s="2">
        <v>11.1</v>
      </c>
      <c r="R662" s="3">
        <f t="shared" si="50"/>
        <v>4719.9567999999999</v>
      </c>
      <c r="S662" s="3">
        <f t="shared" si="51"/>
        <v>5446.1039999999994</v>
      </c>
      <c r="T662" s="3">
        <f t="shared" si="52"/>
        <v>726.14719999999943</v>
      </c>
      <c r="U662" s="4">
        <f t="shared" si="53"/>
        <v>0.13333333333333325</v>
      </c>
      <c r="V662" s="5">
        <f t="shared" si="54"/>
        <v>29.389336</v>
      </c>
    </row>
    <row r="663" spans="1:22" x14ac:dyDescent="0.25">
      <c r="A663" s="2" t="s">
        <v>697</v>
      </c>
      <c r="B663" s="2" t="s">
        <v>18</v>
      </c>
      <c r="C663" s="2" t="s">
        <v>33</v>
      </c>
      <c r="D663" s="2" t="s">
        <v>28</v>
      </c>
      <c r="E663" s="2">
        <v>632.58000000000004</v>
      </c>
      <c r="F663" s="2">
        <v>17.87</v>
      </c>
      <c r="G663" s="2">
        <v>33.71</v>
      </c>
      <c r="H663" s="2">
        <v>0.8</v>
      </c>
      <c r="I663" s="2">
        <v>1.4</v>
      </c>
      <c r="J663" s="2">
        <v>8</v>
      </c>
      <c r="K663" s="2" t="s">
        <v>34</v>
      </c>
      <c r="L663" s="2">
        <v>2.94</v>
      </c>
      <c r="M663" s="2" t="s">
        <v>37</v>
      </c>
      <c r="N663" s="2">
        <v>58.11</v>
      </c>
      <c r="O663" s="2" t="s">
        <v>30</v>
      </c>
      <c r="P663" s="2">
        <v>3.58</v>
      </c>
      <c r="Q663" s="2">
        <v>13.17</v>
      </c>
      <c r="R663" s="3">
        <f t="shared" si="50"/>
        <v>2264.6364000000003</v>
      </c>
      <c r="S663" s="3">
        <f t="shared" si="51"/>
        <v>8331.0786000000007</v>
      </c>
      <c r="T663" s="3">
        <f t="shared" si="52"/>
        <v>6066.4422000000004</v>
      </c>
      <c r="U663" s="4">
        <f t="shared" si="53"/>
        <v>0.72817008352315871</v>
      </c>
      <c r="V663" s="5">
        <f t="shared" si="54"/>
        <v>18.597852</v>
      </c>
    </row>
    <row r="664" spans="1:22" x14ac:dyDescent="0.25">
      <c r="A664" s="2" t="s">
        <v>698</v>
      </c>
      <c r="B664" s="2" t="s">
        <v>32</v>
      </c>
      <c r="C664" s="2" t="s">
        <v>33</v>
      </c>
      <c r="D664" s="2" t="s">
        <v>28</v>
      </c>
      <c r="E664" s="2">
        <v>371.28</v>
      </c>
      <c r="F664" s="2">
        <v>8.56</v>
      </c>
      <c r="G664" s="2">
        <v>28.72</v>
      </c>
      <c r="H664" s="2">
        <v>1.4</v>
      </c>
      <c r="I664" s="2">
        <v>0.8</v>
      </c>
      <c r="J664" s="2">
        <v>15</v>
      </c>
      <c r="K664" s="2" t="s">
        <v>29</v>
      </c>
      <c r="L664" s="2">
        <v>3.86</v>
      </c>
      <c r="M664" s="2" t="s">
        <v>37</v>
      </c>
      <c r="N664" s="2">
        <v>77.36</v>
      </c>
      <c r="O664" s="2" t="s">
        <v>30</v>
      </c>
      <c r="P664" s="2">
        <v>7.18</v>
      </c>
      <c r="Q664" s="2">
        <v>8.58</v>
      </c>
      <c r="R664" s="3">
        <f t="shared" si="50"/>
        <v>2665.7903999999999</v>
      </c>
      <c r="S664" s="3">
        <f t="shared" si="51"/>
        <v>3185.5823999999998</v>
      </c>
      <c r="T664" s="3">
        <f t="shared" si="52"/>
        <v>519.79199999999992</v>
      </c>
      <c r="U664" s="4">
        <f t="shared" si="53"/>
        <v>0.16317016317016317</v>
      </c>
      <c r="V664" s="5">
        <f t="shared" si="54"/>
        <v>14.331408</v>
      </c>
    </row>
    <row r="665" spans="1:22" x14ac:dyDescent="0.25">
      <c r="A665" s="2" t="s">
        <v>699</v>
      </c>
      <c r="B665" s="2" t="s">
        <v>45</v>
      </c>
      <c r="C665" s="2" t="s">
        <v>19</v>
      </c>
      <c r="D665" s="2" t="s">
        <v>28</v>
      </c>
      <c r="E665" s="2">
        <v>360.29</v>
      </c>
      <c r="F665" s="2">
        <v>9.42</v>
      </c>
      <c r="G665" s="2">
        <v>23.9</v>
      </c>
      <c r="H665" s="2">
        <v>1.2</v>
      </c>
      <c r="I665" s="2">
        <v>0.4</v>
      </c>
      <c r="J665" s="2">
        <v>13</v>
      </c>
      <c r="K665" s="2" t="s">
        <v>29</v>
      </c>
      <c r="L665" s="2">
        <v>2.5299999999999998</v>
      </c>
      <c r="M665" s="2" t="s">
        <v>22</v>
      </c>
      <c r="N665" s="2">
        <v>82.97</v>
      </c>
      <c r="O665" s="2" t="s">
        <v>24</v>
      </c>
      <c r="P665" s="2">
        <v>9.14</v>
      </c>
      <c r="Q665" s="2">
        <v>11.53</v>
      </c>
      <c r="R665" s="3">
        <f t="shared" si="50"/>
        <v>3293.0506000000005</v>
      </c>
      <c r="S665" s="3">
        <f t="shared" si="51"/>
        <v>4154.1436999999996</v>
      </c>
      <c r="T665" s="3">
        <f t="shared" si="52"/>
        <v>861.09309999999914</v>
      </c>
      <c r="U665" s="4">
        <f t="shared" si="53"/>
        <v>0.20728534258456183</v>
      </c>
      <c r="V665" s="5">
        <f t="shared" si="54"/>
        <v>9.1153370000000002</v>
      </c>
    </row>
    <row r="666" spans="1:22" x14ac:dyDescent="0.25">
      <c r="A666" s="2" t="s">
        <v>700</v>
      </c>
      <c r="B666" s="2" t="s">
        <v>32</v>
      </c>
      <c r="C666" s="2" t="s">
        <v>33</v>
      </c>
      <c r="D666" s="2" t="s">
        <v>28</v>
      </c>
      <c r="E666" s="2">
        <v>441.64</v>
      </c>
      <c r="F666" s="2">
        <v>8.5299999999999994</v>
      </c>
      <c r="G666" s="2">
        <v>36.32</v>
      </c>
      <c r="H666" s="2">
        <v>1.5</v>
      </c>
      <c r="I666" s="2">
        <v>0.5</v>
      </c>
      <c r="J666" s="2">
        <v>1</v>
      </c>
      <c r="K666" s="2" t="s">
        <v>34</v>
      </c>
      <c r="L666" s="2">
        <v>5.93</v>
      </c>
      <c r="M666" s="2" t="s">
        <v>37</v>
      </c>
      <c r="N666" s="2">
        <v>98.1</v>
      </c>
      <c r="O666" s="2" t="s">
        <v>30</v>
      </c>
      <c r="P666" s="2">
        <v>3.56</v>
      </c>
      <c r="Q666" s="2">
        <v>10.57</v>
      </c>
      <c r="R666" s="3">
        <f t="shared" si="50"/>
        <v>1572.2384</v>
      </c>
      <c r="S666" s="3">
        <f t="shared" si="51"/>
        <v>4668.1347999999998</v>
      </c>
      <c r="T666" s="3">
        <f t="shared" si="52"/>
        <v>3095.8963999999996</v>
      </c>
      <c r="U666" s="4">
        <f t="shared" si="53"/>
        <v>0.6631977294228949</v>
      </c>
      <c r="V666" s="5">
        <f t="shared" si="54"/>
        <v>26.189251999999996</v>
      </c>
    </row>
    <row r="667" spans="1:22" x14ac:dyDescent="0.25">
      <c r="A667" s="2" t="s">
        <v>701</v>
      </c>
      <c r="B667" s="2" t="s">
        <v>32</v>
      </c>
      <c r="C667" s="2" t="s">
        <v>43</v>
      </c>
      <c r="D667" s="2" t="s">
        <v>20</v>
      </c>
      <c r="E667" s="2">
        <v>603.84</v>
      </c>
      <c r="F667" s="2">
        <v>14.26</v>
      </c>
      <c r="G667" s="2">
        <v>36.049999999999997</v>
      </c>
      <c r="H667" s="2">
        <v>0.3</v>
      </c>
      <c r="I667" s="2">
        <v>2.1</v>
      </c>
      <c r="J667" s="2">
        <v>22</v>
      </c>
      <c r="K667" s="2" t="s">
        <v>34</v>
      </c>
      <c r="L667" s="2">
        <v>7.13</v>
      </c>
      <c r="M667" s="2" t="s">
        <v>37</v>
      </c>
      <c r="N667" s="2">
        <v>71.099999999999994</v>
      </c>
      <c r="O667" s="2" t="s">
        <v>24</v>
      </c>
      <c r="P667" s="2">
        <v>6.88</v>
      </c>
      <c r="Q667" s="2">
        <v>5.65</v>
      </c>
      <c r="R667" s="3">
        <f t="shared" si="50"/>
        <v>4154.4192000000003</v>
      </c>
      <c r="S667" s="3">
        <f t="shared" si="51"/>
        <v>3411.6960000000004</v>
      </c>
      <c r="T667" s="3">
        <f t="shared" si="52"/>
        <v>-742.72319999999991</v>
      </c>
      <c r="U667" s="4">
        <f t="shared" si="53"/>
        <v>-0.21769911504424774</v>
      </c>
      <c r="V667" s="5">
        <f t="shared" si="54"/>
        <v>43.053792000000001</v>
      </c>
    </row>
    <row r="668" spans="1:22" x14ac:dyDescent="0.25">
      <c r="A668" s="2" t="s">
        <v>702</v>
      </c>
      <c r="B668" s="2" t="s">
        <v>45</v>
      </c>
      <c r="C668" s="2" t="s">
        <v>27</v>
      </c>
      <c r="D668" s="2" t="s">
        <v>20</v>
      </c>
      <c r="E668" s="2">
        <v>348.07</v>
      </c>
      <c r="F668" s="2">
        <v>8.5500000000000007</v>
      </c>
      <c r="G668" s="2">
        <v>29.73</v>
      </c>
      <c r="H668" s="2">
        <v>1.4</v>
      </c>
      <c r="I668" s="2">
        <v>0</v>
      </c>
      <c r="J668" s="2">
        <v>6</v>
      </c>
      <c r="K668" s="2" t="s">
        <v>29</v>
      </c>
      <c r="L668" s="2">
        <v>6.9</v>
      </c>
      <c r="M668" s="2" t="s">
        <v>37</v>
      </c>
      <c r="N668" s="2">
        <v>88.25</v>
      </c>
      <c r="O668" s="2" t="s">
        <v>23</v>
      </c>
      <c r="P668" s="2">
        <v>8.77</v>
      </c>
      <c r="Q668" s="2">
        <v>11.22</v>
      </c>
      <c r="R668" s="3">
        <f t="shared" si="50"/>
        <v>3052.5738999999999</v>
      </c>
      <c r="S668" s="3">
        <f t="shared" si="51"/>
        <v>3905.3454000000002</v>
      </c>
      <c r="T668" s="3">
        <f t="shared" si="52"/>
        <v>852.77150000000029</v>
      </c>
      <c r="U668" s="4">
        <f t="shared" si="53"/>
        <v>0.21836007130124785</v>
      </c>
      <c r="V668" s="5">
        <f t="shared" si="54"/>
        <v>24.016829999999999</v>
      </c>
    </row>
    <row r="669" spans="1:22" x14ac:dyDescent="0.25">
      <c r="A669" s="2" t="s">
        <v>703</v>
      </c>
      <c r="B669" s="2" t="s">
        <v>26</v>
      </c>
      <c r="C669" s="2" t="s">
        <v>27</v>
      </c>
      <c r="D669" s="2" t="s">
        <v>20</v>
      </c>
      <c r="E669" s="2">
        <v>216.78</v>
      </c>
      <c r="F669" s="2">
        <v>16.36</v>
      </c>
      <c r="G669" s="2">
        <v>25.97</v>
      </c>
      <c r="H669" s="2">
        <v>0.6</v>
      </c>
      <c r="I669" s="2">
        <v>4.4000000000000004</v>
      </c>
      <c r="J669" s="2">
        <v>11</v>
      </c>
      <c r="K669" s="2" t="s">
        <v>34</v>
      </c>
      <c r="L669" s="2">
        <v>2.92</v>
      </c>
      <c r="M669" s="2" t="s">
        <v>22</v>
      </c>
      <c r="N669" s="2">
        <v>55.83</v>
      </c>
      <c r="O669" s="2" t="s">
        <v>23</v>
      </c>
      <c r="P669" s="2">
        <v>9.9</v>
      </c>
      <c r="Q669" s="2">
        <v>13.14</v>
      </c>
      <c r="R669" s="3">
        <f t="shared" si="50"/>
        <v>2146.1220000000003</v>
      </c>
      <c r="S669" s="3">
        <f t="shared" si="51"/>
        <v>2848.4892</v>
      </c>
      <c r="T669" s="3">
        <f t="shared" si="52"/>
        <v>702.36719999999968</v>
      </c>
      <c r="U669" s="4">
        <f t="shared" si="53"/>
        <v>0.24657534246575333</v>
      </c>
      <c r="V669" s="5">
        <f t="shared" si="54"/>
        <v>6.3299760000000003</v>
      </c>
    </row>
    <row r="670" spans="1:22" x14ac:dyDescent="0.25">
      <c r="A670" s="2" t="s">
        <v>704</v>
      </c>
      <c r="B670" s="2" t="s">
        <v>32</v>
      </c>
      <c r="C670" s="2" t="s">
        <v>43</v>
      </c>
      <c r="D670" s="2" t="s">
        <v>20</v>
      </c>
      <c r="E670" s="2">
        <v>454.88</v>
      </c>
      <c r="F670" s="2">
        <v>13.12</v>
      </c>
      <c r="G670" s="2">
        <v>32.76</v>
      </c>
      <c r="H670" s="2">
        <v>0.4</v>
      </c>
      <c r="I670" s="2">
        <v>1.1000000000000001</v>
      </c>
      <c r="J670" s="2">
        <v>13</v>
      </c>
      <c r="K670" s="2" t="s">
        <v>34</v>
      </c>
      <c r="L670" s="2">
        <v>7.91</v>
      </c>
      <c r="M670" s="2" t="s">
        <v>37</v>
      </c>
      <c r="N670" s="2">
        <v>94.48</v>
      </c>
      <c r="O670" s="2" t="s">
        <v>24</v>
      </c>
      <c r="P670" s="2">
        <v>8.07</v>
      </c>
      <c r="Q670" s="2">
        <v>14.92</v>
      </c>
      <c r="R670" s="3">
        <f t="shared" si="50"/>
        <v>3670.8816000000002</v>
      </c>
      <c r="S670" s="3">
        <f t="shared" si="51"/>
        <v>6786.8095999999996</v>
      </c>
      <c r="T670" s="3">
        <f t="shared" si="52"/>
        <v>3115.9279999999994</v>
      </c>
      <c r="U670" s="4">
        <f t="shared" si="53"/>
        <v>0.4591152815013404</v>
      </c>
      <c r="V670" s="5">
        <f t="shared" si="54"/>
        <v>35.981008000000003</v>
      </c>
    </row>
    <row r="671" spans="1:22" x14ac:dyDescent="0.25">
      <c r="A671" s="2" t="s">
        <v>705</v>
      </c>
      <c r="B671" s="2" t="s">
        <v>18</v>
      </c>
      <c r="C671" s="2" t="s">
        <v>19</v>
      </c>
      <c r="D671" s="2" t="s">
        <v>20</v>
      </c>
      <c r="E671" s="2">
        <v>555.16999999999996</v>
      </c>
      <c r="F671" s="2">
        <v>13.27</v>
      </c>
      <c r="G671" s="2">
        <v>25.76</v>
      </c>
      <c r="H671" s="2">
        <v>0.1</v>
      </c>
      <c r="I671" s="2">
        <v>1.1000000000000001</v>
      </c>
      <c r="J671" s="2">
        <v>21</v>
      </c>
      <c r="K671" s="2" t="s">
        <v>34</v>
      </c>
      <c r="L671" s="2">
        <v>2.93</v>
      </c>
      <c r="M671" s="2" t="s">
        <v>37</v>
      </c>
      <c r="N671" s="2">
        <v>81.66</v>
      </c>
      <c r="O671" s="2" t="s">
        <v>30</v>
      </c>
      <c r="P671" s="2">
        <v>4.95</v>
      </c>
      <c r="Q671" s="2">
        <v>5.3</v>
      </c>
      <c r="R671" s="3">
        <f t="shared" si="50"/>
        <v>2748.0915</v>
      </c>
      <c r="S671" s="3">
        <f t="shared" si="51"/>
        <v>2942.4009999999998</v>
      </c>
      <c r="T671" s="3">
        <f t="shared" si="52"/>
        <v>194.30949999999984</v>
      </c>
      <c r="U671" s="4">
        <f t="shared" si="53"/>
        <v>6.6037735849056547E-2</v>
      </c>
      <c r="V671" s="5">
        <f t="shared" si="54"/>
        <v>16.266480999999999</v>
      </c>
    </row>
    <row r="672" spans="1:22" x14ac:dyDescent="0.25">
      <c r="A672" s="2" t="s">
        <v>706</v>
      </c>
      <c r="B672" s="2" t="s">
        <v>32</v>
      </c>
      <c r="C672" s="2" t="s">
        <v>19</v>
      </c>
      <c r="D672" s="2" t="s">
        <v>20</v>
      </c>
      <c r="E672" s="2">
        <v>620.03</v>
      </c>
      <c r="F672" s="2">
        <v>13.62</v>
      </c>
      <c r="G672" s="2">
        <v>24.72</v>
      </c>
      <c r="H672" s="2">
        <v>2.9</v>
      </c>
      <c r="I672" s="2">
        <v>0</v>
      </c>
      <c r="J672" s="2">
        <v>20</v>
      </c>
      <c r="K672" s="2" t="s">
        <v>34</v>
      </c>
      <c r="L672" s="2">
        <v>1.93</v>
      </c>
      <c r="M672" s="2" t="s">
        <v>37</v>
      </c>
      <c r="N672" s="2">
        <v>81.45</v>
      </c>
      <c r="O672" s="2" t="s">
        <v>30</v>
      </c>
      <c r="P672" s="2">
        <v>7.9</v>
      </c>
      <c r="Q672" s="2">
        <v>11.6</v>
      </c>
      <c r="R672" s="3">
        <f t="shared" si="50"/>
        <v>4898.2370000000001</v>
      </c>
      <c r="S672" s="3">
        <f t="shared" si="51"/>
        <v>7192.347999999999</v>
      </c>
      <c r="T672" s="3">
        <f t="shared" si="52"/>
        <v>2294.110999999999</v>
      </c>
      <c r="U672" s="4">
        <f t="shared" si="53"/>
        <v>0.31896551724137923</v>
      </c>
      <c r="V672" s="5">
        <f t="shared" si="54"/>
        <v>11.966578999999999</v>
      </c>
    </row>
    <row r="673" spans="1:22" x14ac:dyDescent="0.25">
      <c r="A673" s="2" t="s">
        <v>707</v>
      </c>
      <c r="B673" s="2" t="s">
        <v>45</v>
      </c>
      <c r="C673" s="2" t="s">
        <v>27</v>
      </c>
      <c r="D673" s="2" t="s">
        <v>28</v>
      </c>
      <c r="E673" s="2">
        <v>453.68</v>
      </c>
      <c r="F673" s="2">
        <v>9.7100000000000009</v>
      </c>
      <c r="G673" s="2">
        <v>34.61</v>
      </c>
      <c r="H673" s="2">
        <v>1.1000000000000001</v>
      </c>
      <c r="I673" s="2">
        <v>0.9</v>
      </c>
      <c r="J673" s="2">
        <v>1</v>
      </c>
      <c r="K673" s="2" t="s">
        <v>21</v>
      </c>
      <c r="L673" s="2">
        <v>3.82</v>
      </c>
      <c r="M673" s="2" t="s">
        <v>40</v>
      </c>
      <c r="N673" s="2">
        <v>57.12</v>
      </c>
      <c r="O673" s="2" t="s">
        <v>30</v>
      </c>
      <c r="P673" s="2">
        <v>7.94</v>
      </c>
      <c r="Q673" s="2">
        <v>9.15</v>
      </c>
      <c r="R673" s="3">
        <f t="shared" si="50"/>
        <v>3602.2192000000005</v>
      </c>
      <c r="S673" s="3">
        <f t="shared" si="51"/>
        <v>4151.1720000000005</v>
      </c>
      <c r="T673" s="3">
        <f t="shared" si="52"/>
        <v>548.95280000000002</v>
      </c>
      <c r="U673" s="4">
        <f t="shared" si="53"/>
        <v>0.13224043715846995</v>
      </c>
      <c r="V673" s="5">
        <f t="shared" si="54"/>
        <v>17.330575999999997</v>
      </c>
    </row>
    <row r="674" spans="1:22" x14ac:dyDescent="0.25">
      <c r="A674" s="2" t="s">
        <v>708</v>
      </c>
      <c r="B674" s="2" t="s">
        <v>45</v>
      </c>
      <c r="C674" s="2" t="s">
        <v>33</v>
      </c>
      <c r="D674" s="2" t="s">
        <v>28</v>
      </c>
      <c r="E674" s="2">
        <v>458.86</v>
      </c>
      <c r="F674" s="2">
        <v>9.98</v>
      </c>
      <c r="G674" s="2">
        <v>20.81</v>
      </c>
      <c r="H674" s="2">
        <v>2</v>
      </c>
      <c r="I674" s="2">
        <v>0.7</v>
      </c>
      <c r="J674" s="2">
        <v>11</v>
      </c>
      <c r="K674" s="2" t="s">
        <v>21</v>
      </c>
      <c r="L674" s="2">
        <v>6.18</v>
      </c>
      <c r="M674" s="2" t="s">
        <v>37</v>
      </c>
      <c r="N674" s="2">
        <v>51.98</v>
      </c>
      <c r="O674" s="2" t="s">
        <v>24</v>
      </c>
      <c r="P674" s="2">
        <v>7.9</v>
      </c>
      <c r="Q674" s="2">
        <v>5.0999999999999996</v>
      </c>
      <c r="R674" s="3">
        <f t="shared" si="50"/>
        <v>3624.9940000000001</v>
      </c>
      <c r="S674" s="3">
        <f t="shared" si="51"/>
        <v>2340.1859999999997</v>
      </c>
      <c r="T674" s="3">
        <f t="shared" si="52"/>
        <v>-1284.8080000000004</v>
      </c>
      <c r="U674" s="4">
        <f t="shared" si="53"/>
        <v>-0.54901960784313752</v>
      </c>
      <c r="V674" s="5">
        <f t="shared" si="54"/>
        <v>28.357548000000001</v>
      </c>
    </row>
    <row r="675" spans="1:22" x14ac:dyDescent="0.25">
      <c r="A675" s="2" t="s">
        <v>709</v>
      </c>
      <c r="B675" s="2" t="s">
        <v>45</v>
      </c>
      <c r="C675" s="2" t="s">
        <v>19</v>
      </c>
      <c r="D675" s="2" t="s">
        <v>20</v>
      </c>
      <c r="E675" s="2">
        <v>615.39</v>
      </c>
      <c r="F675" s="2">
        <v>11.19</v>
      </c>
      <c r="G675" s="2">
        <v>21.9</v>
      </c>
      <c r="H675" s="2">
        <v>2.6</v>
      </c>
      <c r="I675" s="2">
        <v>0.1</v>
      </c>
      <c r="J675" s="2">
        <v>26</v>
      </c>
      <c r="K675" s="2" t="s">
        <v>34</v>
      </c>
      <c r="L675" s="2">
        <v>1.85</v>
      </c>
      <c r="M675" s="2" t="s">
        <v>22</v>
      </c>
      <c r="N675" s="2">
        <v>85.07</v>
      </c>
      <c r="O675" s="2" t="s">
        <v>30</v>
      </c>
      <c r="P675" s="2">
        <v>8.98</v>
      </c>
      <c r="Q675" s="2">
        <v>11.14</v>
      </c>
      <c r="R675" s="3">
        <f t="shared" si="50"/>
        <v>5526.2021999999997</v>
      </c>
      <c r="S675" s="3">
        <f t="shared" si="51"/>
        <v>6855.4445999999998</v>
      </c>
      <c r="T675" s="3">
        <f t="shared" si="52"/>
        <v>1329.2424000000001</v>
      </c>
      <c r="U675" s="4">
        <f t="shared" si="53"/>
        <v>0.19389587073608619</v>
      </c>
      <c r="V675" s="5">
        <f t="shared" si="54"/>
        <v>11.384715000000002</v>
      </c>
    </row>
    <row r="676" spans="1:22" x14ac:dyDescent="0.25">
      <c r="A676" s="2" t="s">
        <v>710</v>
      </c>
      <c r="B676" s="2" t="s">
        <v>26</v>
      </c>
      <c r="C676" s="2" t="s">
        <v>19</v>
      </c>
      <c r="D676" s="2" t="s">
        <v>20</v>
      </c>
      <c r="E676" s="2">
        <v>313.02999999999997</v>
      </c>
      <c r="F676" s="2">
        <v>13.93</v>
      </c>
      <c r="G676" s="2">
        <v>20.14</v>
      </c>
      <c r="H676" s="2">
        <v>2.2999999999999998</v>
      </c>
      <c r="I676" s="2">
        <v>0.3</v>
      </c>
      <c r="J676" s="2">
        <v>11</v>
      </c>
      <c r="K676" s="2" t="s">
        <v>29</v>
      </c>
      <c r="L676" s="2">
        <v>6.66</v>
      </c>
      <c r="M676" s="2" t="s">
        <v>22</v>
      </c>
      <c r="N676" s="2">
        <v>55.85</v>
      </c>
      <c r="O676" s="2" t="s">
        <v>23</v>
      </c>
      <c r="P676" s="2">
        <v>3.61</v>
      </c>
      <c r="Q676" s="2">
        <v>6.22</v>
      </c>
      <c r="R676" s="3">
        <f t="shared" si="50"/>
        <v>1130.0382999999999</v>
      </c>
      <c r="S676" s="3">
        <f t="shared" si="51"/>
        <v>1947.0465999999997</v>
      </c>
      <c r="T676" s="3">
        <f t="shared" si="52"/>
        <v>817.00829999999974</v>
      </c>
      <c r="U676" s="4">
        <f t="shared" si="53"/>
        <v>0.41961414790996776</v>
      </c>
      <c r="V676" s="5">
        <f t="shared" si="54"/>
        <v>20.847797999999997</v>
      </c>
    </row>
    <row r="677" spans="1:22" x14ac:dyDescent="0.25">
      <c r="A677" s="2" t="s">
        <v>711</v>
      </c>
      <c r="B677" s="2" t="s">
        <v>32</v>
      </c>
      <c r="C677" s="2" t="s">
        <v>43</v>
      </c>
      <c r="D677" s="2" t="s">
        <v>28</v>
      </c>
      <c r="E677" s="2">
        <v>461.15</v>
      </c>
      <c r="F677" s="2">
        <v>10.1</v>
      </c>
      <c r="G677" s="2">
        <v>23.06</v>
      </c>
      <c r="H677" s="2">
        <v>1.3</v>
      </c>
      <c r="I677" s="2">
        <v>2.2000000000000002</v>
      </c>
      <c r="J677" s="2">
        <v>8</v>
      </c>
      <c r="K677" s="2" t="s">
        <v>21</v>
      </c>
      <c r="L677" s="2">
        <v>8.6999999999999993</v>
      </c>
      <c r="M677" s="2" t="s">
        <v>22</v>
      </c>
      <c r="N677" s="2">
        <v>56.35</v>
      </c>
      <c r="O677" s="2" t="s">
        <v>23</v>
      </c>
      <c r="P677" s="2">
        <v>3.76</v>
      </c>
      <c r="Q677" s="2">
        <v>8.7899999999999991</v>
      </c>
      <c r="R677" s="3">
        <f t="shared" si="50"/>
        <v>1733.9239999999998</v>
      </c>
      <c r="S677" s="3">
        <f t="shared" si="51"/>
        <v>4053.5084999999995</v>
      </c>
      <c r="T677" s="3">
        <f t="shared" si="52"/>
        <v>2319.5844999999999</v>
      </c>
      <c r="U677" s="4">
        <f t="shared" si="53"/>
        <v>0.57224118316268491</v>
      </c>
      <c r="V677" s="5">
        <f t="shared" si="54"/>
        <v>40.120049999999999</v>
      </c>
    </row>
    <row r="678" spans="1:22" x14ac:dyDescent="0.25">
      <c r="A678" s="2" t="s">
        <v>712</v>
      </c>
      <c r="B678" s="2" t="s">
        <v>26</v>
      </c>
      <c r="C678" s="2" t="s">
        <v>43</v>
      </c>
      <c r="D678" s="2" t="s">
        <v>28</v>
      </c>
      <c r="E678" s="2">
        <v>519.04</v>
      </c>
      <c r="F678" s="2">
        <v>9.16</v>
      </c>
      <c r="G678" s="2">
        <v>21.38</v>
      </c>
      <c r="H678" s="2">
        <v>1</v>
      </c>
      <c r="I678" s="2">
        <v>0.8</v>
      </c>
      <c r="J678" s="2">
        <v>22</v>
      </c>
      <c r="K678" s="2" t="s">
        <v>29</v>
      </c>
      <c r="L678" s="2">
        <v>3.28</v>
      </c>
      <c r="M678" s="2" t="s">
        <v>22</v>
      </c>
      <c r="N678" s="2">
        <v>59.38</v>
      </c>
      <c r="O678" s="2" t="s">
        <v>23</v>
      </c>
      <c r="P678" s="2">
        <v>7.48</v>
      </c>
      <c r="Q678" s="2">
        <v>7.61</v>
      </c>
      <c r="R678" s="3">
        <f t="shared" si="50"/>
        <v>3882.4191999999998</v>
      </c>
      <c r="S678" s="3">
        <f t="shared" si="51"/>
        <v>3949.8943999999997</v>
      </c>
      <c r="T678" s="3">
        <f t="shared" si="52"/>
        <v>67.475199999999859</v>
      </c>
      <c r="U678" s="4">
        <f t="shared" si="53"/>
        <v>1.7082785808147139E-2</v>
      </c>
      <c r="V678" s="5">
        <f t="shared" si="54"/>
        <v>17.024511999999998</v>
      </c>
    </row>
    <row r="679" spans="1:22" x14ac:dyDescent="0.25">
      <c r="A679" s="2" t="s">
        <v>713</v>
      </c>
      <c r="B679" s="2" t="s">
        <v>26</v>
      </c>
      <c r="C679" s="2" t="s">
        <v>33</v>
      </c>
      <c r="D679" s="2" t="s">
        <v>28</v>
      </c>
      <c r="E679" s="2">
        <v>544.91999999999996</v>
      </c>
      <c r="F679" s="2">
        <v>17.7</v>
      </c>
      <c r="G679" s="2">
        <v>39.92</v>
      </c>
      <c r="H679" s="2">
        <v>0.9</v>
      </c>
      <c r="I679" s="2">
        <v>0.5</v>
      </c>
      <c r="J679" s="2">
        <v>3</v>
      </c>
      <c r="K679" s="2" t="s">
        <v>29</v>
      </c>
      <c r="L679" s="2">
        <v>4.78</v>
      </c>
      <c r="M679" s="2" t="s">
        <v>40</v>
      </c>
      <c r="N679" s="2">
        <v>54.89</v>
      </c>
      <c r="O679" s="2" t="s">
        <v>23</v>
      </c>
      <c r="P679" s="2">
        <v>9.68</v>
      </c>
      <c r="Q679" s="2">
        <v>8.61</v>
      </c>
      <c r="R679" s="3">
        <f t="shared" si="50"/>
        <v>5274.8255999999992</v>
      </c>
      <c r="S679" s="3">
        <f t="shared" si="51"/>
        <v>4691.761199999999</v>
      </c>
      <c r="T679" s="3">
        <f t="shared" si="52"/>
        <v>-583.06440000000021</v>
      </c>
      <c r="U679" s="4">
        <f t="shared" si="53"/>
        <v>-0.12427409988385606</v>
      </c>
      <c r="V679" s="5">
        <f t="shared" si="54"/>
        <v>26.047176</v>
      </c>
    </row>
    <row r="680" spans="1:22" x14ac:dyDescent="0.25">
      <c r="A680" s="2" t="s">
        <v>714</v>
      </c>
      <c r="B680" s="2" t="s">
        <v>45</v>
      </c>
      <c r="C680" s="2" t="s">
        <v>19</v>
      </c>
      <c r="D680" s="2" t="s">
        <v>20</v>
      </c>
      <c r="E680" s="2">
        <v>449.02</v>
      </c>
      <c r="F680" s="2">
        <v>8.2200000000000006</v>
      </c>
      <c r="G680" s="2">
        <v>25.78</v>
      </c>
      <c r="H680" s="2">
        <v>2</v>
      </c>
      <c r="I680" s="2">
        <v>0.1</v>
      </c>
      <c r="J680" s="2">
        <v>28</v>
      </c>
      <c r="K680" s="2" t="s">
        <v>21</v>
      </c>
      <c r="L680" s="2">
        <v>2.67</v>
      </c>
      <c r="M680" s="2" t="s">
        <v>22</v>
      </c>
      <c r="N680" s="2">
        <v>81.27</v>
      </c>
      <c r="O680" s="2" t="s">
        <v>23</v>
      </c>
      <c r="P680" s="2">
        <v>6.26</v>
      </c>
      <c r="Q680" s="2">
        <v>9.93</v>
      </c>
      <c r="R680" s="3">
        <f t="shared" si="50"/>
        <v>2810.8651999999997</v>
      </c>
      <c r="S680" s="3">
        <f t="shared" si="51"/>
        <v>4458.7685999999994</v>
      </c>
      <c r="T680" s="3">
        <f t="shared" si="52"/>
        <v>1647.9033999999997</v>
      </c>
      <c r="U680" s="4">
        <f t="shared" si="53"/>
        <v>0.36958710976837861</v>
      </c>
      <c r="V680" s="5">
        <f t="shared" si="54"/>
        <v>11.988833999999999</v>
      </c>
    </row>
    <row r="681" spans="1:22" x14ac:dyDescent="0.25">
      <c r="A681" s="2" t="s">
        <v>715</v>
      </c>
      <c r="B681" s="2" t="s">
        <v>45</v>
      </c>
      <c r="C681" s="2" t="s">
        <v>19</v>
      </c>
      <c r="D681" s="2" t="s">
        <v>20</v>
      </c>
      <c r="E681" s="2">
        <v>503.44</v>
      </c>
      <c r="F681" s="2">
        <v>16.03</v>
      </c>
      <c r="G681" s="2">
        <v>22.99</v>
      </c>
      <c r="H681" s="2">
        <v>1.4</v>
      </c>
      <c r="I681" s="2">
        <v>1.3</v>
      </c>
      <c r="J681" s="2">
        <v>19</v>
      </c>
      <c r="K681" s="2" t="s">
        <v>29</v>
      </c>
      <c r="L681" s="2">
        <v>3.93</v>
      </c>
      <c r="M681" s="2" t="s">
        <v>40</v>
      </c>
      <c r="N681" s="2">
        <v>71.099999999999994</v>
      </c>
      <c r="O681" s="2" t="s">
        <v>23</v>
      </c>
      <c r="P681" s="2">
        <v>9.7200000000000006</v>
      </c>
      <c r="Q681" s="2">
        <v>8.59</v>
      </c>
      <c r="R681" s="3">
        <f t="shared" si="50"/>
        <v>4893.4368000000004</v>
      </c>
      <c r="S681" s="3">
        <f t="shared" si="51"/>
        <v>4324.5496000000003</v>
      </c>
      <c r="T681" s="3">
        <f t="shared" si="52"/>
        <v>-568.88720000000012</v>
      </c>
      <c r="U681" s="4">
        <f t="shared" si="53"/>
        <v>-0.13154831199068687</v>
      </c>
      <c r="V681" s="5">
        <f t="shared" si="54"/>
        <v>19.785192000000002</v>
      </c>
    </row>
    <row r="682" spans="1:22" x14ac:dyDescent="0.25">
      <c r="A682" s="2" t="s">
        <v>716</v>
      </c>
      <c r="B682" s="2" t="s">
        <v>26</v>
      </c>
      <c r="C682" s="2" t="s">
        <v>43</v>
      </c>
      <c r="D682" s="2" t="s">
        <v>20</v>
      </c>
      <c r="E682" s="2">
        <v>251.17</v>
      </c>
      <c r="F682" s="2">
        <v>15.88</v>
      </c>
      <c r="G682" s="2">
        <v>24.82</v>
      </c>
      <c r="H682" s="2">
        <v>3.8</v>
      </c>
      <c r="I682" s="2">
        <v>1.2</v>
      </c>
      <c r="J682" s="2">
        <v>12</v>
      </c>
      <c r="K682" s="2" t="s">
        <v>29</v>
      </c>
      <c r="L682" s="2">
        <v>0.71</v>
      </c>
      <c r="M682" s="2" t="s">
        <v>40</v>
      </c>
      <c r="N682" s="2">
        <v>63.3</v>
      </c>
      <c r="O682" s="2" t="s">
        <v>23</v>
      </c>
      <c r="P682" s="2">
        <v>9.57</v>
      </c>
      <c r="Q682" s="2">
        <v>10.53</v>
      </c>
      <c r="R682" s="3">
        <f t="shared" si="50"/>
        <v>2403.6968999999999</v>
      </c>
      <c r="S682" s="3">
        <f t="shared" si="51"/>
        <v>2644.8200999999999</v>
      </c>
      <c r="T682" s="3">
        <f t="shared" si="52"/>
        <v>241.1232</v>
      </c>
      <c r="U682" s="4">
        <f t="shared" si="53"/>
        <v>9.1168091168091173E-2</v>
      </c>
      <c r="V682" s="5">
        <f t="shared" si="54"/>
        <v>1.7833069999999998</v>
      </c>
    </row>
    <row r="683" spans="1:22" x14ac:dyDescent="0.25">
      <c r="A683" s="2" t="s">
        <v>717</v>
      </c>
      <c r="B683" s="2" t="s">
        <v>32</v>
      </c>
      <c r="C683" s="2" t="s">
        <v>19</v>
      </c>
      <c r="D683" s="2" t="s">
        <v>28</v>
      </c>
      <c r="E683" s="2">
        <v>434.18</v>
      </c>
      <c r="F683" s="2">
        <v>10.97</v>
      </c>
      <c r="G683" s="2">
        <v>38.72</v>
      </c>
      <c r="H683" s="2">
        <v>4.2</v>
      </c>
      <c r="I683" s="2">
        <v>1</v>
      </c>
      <c r="J683" s="2">
        <v>6</v>
      </c>
      <c r="K683" s="2" t="s">
        <v>34</v>
      </c>
      <c r="L683" s="2">
        <v>9.56</v>
      </c>
      <c r="M683" s="2" t="s">
        <v>40</v>
      </c>
      <c r="N683" s="2">
        <v>72.040000000000006</v>
      </c>
      <c r="O683" s="2" t="s">
        <v>23</v>
      </c>
      <c r="P683" s="2">
        <v>9.32</v>
      </c>
      <c r="Q683" s="2">
        <v>7.39</v>
      </c>
      <c r="R683" s="3">
        <f t="shared" si="50"/>
        <v>4046.5576000000001</v>
      </c>
      <c r="S683" s="3">
        <f t="shared" si="51"/>
        <v>3208.5902000000001</v>
      </c>
      <c r="T683" s="3">
        <f t="shared" si="52"/>
        <v>-837.9674</v>
      </c>
      <c r="U683" s="4">
        <f t="shared" si="53"/>
        <v>-0.26116373477672528</v>
      </c>
      <c r="V683" s="5">
        <f t="shared" si="54"/>
        <v>41.507607999999998</v>
      </c>
    </row>
    <row r="684" spans="1:22" x14ac:dyDescent="0.25">
      <c r="A684" s="2" t="s">
        <v>718</v>
      </c>
      <c r="B684" s="2" t="s">
        <v>18</v>
      </c>
      <c r="C684" s="2" t="s">
        <v>27</v>
      </c>
      <c r="D684" s="2" t="s">
        <v>28</v>
      </c>
      <c r="E684" s="2">
        <v>545.35</v>
      </c>
      <c r="F684" s="2">
        <v>9.36</v>
      </c>
      <c r="G684" s="2">
        <v>30.4</v>
      </c>
      <c r="H684" s="2">
        <v>0.4</v>
      </c>
      <c r="I684" s="2">
        <v>0.7</v>
      </c>
      <c r="J684" s="2">
        <v>28</v>
      </c>
      <c r="K684" s="2" t="s">
        <v>34</v>
      </c>
      <c r="L684" s="2">
        <v>4.45</v>
      </c>
      <c r="M684" s="2" t="s">
        <v>22</v>
      </c>
      <c r="N684" s="2">
        <v>92.21</v>
      </c>
      <c r="O684" s="2" t="s">
        <v>23</v>
      </c>
      <c r="P684" s="2">
        <v>9.3699999999999992</v>
      </c>
      <c r="Q684" s="2">
        <v>11.35</v>
      </c>
      <c r="R684" s="3">
        <f t="shared" si="50"/>
        <v>5109.9295000000002</v>
      </c>
      <c r="S684" s="3">
        <f t="shared" si="51"/>
        <v>6189.7224999999999</v>
      </c>
      <c r="T684" s="3">
        <f t="shared" si="52"/>
        <v>1079.7929999999997</v>
      </c>
      <c r="U684" s="4">
        <f t="shared" si="53"/>
        <v>0.17444933920704842</v>
      </c>
      <c r="V684" s="5">
        <f t="shared" si="54"/>
        <v>24.268075000000003</v>
      </c>
    </row>
    <row r="685" spans="1:22" x14ac:dyDescent="0.25">
      <c r="A685" s="2" t="s">
        <v>719</v>
      </c>
      <c r="B685" s="2" t="s">
        <v>26</v>
      </c>
      <c r="C685" s="2" t="s">
        <v>43</v>
      </c>
      <c r="D685" s="2" t="s">
        <v>20</v>
      </c>
      <c r="E685" s="2">
        <v>401.77</v>
      </c>
      <c r="F685" s="2">
        <v>9.4600000000000009</v>
      </c>
      <c r="G685" s="2">
        <v>27.3</v>
      </c>
      <c r="H685" s="2">
        <v>0.3</v>
      </c>
      <c r="I685" s="2">
        <v>0.6</v>
      </c>
      <c r="J685" s="2">
        <v>23</v>
      </c>
      <c r="K685" s="2" t="s">
        <v>34</v>
      </c>
      <c r="L685" s="2">
        <v>7.99</v>
      </c>
      <c r="M685" s="2" t="s">
        <v>22</v>
      </c>
      <c r="N685" s="2">
        <v>96.35</v>
      </c>
      <c r="O685" s="2" t="s">
        <v>24</v>
      </c>
      <c r="P685" s="2">
        <v>9.2899999999999991</v>
      </c>
      <c r="Q685" s="2">
        <v>13.54</v>
      </c>
      <c r="R685" s="3">
        <f t="shared" si="50"/>
        <v>3732.4432999999995</v>
      </c>
      <c r="S685" s="3">
        <f t="shared" si="51"/>
        <v>5439.965799999999</v>
      </c>
      <c r="T685" s="3">
        <f t="shared" si="52"/>
        <v>1707.5224999999996</v>
      </c>
      <c r="U685" s="4">
        <f t="shared" si="53"/>
        <v>0.31388478581979318</v>
      </c>
      <c r="V685" s="5">
        <f t="shared" si="54"/>
        <v>32.101422999999997</v>
      </c>
    </row>
    <row r="686" spans="1:22" x14ac:dyDescent="0.25">
      <c r="A686" s="2" t="s">
        <v>720</v>
      </c>
      <c r="B686" s="2" t="s">
        <v>32</v>
      </c>
      <c r="C686" s="2" t="s">
        <v>33</v>
      </c>
      <c r="D686" s="2" t="s">
        <v>20</v>
      </c>
      <c r="E686" s="2">
        <v>505.9</v>
      </c>
      <c r="F686" s="2">
        <v>14.97</v>
      </c>
      <c r="G686" s="2">
        <v>37.47</v>
      </c>
      <c r="H686" s="2">
        <v>2</v>
      </c>
      <c r="I686" s="2">
        <v>0.9</v>
      </c>
      <c r="J686" s="2">
        <v>8</v>
      </c>
      <c r="K686" s="2" t="s">
        <v>21</v>
      </c>
      <c r="L686" s="2">
        <v>1.86</v>
      </c>
      <c r="M686" s="2" t="s">
        <v>40</v>
      </c>
      <c r="N686" s="2">
        <v>74.37</v>
      </c>
      <c r="O686" s="2" t="s">
        <v>24</v>
      </c>
      <c r="P686" s="2">
        <v>8.74</v>
      </c>
      <c r="Q686" s="2">
        <v>7.24</v>
      </c>
      <c r="R686" s="3">
        <f t="shared" si="50"/>
        <v>4421.5659999999998</v>
      </c>
      <c r="S686" s="3">
        <f t="shared" si="51"/>
        <v>3662.7159999999999</v>
      </c>
      <c r="T686" s="3">
        <f t="shared" si="52"/>
        <v>-758.84999999999991</v>
      </c>
      <c r="U686" s="4">
        <f t="shared" si="53"/>
        <v>-0.20718232044198892</v>
      </c>
      <c r="V686" s="5">
        <f t="shared" si="54"/>
        <v>9.4097400000000011</v>
      </c>
    </row>
    <row r="687" spans="1:22" x14ac:dyDescent="0.25">
      <c r="A687" s="2" t="s">
        <v>721</v>
      </c>
      <c r="B687" s="2" t="s">
        <v>45</v>
      </c>
      <c r="C687" s="2" t="s">
        <v>43</v>
      </c>
      <c r="D687" s="2" t="s">
        <v>28</v>
      </c>
      <c r="E687" s="2">
        <v>544.69000000000005</v>
      </c>
      <c r="F687" s="2">
        <v>14.43</v>
      </c>
      <c r="G687" s="2">
        <v>27.9</v>
      </c>
      <c r="H687" s="2">
        <v>0.7</v>
      </c>
      <c r="I687" s="2">
        <v>0.3</v>
      </c>
      <c r="J687" s="2">
        <v>5</v>
      </c>
      <c r="K687" s="2" t="s">
        <v>34</v>
      </c>
      <c r="L687" s="2">
        <v>8.2200000000000006</v>
      </c>
      <c r="M687" s="2" t="s">
        <v>40</v>
      </c>
      <c r="N687" s="2">
        <v>78.34</v>
      </c>
      <c r="O687" s="2" t="s">
        <v>23</v>
      </c>
      <c r="P687" s="2">
        <v>7.86</v>
      </c>
      <c r="Q687" s="2">
        <v>10.08</v>
      </c>
      <c r="R687" s="3">
        <f t="shared" si="50"/>
        <v>4281.2634000000007</v>
      </c>
      <c r="S687" s="3">
        <f t="shared" si="51"/>
        <v>5490.4752000000008</v>
      </c>
      <c r="T687" s="3">
        <f t="shared" si="52"/>
        <v>1209.2118</v>
      </c>
      <c r="U687" s="4">
        <f t="shared" si="53"/>
        <v>0.22023809523809521</v>
      </c>
      <c r="V687" s="5">
        <f t="shared" si="54"/>
        <v>44.773518000000003</v>
      </c>
    </row>
    <row r="688" spans="1:22" x14ac:dyDescent="0.25">
      <c r="A688" s="2" t="s">
        <v>722</v>
      </c>
      <c r="B688" s="2" t="s">
        <v>45</v>
      </c>
      <c r="C688" s="2" t="s">
        <v>19</v>
      </c>
      <c r="D688" s="2" t="s">
        <v>28</v>
      </c>
      <c r="E688" s="2">
        <v>465.75</v>
      </c>
      <c r="F688" s="2">
        <v>15.83</v>
      </c>
      <c r="G688" s="2">
        <v>26.7</v>
      </c>
      <c r="H688" s="2">
        <v>0</v>
      </c>
      <c r="I688" s="2">
        <v>2.8</v>
      </c>
      <c r="J688" s="2">
        <v>10</v>
      </c>
      <c r="K688" s="2" t="s">
        <v>29</v>
      </c>
      <c r="L688" s="2">
        <v>8.67</v>
      </c>
      <c r="M688" s="2" t="s">
        <v>22</v>
      </c>
      <c r="N688" s="2">
        <v>62.86</v>
      </c>
      <c r="O688" s="2" t="s">
        <v>23</v>
      </c>
      <c r="P688" s="2">
        <v>3.17</v>
      </c>
      <c r="Q688" s="2">
        <v>11.49</v>
      </c>
      <c r="R688" s="3">
        <f t="shared" si="50"/>
        <v>1476.4275</v>
      </c>
      <c r="S688" s="3">
        <f t="shared" si="51"/>
        <v>5351.4674999999997</v>
      </c>
      <c r="T688" s="3">
        <f t="shared" si="52"/>
        <v>3875.04</v>
      </c>
      <c r="U688" s="4">
        <f t="shared" si="53"/>
        <v>0.72410791993037427</v>
      </c>
      <c r="V688" s="5">
        <f t="shared" si="54"/>
        <v>40.380524999999999</v>
      </c>
    </row>
    <row r="689" spans="1:22" x14ac:dyDescent="0.25">
      <c r="A689" s="2" t="s">
        <v>723</v>
      </c>
      <c r="B689" s="2" t="s">
        <v>32</v>
      </c>
      <c r="C689" s="2" t="s">
        <v>33</v>
      </c>
      <c r="D689" s="2" t="s">
        <v>28</v>
      </c>
      <c r="E689" s="2">
        <v>517.04999999999995</v>
      </c>
      <c r="F689" s="2">
        <v>17.37</v>
      </c>
      <c r="G689" s="2">
        <v>24.15</v>
      </c>
      <c r="H689" s="2">
        <v>4.4000000000000004</v>
      </c>
      <c r="I689" s="2">
        <v>0.9</v>
      </c>
      <c r="J689" s="2">
        <v>22</v>
      </c>
      <c r="K689" s="2" t="s">
        <v>29</v>
      </c>
      <c r="L689" s="2">
        <v>7.3</v>
      </c>
      <c r="M689" s="2" t="s">
        <v>37</v>
      </c>
      <c r="N689" s="2">
        <v>75.680000000000007</v>
      </c>
      <c r="O689" s="2" t="s">
        <v>23</v>
      </c>
      <c r="P689" s="2">
        <v>3.93</v>
      </c>
      <c r="Q689" s="2">
        <v>10.65</v>
      </c>
      <c r="R689" s="3">
        <f t="shared" si="50"/>
        <v>2032.0065</v>
      </c>
      <c r="S689" s="3">
        <f t="shared" si="51"/>
        <v>5506.5824999999995</v>
      </c>
      <c r="T689" s="3">
        <f t="shared" si="52"/>
        <v>3474.5759999999996</v>
      </c>
      <c r="U689" s="4">
        <f t="shared" si="53"/>
        <v>0.63098591549295768</v>
      </c>
      <c r="V689" s="5">
        <f t="shared" si="54"/>
        <v>37.74465</v>
      </c>
    </row>
    <row r="690" spans="1:22" x14ac:dyDescent="0.25">
      <c r="A690" s="2" t="s">
        <v>724</v>
      </c>
      <c r="B690" s="2" t="s">
        <v>18</v>
      </c>
      <c r="C690" s="2" t="s">
        <v>43</v>
      </c>
      <c r="D690" s="2" t="s">
        <v>28</v>
      </c>
      <c r="E690" s="2">
        <v>403.73</v>
      </c>
      <c r="F690" s="2">
        <v>14.92</v>
      </c>
      <c r="G690" s="2">
        <v>27.56</v>
      </c>
      <c r="H690" s="2">
        <v>0.5</v>
      </c>
      <c r="I690" s="2">
        <v>0.4</v>
      </c>
      <c r="J690" s="2">
        <v>16</v>
      </c>
      <c r="K690" s="2" t="s">
        <v>29</v>
      </c>
      <c r="L690" s="2">
        <v>9.08</v>
      </c>
      <c r="M690" s="2" t="s">
        <v>37</v>
      </c>
      <c r="N690" s="2">
        <v>87.41</v>
      </c>
      <c r="O690" s="2" t="s">
        <v>30</v>
      </c>
      <c r="P690" s="2">
        <v>3.94</v>
      </c>
      <c r="Q690" s="2">
        <v>8.66</v>
      </c>
      <c r="R690" s="3">
        <f t="shared" si="50"/>
        <v>1590.6962000000001</v>
      </c>
      <c r="S690" s="3">
        <f t="shared" si="51"/>
        <v>3496.3018000000002</v>
      </c>
      <c r="T690" s="3">
        <f t="shared" si="52"/>
        <v>1905.6056000000001</v>
      </c>
      <c r="U690" s="4">
        <f t="shared" si="53"/>
        <v>0.54503464203233254</v>
      </c>
      <c r="V690" s="5">
        <f t="shared" si="54"/>
        <v>36.658684000000001</v>
      </c>
    </row>
    <row r="691" spans="1:22" x14ac:dyDescent="0.25">
      <c r="A691" s="2" t="s">
        <v>725</v>
      </c>
      <c r="B691" s="2" t="s">
        <v>45</v>
      </c>
      <c r="C691" s="2" t="s">
        <v>27</v>
      </c>
      <c r="D691" s="2" t="s">
        <v>20</v>
      </c>
      <c r="E691" s="2">
        <v>479.34</v>
      </c>
      <c r="F691" s="2">
        <v>9.56</v>
      </c>
      <c r="G691" s="2">
        <v>26.33</v>
      </c>
      <c r="H691" s="2">
        <v>5.3</v>
      </c>
      <c r="I691" s="2">
        <v>0.6</v>
      </c>
      <c r="J691" s="2">
        <v>12</v>
      </c>
      <c r="K691" s="2" t="s">
        <v>29</v>
      </c>
      <c r="L691" s="2">
        <v>2.09</v>
      </c>
      <c r="M691" s="2" t="s">
        <v>37</v>
      </c>
      <c r="N691" s="2">
        <v>74.61</v>
      </c>
      <c r="O691" s="2" t="s">
        <v>24</v>
      </c>
      <c r="P691" s="2">
        <v>3.16</v>
      </c>
      <c r="Q691" s="2">
        <v>11.42</v>
      </c>
      <c r="R691" s="3">
        <f t="shared" si="50"/>
        <v>1514.7144000000001</v>
      </c>
      <c r="S691" s="3">
        <f t="shared" si="51"/>
        <v>5474.0627999999997</v>
      </c>
      <c r="T691" s="3">
        <f t="shared" si="52"/>
        <v>3959.3483999999999</v>
      </c>
      <c r="U691" s="4">
        <f t="shared" si="53"/>
        <v>0.72329246935201408</v>
      </c>
      <c r="V691" s="5">
        <f t="shared" si="54"/>
        <v>10.018205999999999</v>
      </c>
    </row>
    <row r="692" spans="1:22" x14ac:dyDescent="0.25">
      <c r="A692" s="2" t="s">
        <v>726</v>
      </c>
      <c r="B692" s="2" t="s">
        <v>45</v>
      </c>
      <c r="C692" s="2" t="s">
        <v>27</v>
      </c>
      <c r="D692" s="2" t="s">
        <v>28</v>
      </c>
      <c r="E692" s="2">
        <v>561.02</v>
      </c>
      <c r="F692" s="2">
        <v>10.43</v>
      </c>
      <c r="G692" s="2">
        <v>33.549999999999997</v>
      </c>
      <c r="H692" s="2">
        <v>2.5</v>
      </c>
      <c r="I692" s="2">
        <v>1.6</v>
      </c>
      <c r="J692" s="2">
        <v>17</v>
      </c>
      <c r="K692" s="2" t="s">
        <v>29</v>
      </c>
      <c r="L692" s="2">
        <v>5.03</v>
      </c>
      <c r="M692" s="2" t="s">
        <v>22</v>
      </c>
      <c r="N692" s="2">
        <v>65.099999999999994</v>
      </c>
      <c r="O692" s="2" t="s">
        <v>23</v>
      </c>
      <c r="P692" s="2">
        <v>3.82</v>
      </c>
      <c r="Q692" s="2">
        <v>5.28</v>
      </c>
      <c r="R692" s="3">
        <f t="shared" si="50"/>
        <v>2143.0963999999999</v>
      </c>
      <c r="S692" s="3">
        <f t="shared" si="51"/>
        <v>2962.1856000000002</v>
      </c>
      <c r="T692" s="3">
        <f t="shared" si="52"/>
        <v>819.08920000000035</v>
      </c>
      <c r="U692" s="4">
        <f t="shared" si="53"/>
        <v>0.2765151515151516</v>
      </c>
      <c r="V692" s="5">
        <f t="shared" si="54"/>
        <v>28.219306000000003</v>
      </c>
    </row>
    <row r="693" spans="1:22" x14ac:dyDescent="0.25">
      <c r="A693" s="2" t="s">
        <v>727</v>
      </c>
      <c r="B693" s="2" t="s">
        <v>45</v>
      </c>
      <c r="C693" s="2" t="s">
        <v>43</v>
      </c>
      <c r="D693" s="2" t="s">
        <v>28</v>
      </c>
      <c r="E693" s="2">
        <v>515.70000000000005</v>
      </c>
      <c r="F693" s="2">
        <v>16.420000000000002</v>
      </c>
      <c r="G693" s="2">
        <v>25.79</v>
      </c>
      <c r="H693" s="2">
        <v>2.9</v>
      </c>
      <c r="I693" s="2">
        <v>0.2</v>
      </c>
      <c r="J693" s="2">
        <v>6</v>
      </c>
      <c r="K693" s="2" t="s">
        <v>21</v>
      </c>
      <c r="L693" s="2">
        <v>6.39</v>
      </c>
      <c r="M693" s="2" t="s">
        <v>22</v>
      </c>
      <c r="N693" s="2">
        <v>79.099999999999994</v>
      </c>
      <c r="O693" s="2" t="s">
        <v>24</v>
      </c>
      <c r="P693" s="2">
        <v>9.44</v>
      </c>
      <c r="Q693" s="2">
        <v>8.6999999999999993</v>
      </c>
      <c r="R693" s="3">
        <f t="shared" si="50"/>
        <v>4868.2080000000005</v>
      </c>
      <c r="S693" s="3">
        <f t="shared" si="51"/>
        <v>4486.59</v>
      </c>
      <c r="T693" s="3">
        <f t="shared" si="52"/>
        <v>-381.61800000000039</v>
      </c>
      <c r="U693" s="4">
        <f t="shared" si="53"/>
        <v>-8.5057471264367898E-2</v>
      </c>
      <c r="V693" s="5">
        <f t="shared" si="54"/>
        <v>32.953230000000005</v>
      </c>
    </row>
    <row r="694" spans="1:22" x14ac:dyDescent="0.25">
      <c r="A694" s="2" t="s">
        <v>728</v>
      </c>
      <c r="B694" s="2" t="s">
        <v>32</v>
      </c>
      <c r="C694" s="2" t="s">
        <v>27</v>
      </c>
      <c r="D694" s="2" t="s">
        <v>28</v>
      </c>
      <c r="E694" s="2">
        <v>441.35</v>
      </c>
      <c r="F694" s="2">
        <v>10.09</v>
      </c>
      <c r="G694" s="2">
        <v>31.54</v>
      </c>
      <c r="H694" s="2">
        <v>0.4</v>
      </c>
      <c r="I694" s="2">
        <v>0.3</v>
      </c>
      <c r="J694" s="2">
        <v>9</v>
      </c>
      <c r="K694" s="2" t="s">
        <v>29</v>
      </c>
      <c r="L694" s="2">
        <v>6.16</v>
      </c>
      <c r="M694" s="2" t="s">
        <v>40</v>
      </c>
      <c r="N694" s="2">
        <v>97.33</v>
      </c>
      <c r="O694" s="2" t="s">
        <v>23</v>
      </c>
      <c r="P694" s="2">
        <v>7.65</v>
      </c>
      <c r="Q694" s="2">
        <v>10.33</v>
      </c>
      <c r="R694" s="3">
        <f t="shared" si="50"/>
        <v>3376.3275000000003</v>
      </c>
      <c r="S694" s="3">
        <f t="shared" si="51"/>
        <v>4559.1455000000005</v>
      </c>
      <c r="T694" s="3">
        <f t="shared" si="52"/>
        <v>1182.8180000000002</v>
      </c>
      <c r="U694" s="4">
        <f t="shared" si="53"/>
        <v>0.25943852855759925</v>
      </c>
      <c r="V694" s="5">
        <f t="shared" si="54"/>
        <v>27.187160000000002</v>
      </c>
    </row>
    <row r="695" spans="1:22" x14ac:dyDescent="0.25">
      <c r="A695" s="2" t="s">
        <v>729</v>
      </c>
      <c r="B695" s="2" t="s">
        <v>26</v>
      </c>
      <c r="C695" s="2" t="s">
        <v>27</v>
      </c>
      <c r="D695" s="2" t="s">
        <v>20</v>
      </c>
      <c r="E695" s="2">
        <v>522.41999999999996</v>
      </c>
      <c r="F695" s="2">
        <v>8.73</v>
      </c>
      <c r="G695" s="2">
        <v>21.32</v>
      </c>
      <c r="H695" s="2">
        <v>0.5</v>
      </c>
      <c r="I695" s="2">
        <v>1.1000000000000001</v>
      </c>
      <c r="J695" s="2">
        <v>10</v>
      </c>
      <c r="K695" s="2" t="s">
        <v>21</v>
      </c>
      <c r="L695" s="2">
        <v>8.68</v>
      </c>
      <c r="M695" s="2" t="s">
        <v>22</v>
      </c>
      <c r="N695" s="2">
        <v>94.4</v>
      </c>
      <c r="O695" s="2" t="s">
        <v>30</v>
      </c>
      <c r="P695" s="2">
        <v>5.18</v>
      </c>
      <c r="Q695" s="2">
        <v>5.21</v>
      </c>
      <c r="R695" s="3">
        <f t="shared" si="50"/>
        <v>2706.1355999999996</v>
      </c>
      <c r="S695" s="3">
        <f t="shared" si="51"/>
        <v>2721.8081999999999</v>
      </c>
      <c r="T695" s="3">
        <f t="shared" si="52"/>
        <v>15.67260000000033</v>
      </c>
      <c r="U695" s="4">
        <f t="shared" si="53"/>
        <v>5.7581573896354375E-3</v>
      </c>
      <c r="V695" s="5">
        <f t="shared" si="54"/>
        <v>45.346055999999997</v>
      </c>
    </row>
    <row r="696" spans="1:22" x14ac:dyDescent="0.25">
      <c r="A696" s="2" t="s">
        <v>730</v>
      </c>
      <c r="B696" s="2" t="s">
        <v>45</v>
      </c>
      <c r="C696" s="2" t="s">
        <v>27</v>
      </c>
      <c r="D696" s="2" t="s">
        <v>20</v>
      </c>
      <c r="E696" s="2">
        <v>571.46</v>
      </c>
      <c r="F696" s="2">
        <v>15.03</v>
      </c>
      <c r="G696" s="2">
        <v>23.83</v>
      </c>
      <c r="H696" s="2">
        <v>1.5</v>
      </c>
      <c r="I696" s="2">
        <v>0.4</v>
      </c>
      <c r="J696" s="2">
        <v>20</v>
      </c>
      <c r="K696" s="2" t="s">
        <v>29</v>
      </c>
      <c r="L696" s="2">
        <v>2.5499999999999998</v>
      </c>
      <c r="M696" s="2" t="s">
        <v>22</v>
      </c>
      <c r="N696" s="2">
        <v>88.46</v>
      </c>
      <c r="O696" s="2" t="s">
        <v>23</v>
      </c>
      <c r="P696" s="2">
        <v>8.5500000000000007</v>
      </c>
      <c r="Q696" s="2">
        <v>10.08</v>
      </c>
      <c r="R696" s="3">
        <f t="shared" si="50"/>
        <v>4885.9830000000011</v>
      </c>
      <c r="S696" s="3">
        <f t="shared" si="51"/>
        <v>5760.3168000000005</v>
      </c>
      <c r="T696" s="3">
        <f t="shared" si="52"/>
        <v>874.33379999999943</v>
      </c>
      <c r="U696" s="4">
        <f t="shared" si="53"/>
        <v>0.15178571428571416</v>
      </c>
      <c r="V696" s="5">
        <f t="shared" si="54"/>
        <v>14.572229999999999</v>
      </c>
    </row>
    <row r="697" spans="1:22" x14ac:dyDescent="0.25">
      <c r="A697" s="2" t="s">
        <v>731</v>
      </c>
      <c r="B697" s="2" t="s">
        <v>26</v>
      </c>
      <c r="C697" s="2" t="s">
        <v>33</v>
      </c>
      <c r="D697" s="2" t="s">
        <v>28</v>
      </c>
      <c r="E697" s="2">
        <v>295.01</v>
      </c>
      <c r="F697" s="2">
        <v>12.03</v>
      </c>
      <c r="G697" s="2">
        <v>28.15</v>
      </c>
      <c r="H697" s="2">
        <v>0.4</v>
      </c>
      <c r="I697" s="2">
        <v>1.6</v>
      </c>
      <c r="J697" s="2">
        <v>14</v>
      </c>
      <c r="K697" s="2" t="s">
        <v>21</v>
      </c>
      <c r="L697" s="2">
        <v>2.17</v>
      </c>
      <c r="M697" s="2" t="s">
        <v>22</v>
      </c>
      <c r="N697" s="2">
        <v>63.81</v>
      </c>
      <c r="O697" s="2" t="s">
        <v>24</v>
      </c>
      <c r="P697" s="2">
        <v>6.42</v>
      </c>
      <c r="Q697" s="2">
        <v>11.54</v>
      </c>
      <c r="R697" s="3">
        <f t="shared" si="50"/>
        <v>1893.9641999999999</v>
      </c>
      <c r="S697" s="3">
        <f t="shared" si="51"/>
        <v>3404.4153999999999</v>
      </c>
      <c r="T697" s="3">
        <f t="shared" si="52"/>
        <v>1510.4512</v>
      </c>
      <c r="U697" s="4">
        <f t="shared" si="53"/>
        <v>0.44367417677642984</v>
      </c>
      <c r="V697" s="5">
        <f t="shared" si="54"/>
        <v>6.4017169999999997</v>
      </c>
    </row>
    <row r="698" spans="1:22" x14ac:dyDescent="0.25">
      <c r="A698" s="2" t="s">
        <v>732</v>
      </c>
      <c r="B698" s="2" t="s">
        <v>18</v>
      </c>
      <c r="C698" s="2" t="s">
        <v>27</v>
      </c>
      <c r="D698" s="2" t="s">
        <v>28</v>
      </c>
      <c r="E698" s="2">
        <v>615.91</v>
      </c>
      <c r="F698" s="2">
        <v>17.2</v>
      </c>
      <c r="G698" s="2">
        <v>38.74</v>
      </c>
      <c r="H698" s="2">
        <v>0.7</v>
      </c>
      <c r="I698" s="2">
        <v>0.1</v>
      </c>
      <c r="J698" s="2">
        <v>14</v>
      </c>
      <c r="K698" s="2" t="s">
        <v>21</v>
      </c>
      <c r="L698" s="2">
        <v>2.91</v>
      </c>
      <c r="M698" s="2" t="s">
        <v>40</v>
      </c>
      <c r="N698" s="2">
        <v>62.08</v>
      </c>
      <c r="O698" s="2" t="s">
        <v>24</v>
      </c>
      <c r="P698" s="2">
        <v>3.99</v>
      </c>
      <c r="Q698" s="2">
        <v>12.59</v>
      </c>
      <c r="R698" s="3">
        <f t="shared" si="50"/>
        <v>2457.4809</v>
      </c>
      <c r="S698" s="3">
        <f t="shared" si="51"/>
        <v>7754.3068999999996</v>
      </c>
      <c r="T698" s="3">
        <f t="shared" si="52"/>
        <v>5296.8259999999991</v>
      </c>
      <c r="U698" s="4">
        <f t="shared" si="53"/>
        <v>0.68308181096108012</v>
      </c>
      <c r="V698" s="5">
        <f t="shared" si="54"/>
        <v>17.922981</v>
      </c>
    </row>
    <row r="699" spans="1:22" x14ac:dyDescent="0.25">
      <c r="A699" s="2" t="s">
        <v>733</v>
      </c>
      <c r="B699" s="2" t="s">
        <v>45</v>
      </c>
      <c r="C699" s="2" t="s">
        <v>27</v>
      </c>
      <c r="D699" s="2" t="s">
        <v>28</v>
      </c>
      <c r="E699" s="2">
        <v>466.37</v>
      </c>
      <c r="F699" s="2">
        <v>14.5</v>
      </c>
      <c r="G699" s="2">
        <v>27.55</v>
      </c>
      <c r="H699" s="2">
        <v>0.8</v>
      </c>
      <c r="I699" s="2">
        <v>1.4</v>
      </c>
      <c r="J699" s="2">
        <v>26</v>
      </c>
      <c r="K699" s="2" t="s">
        <v>29</v>
      </c>
      <c r="L699" s="2">
        <v>8.9700000000000006</v>
      </c>
      <c r="M699" s="2" t="s">
        <v>40</v>
      </c>
      <c r="N699" s="2">
        <v>91.93</v>
      </c>
      <c r="O699" s="2" t="s">
        <v>24</v>
      </c>
      <c r="P699" s="2">
        <v>9.19</v>
      </c>
      <c r="Q699" s="2">
        <v>6.13</v>
      </c>
      <c r="R699" s="3">
        <f t="shared" si="50"/>
        <v>4285.9403000000002</v>
      </c>
      <c r="S699" s="3">
        <f t="shared" si="51"/>
        <v>2858.8481000000002</v>
      </c>
      <c r="T699" s="3">
        <f t="shared" si="52"/>
        <v>-1427.0922</v>
      </c>
      <c r="U699" s="4">
        <f t="shared" si="53"/>
        <v>-0.49918433931484502</v>
      </c>
      <c r="V699" s="5">
        <f t="shared" si="54"/>
        <v>41.833389000000004</v>
      </c>
    </row>
    <row r="700" spans="1:22" x14ac:dyDescent="0.25">
      <c r="A700" s="2" t="s">
        <v>734</v>
      </c>
      <c r="B700" s="2" t="s">
        <v>45</v>
      </c>
      <c r="C700" s="2" t="s">
        <v>27</v>
      </c>
      <c r="D700" s="2" t="s">
        <v>20</v>
      </c>
      <c r="E700" s="2">
        <v>542.54999999999995</v>
      </c>
      <c r="F700" s="2">
        <v>8.9</v>
      </c>
      <c r="G700" s="2">
        <v>33.28</v>
      </c>
      <c r="H700" s="2">
        <v>0.3</v>
      </c>
      <c r="I700" s="2">
        <v>0.1</v>
      </c>
      <c r="J700" s="2">
        <v>29</v>
      </c>
      <c r="K700" s="2" t="s">
        <v>29</v>
      </c>
      <c r="L700" s="2">
        <v>9.44</v>
      </c>
      <c r="M700" s="2" t="s">
        <v>37</v>
      </c>
      <c r="N700" s="2">
        <v>59.07</v>
      </c>
      <c r="O700" s="2" t="s">
        <v>24</v>
      </c>
      <c r="P700" s="2">
        <v>5.37</v>
      </c>
      <c r="Q700" s="2">
        <v>14.91</v>
      </c>
      <c r="R700" s="3">
        <f t="shared" si="50"/>
        <v>2913.4935</v>
      </c>
      <c r="S700" s="3">
        <f t="shared" si="51"/>
        <v>8089.4204999999993</v>
      </c>
      <c r="T700" s="3">
        <f t="shared" si="52"/>
        <v>5175.9269999999997</v>
      </c>
      <c r="U700" s="4">
        <f t="shared" si="53"/>
        <v>0.63983903420523136</v>
      </c>
      <c r="V700" s="5">
        <f t="shared" si="54"/>
        <v>51.216719999999995</v>
      </c>
    </row>
    <row r="701" spans="1:22" x14ac:dyDescent="0.25">
      <c r="A701" s="2" t="s">
        <v>735</v>
      </c>
      <c r="B701" s="2" t="s">
        <v>18</v>
      </c>
      <c r="C701" s="2" t="s">
        <v>33</v>
      </c>
      <c r="D701" s="2" t="s">
        <v>20</v>
      </c>
      <c r="E701" s="2">
        <v>619.72</v>
      </c>
      <c r="F701" s="2">
        <v>17.48</v>
      </c>
      <c r="G701" s="2">
        <v>25.1</v>
      </c>
      <c r="H701" s="2">
        <v>0.5</v>
      </c>
      <c r="I701" s="2">
        <v>0</v>
      </c>
      <c r="J701" s="2">
        <v>17</v>
      </c>
      <c r="K701" s="2" t="s">
        <v>29</v>
      </c>
      <c r="L701" s="2">
        <v>5.91</v>
      </c>
      <c r="M701" s="2" t="s">
        <v>37</v>
      </c>
      <c r="N701" s="2">
        <v>80.28</v>
      </c>
      <c r="O701" s="2" t="s">
        <v>23</v>
      </c>
      <c r="P701" s="2">
        <v>7.89</v>
      </c>
      <c r="Q701" s="2">
        <v>11.06</v>
      </c>
      <c r="R701" s="3">
        <f t="shared" si="50"/>
        <v>4889.5907999999999</v>
      </c>
      <c r="S701" s="3">
        <f t="shared" si="51"/>
        <v>6854.1032000000005</v>
      </c>
      <c r="T701" s="3">
        <f t="shared" si="52"/>
        <v>1964.5124000000005</v>
      </c>
      <c r="U701" s="4">
        <f t="shared" si="53"/>
        <v>0.28661844484629301</v>
      </c>
      <c r="V701" s="5">
        <f t="shared" si="54"/>
        <v>36.625452000000003</v>
      </c>
    </row>
    <row r="702" spans="1:22" x14ac:dyDescent="0.25">
      <c r="A702" s="2" t="s">
        <v>736</v>
      </c>
      <c r="B702" s="2" t="s">
        <v>45</v>
      </c>
      <c r="C702" s="2" t="s">
        <v>43</v>
      </c>
      <c r="D702" s="2" t="s">
        <v>20</v>
      </c>
      <c r="E702" s="2">
        <v>362.83</v>
      </c>
      <c r="F702" s="2">
        <v>10.59</v>
      </c>
      <c r="G702" s="2">
        <v>22.54</v>
      </c>
      <c r="H702" s="2">
        <v>3.1</v>
      </c>
      <c r="I702" s="2">
        <v>2.2999999999999998</v>
      </c>
      <c r="J702" s="2">
        <v>27</v>
      </c>
      <c r="K702" s="2" t="s">
        <v>29</v>
      </c>
      <c r="L702" s="2">
        <v>5.26</v>
      </c>
      <c r="M702" s="2" t="s">
        <v>22</v>
      </c>
      <c r="N702" s="2">
        <v>71.95</v>
      </c>
      <c r="O702" s="2" t="s">
        <v>30</v>
      </c>
      <c r="P702" s="2">
        <v>5.03</v>
      </c>
      <c r="Q702" s="2">
        <v>8.6300000000000008</v>
      </c>
      <c r="R702" s="3">
        <f t="shared" si="50"/>
        <v>1825.0349000000001</v>
      </c>
      <c r="S702" s="3">
        <f t="shared" si="51"/>
        <v>3131.2229000000002</v>
      </c>
      <c r="T702" s="3">
        <f t="shared" si="52"/>
        <v>1306.1880000000001</v>
      </c>
      <c r="U702" s="4">
        <f t="shared" si="53"/>
        <v>0.41714947856315182</v>
      </c>
      <c r="V702" s="5">
        <f t="shared" si="54"/>
        <v>19.084858000000001</v>
      </c>
    </row>
    <row r="703" spans="1:22" x14ac:dyDescent="0.25">
      <c r="A703" s="2" t="s">
        <v>737</v>
      </c>
      <c r="B703" s="2" t="s">
        <v>26</v>
      </c>
      <c r="C703" s="2" t="s">
        <v>19</v>
      </c>
      <c r="D703" s="2" t="s">
        <v>28</v>
      </c>
      <c r="E703" s="2">
        <v>429.06</v>
      </c>
      <c r="F703" s="2">
        <v>11.37</v>
      </c>
      <c r="G703" s="2">
        <v>21.17</v>
      </c>
      <c r="H703" s="2">
        <v>0.4</v>
      </c>
      <c r="I703" s="2">
        <v>0.9</v>
      </c>
      <c r="J703" s="2">
        <v>25</v>
      </c>
      <c r="K703" s="2" t="s">
        <v>34</v>
      </c>
      <c r="L703" s="2">
        <v>6.25</v>
      </c>
      <c r="M703" s="2" t="s">
        <v>22</v>
      </c>
      <c r="N703" s="2">
        <v>73.400000000000006</v>
      </c>
      <c r="O703" s="2" t="s">
        <v>30</v>
      </c>
      <c r="P703" s="2">
        <v>6.5</v>
      </c>
      <c r="Q703" s="2">
        <v>7.49</v>
      </c>
      <c r="R703" s="3">
        <f t="shared" si="50"/>
        <v>2788.89</v>
      </c>
      <c r="S703" s="3">
        <f t="shared" si="51"/>
        <v>3213.6594</v>
      </c>
      <c r="T703" s="3">
        <f t="shared" si="52"/>
        <v>424.76940000000013</v>
      </c>
      <c r="U703" s="4">
        <f t="shared" si="53"/>
        <v>0.13217623497997333</v>
      </c>
      <c r="V703" s="5">
        <f t="shared" si="54"/>
        <v>26.81625</v>
      </c>
    </row>
    <row r="704" spans="1:22" x14ac:dyDescent="0.25">
      <c r="A704" s="2" t="s">
        <v>738</v>
      </c>
      <c r="B704" s="2" t="s">
        <v>32</v>
      </c>
      <c r="C704" s="2" t="s">
        <v>27</v>
      </c>
      <c r="D704" s="2" t="s">
        <v>20</v>
      </c>
      <c r="E704" s="2">
        <v>471.15</v>
      </c>
      <c r="F704" s="2">
        <v>12.02</v>
      </c>
      <c r="G704" s="2">
        <v>26.11</v>
      </c>
      <c r="H704" s="2">
        <v>0.1</v>
      </c>
      <c r="I704" s="2">
        <v>0.4</v>
      </c>
      <c r="J704" s="2">
        <v>16</v>
      </c>
      <c r="K704" s="2" t="s">
        <v>34</v>
      </c>
      <c r="L704" s="2">
        <v>6.35</v>
      </c>
      <c r="M704" s="2" t="s">
        <v>40</v>
      </c>
      <c r="N704" s="2">
        <v>72.73</v>
      </c>
      <c r="O704" s="2" t="s">
        <v>23</v>
      </c>
      <c r="P704" s="2">
        <v>8.7100000000000009</v>
      </c>
      <c r="Q704" s="2">
        <v>10.73</v>
      </c>
      <c r="R704" s="3">
        <f t="shared" si="50"/>
        <v>4103.7165000000005</v>
      </c>
      <c r="S704" s="3">
        <f t="shared" si="51"/>
        <v>5055.4395000000004</v>
      </c>
      <c r="T704" s="3">
        <f t="shared" si="52"/>
        <v>951.72299999999996</v>
      </c>
      <c r="U704" s="4">
        <f t="shared" si="53"/>
        <v>0.18825722273998133</v>
      </c>
      <c r="V704" s="5">
        <f t="shared" si="54"/>
        <v>29.918024999999997</v>
      </c>
    </row>
    <row r="705" spans="1:22" x14ac:dyDescent="0.25">
      <c r="A705" s="2" t="s">
        <v>739</v>
      </c>
      <c r="B705" s="2" t="s">
        <v>26</v>
      </c>
      <c r="C705" s="2" t="s">
        <v>43</v>
      </c>
      <c r="D705" s="2" t="s">
        <v>28</v>
      </c>
      <c r="E705" s="2">
        <v>421.62</v>
      </c>
      <c r="F705" s="2">
        <v>8.51</v>
      </c>
      <c r="G705" s="2">
        <v>23.15</v>
      </c>
      <c r="H705" s="2">
        <v>2</v>
      </c>
      <c r="I705" s="2">
        <v>0.3</v>
      </c>
      <c r="J705" s="2">
        <v>4</v>
      </c>
      <c r="K705" s="2" t="s">
        <v>21</v>
      </c>
      <c r="L705" s="2">
        <v>2.12</v>
      </c>
      <c r="M705" s="2" t="s">
        <v>37</v>
      </c>
      <c r="N705" s="2">
        <v>95</v>
      </c>
      <c r="O705" s="2" t="s">
        <v>23</v>
      </c>
      <c r="P705" s="2">
        <v>4.0999999999999996</v>
      </c>
      <c r="Q705" s="2">
        <v>13.82</v>
      </c>
      <c r="R705" s="3">
        <f t="shared" si="50"/>
        <v>1728.6419999999998</v>
      </c>
      <c r="S705" s="3">
        <f t="shared" si="51"/>
        <v>5826.7884000000004</v>
      </c>
      <c r="T705" s="3">
        <f t="shared" si="52"/>
        <v>4098.1464000000005</v>
      </c>
      <c r="U705" s="4">
        <f t="shared" si="53"/>
        <v>0.70332850940665703</v>
      </c>
      <c r="V705" s="5">
        <f t="shared" si="54"/>
        <v>8.9383440000000007</v>
      </c>
    </row>
    <row r="706" spans="1:22" x14ac:dyDescent="0.25">
      <c r="A706" s="2" t="s">
        <v>740</v>
      </c>
      <c r="B706" s="2" t="s">
        <v>32</v>
      </c>
      <c r="C706" s="2" t="s">
        <v>27</v>
      </c>
      <c r="D706" s="2" t="s">
        <v>28</v>
      </c>
      <c r="E706" s="2">
        <v>673.49</v>
      </c>
      <c r="F706" s="2">
        <v>12.97</v>
      </c>
      <c r="G706" s="2">
        <v>23.48</v>
      </c>
      <c r="H706" s="2">
        <v>7.5</v>
      </c>
      <c r="I706" s="2">
        <v>1</v>
      </c>
      <c r="J706" s="2">
        <v>2</v>
      </c>
      <c r="K706" s="2" t="s">
        <v>21</v>
      </c>
      <c r="L706" s="2">
        <v>7.02</v>
      </c>
      <c r="M706" s="2" t="s">
        <v>37</v>
      </c>
      <c r="N706" s="2">
        <v>54.35</v>
      </c>
      <c r="O706" s="2" t="s">
        <v>24</v>
      </c>
      <c r="P706" s="2">
        <v>9.84</v>
      </c>
      <c r="Q706" s="2">
        <v>10.210000000000001</v>
      </c>
      <c r="R706" s="3">
        <f t="shared" si="50"/>
        <v>6627.1415999999999</v>
      </c>
      <c r="S706" s="3">
        <f t="shared" si="51"/>
        <v>6876.3329000000003</v>
      </c>
      <c r="T706" s="3">
        <f t="shared" si="52"/>
        <v>249.19130000000041</v>
      </c>
      <c r="U706" s="4">
        <f t="shared" si="53"/>
        <v>3.6238981390793401E-2</v>
      </c>
      <c r="V706" s="5">
        <f t="shared" si="54"/>
        <v>47.278998000000001</v>
      </c>
    </row>
    <row r="707" spans="1:22" x14ac:dyDescent="0.25">
      <c r="A707" s="2" t="s">
        <v>741</v>
      </c>
      <c r="B707" s="2" t="s">
        <v>32</v>
      </c>
      <c r="C707" s="2" t="s">
        <v>33</v>
      </c>
      <c r="D707" s="2" t="s">
        <v>28</v>
      </c>
      <c r="E707" s="2">
        <v>414.32</v>
      </c>
      <c r="F707" s="2">
        <v>9.23</v>
      </c>
      <c r="G707" s="2">
        <v>35.22</v>
      </c>
      <c r="H707" s="2">
        <v>0.8</v>
      </c>
      <c r="I707" s="2">
        <v>0.7</v>
      </c>
      <c r="J707" s="2">
        <v>16</v>
      </c>
      <c r="K707" s="2" t="s">
        <v>34</v>
      </c>
      <c r="L707" s="2">
        <v>4.8</v>
      </c>
      <c r="M707" s="2" t="s">
        <v>37</v>
      </c>
      <c r="N707" s="2">
        <v>89.15</v>
      </c>
      <c r="O707" s="2" t="s">
        <v>23</v>
      </c>
      <c r="P707" s="2">
        <v>3.49</v>
      </c>
      <c r="Q707" s="2">
        <v>11.61</v>
      </c>
      <c r="R707" s="3">
        <f t="shared" ref="R707:R770" si="55">E707*P707</f>
        <v>1445.9768000000001</v>
      </c>
      <c r="S707" s="3">
        <f t="shared" ref="S707:S770" si="56">E707*Q707</f>
        <v>4810.2551999999996</v>
      </c>
      <c r="T707" s="3">
        <f t="shared" ref="T707:T770" si="57">S707-R707</f>
        <v>3364.2783999999992</v>
      </c>
      <c r="U707" s="4">
        <f t="shared" ref="U707:U770" si="58">T707/S707</f>
        <v>0.69939707149009467</v>
      </c>
      <c r="V707" s="5">
        <f t="shared" ref="V707:V770" si="59">E707*L707/100</f>
        <v>19.887359999999997</v>
      </c>
    </row>
    <row r="708" spans="1:22" x14ac:dyDescent="0.25">
      <c r="A708" s="2" t="s">
        <v>742</v>
      </c>
      <c r="B708" s="2" t="s">
        <v>26</v>
      </c>
      <c r="C708" s="2" t="s">
        <v>43</v>
      </c>
      <c r="D708" s="2" t="s">
        <v>20</v>
      </c>
      <c r="E708" s="2">
        <v>444.45</v>
      </c>
      <c r="F708" s="2">
        <v>12.01</v>
      </c>
      <c r="G708" s="2">
        <v>20.32</v>
      </c>
      <c r="H708" s="2">
        <v>0.3</v>
      </c>
      <c r="I708" s="2">
        <v>4.8</v>
      </c>
      <c r="J708" s="2">
        <v>1</v>
      </c>
      <c r="K708" s="2" t="s">
        <v>21</v>
      </c>
      <c r="L708" s="2">
        <v>5.42</v>
      </c>
      <c r="M708" s="2" t="s">
        <v>22</v>
      </c>
      <c r="N708" s="2">
        <v>91.75</v>
      </c>
      <c r="O708" s="2" t="s">
        <v>30</v>
      </c>
      <c r="P708" s="2">
        <v>6.74</v>
      </c>
      <c r="Q708" s="2">
        <v>8.58</v>
      </c>
      <c r="R708" s="3">
        <f t="shared" si="55"/>
        <v>2995.5929999999998</v>
      </c>
      <c r="S708" s="3">
        <f t="shared" si="56"/>
        <v>3813.3809999999999</v>
      </c>
      <c r="T708" s="3">
        <f t="shared" si="57"/>
        <v>817.78800000000001</v>
      </c>
      <c r="U708" s="4">
        <f t="shared" si="58"/>
        <v>0.21445221445221446</v>
      </c>
      <c r="V708" s="5">
        <f t="shared" si="59"/>
        <v>24.089189999999999</v>
      </c>
    </row>
    <row r="709" spans="1:22" x14ac:dyDescent="0.25">
      <c r="A709" s="2" t="s">
        <v>743</v>
      </c>
      <c r="B709" s="2" t="s">
        <v>26</v>
      </c>
      <c r="C709" s="2" t="s">
        <v>33</v>
      </c>
      <c r="D709" s="2" t="s">
        <v>28</v>
      </c>
      <c r="E709" s="2">
        <v>520.44000000000005</v>
      </c>
      <c r="F709" s="2">
        <v>11.51</v>
      </c>
      <c r="G709" s="2">
        <v>31.16</v>
      </c>
      <c r="H709" s="2">
        <v>1.7</v>
      </c>
      <c r="I709" s="2">
        <v>4.0999999999999996</v>
      </c>
      <c r="J709" s="2">
        <v>3</v>
      </c>
      <c r="K709" s="2" t="s">
        <v>29</v>
      </c>
      <c r="L709" s="2">
        <v>0.79</v>
      </c>
      <c r="M709" s="2" t="s">
        <v>22</v>
      </c>
      <c r="N709" s="2">
        <v>97.14</v>
      </c>
      <c r="O709" s="2" t="s">
        <v>23</v>
      </c>
      <c r="P709" s="2">
        <v>9.41</v>
      </c>
      <c r="Q709" s="2">
        <v>8.8800000000000008</v>
      </c>
      <c r="R709" s="3">
        <f t="shared" si="55"/>
        <v>4897.340400000001</v>
      </c>
      <c r="S709" s="3">
        <f t="shared" si="56"/>
        <v>4621.5072000000009</v>
      </c>
      <c r="T709" s="3">
        <f t="shared" si="57"/>
        <v>-275.83320000000003</v>
      </c>
      <c r="U709" s="4">
        <f t="shared" si="58"/>
        <v>-5.9684684684684679E-2</v>
      </c>
      <c r="V709" s="5">
        <f t="shared" si="59"/>
        <v>4.1114760000000006</v>
      </c>
    </row>
    <row r="710" spans="1:22" x14ac:dyDescent="0.25">
      <c r="A710" s="2" t="s">
        <v>744</v>
      </c>
      <c r="B710" s="2" t="s">
        <v>26</v>
      </c>
      <c r="C710" s="2" t="s">
        <v>27</v>
      </c>
      <c r="D710" s="2" t="s">
        <v>20</v>
      </c>
      <c r="E710" s="2">
        <v>379.79</v>
      </c>
      <c r="F710" s="2">
        <v>15.73</v>
      </c>
      <c r="G710" s="2">
        <v>27.59</v>
      </c>
      <c r="H710" s="2">
        <v>4.7</v>
      </c>
      <c r="I710" s="2">
        <v>1</v>
      </c>
      <c r="J710" s="2">
        <v>23</v>
      </c>
      <c r="K710" s="2" t="s">
        <v>21</v>
      </c>
      <c r="L710" s="2">
        <v>7.76</v>
      </c>
      <c r="M710" s="2" t="s">
        <v>22</v>
      </c>
      <c r="N710" s="2">
        <v>72.63</v>
      </c>
      <c r="O710" s="2" t="s">
        <v>23</v>
      </c>
      <c r="P710" s="2">
        <v>9.6199999999999992</v>
      </c>
      <c r="Q710" s="2">
        <v>7.86</v>
      </c>
      <c r="R710" s="3">
        <f t="shared" si="55"/>
        <v>3653.5798</v>
      </c>
      <c r="S710" s="3">
        <f t="shared" si="56"/>
        <v>2985.1494000000002</v>
      </c>
      <c r="T710" s="3">
        <f t="shared" si="57"/>
        <v>-668.43039999999974</v>
      </c>
      <c r="U710" s="4">
        <f t="shared" si="58"/>
        <v>-0.22391857506361312</v>
      </c>
      <c r="V710" s="5">
        <f t="shared" si="59"/>
        <v>29.471703999999999</v>
      </c>
    </row>
    <row r="711" spans="1:22" x14ac:dyDescent="0.25">
      <c r="A711" s="2" t="s">
        <v>745</v>
      </c>
      <c r="B711" s="2" t="s">
        <v>26</v>
      </c>
      <c r="C711" s="2" t="s">
        <v>27</v>
      </c>
      <c r="D711" s="2" t="s">
        <v>20</v>
      </c>
      <c r="E711" s="2">
        <v>460.43</v>
      </c>
      <c r="F711" s="2">
        <v>16.03</v>
      </c>
      <c r="G711" s="2">
        <v>30.13</v>
      </c>
      <c r="H711" s="2">
        <v>3.1</v>
      </c>
      <c r="I711" s="2">
        <v>0.6</v>
      </c>
      <c r="J711" s="2">
        <v>11</v>
      </c>
      <c r="K711" s="2" t="s">
        <v>21</v>
      </c>
      <c r="L711" s="2">
        <v>8.44</v>
      </c>
      <c r="M711" s="2" t="s">
        <v>40</v>
      </c>
      <c r="N711" s="2">
        <v>75</v>
      </c>
      <c r="O711" s="2" t="s">
        <v>30</v>
      </c>
      <c r="P711" s="2">
        <v>4.62</v>
      </c>
      <c r="Q711" s="2">
        <v>12.06</v>
      </c>
      <c r="R711" s="3">
        <f t="shared" si="55"/>
        <v>2127.1866</v>
      </c>
      <c r="S711" s="3">
        <f t="shared" si="56"/>
        <v>5552.7858000000006</v>
      </c>
      <c r="T711" s="3">
        <f t="shared" si="57"/>
        <v>3425.5992000000006</v>
      </c>
      <c r="U711" s="4">
        <f t="shared" si="58"/>
        <v>0.61691542288557222</v>
      </c>
      <c r="V711" s="5">
        <f t="shared" si="59"/>
        <v>38.860292000000001</v>
      </c>
    </row>
    <row r="712" spans="1:22" x14ac:dyDescent="0.25">
      <c r="A712" s="2" t="s">
        <v>746</v>
      </c>
      <c r="B712" s="2" t="s">
        <v>18</v>
      </c>
      <c r="C712" s="2" t="s">
        <v>33</v>
      </c>
      <c r="D712" s="2" t="s">
        <v>28</v>
      </c>
      <c r="E712" s="2">
        <v>531.75</v>
      </c>
      <c r="F712" s="2">
        <v>9.5299999999999994</v>
      </c>
      <c r="G712" s="2">
        <v>31.26</v>
      </c>
      <c r="H712" s="2">
        <v>1.9</v>
      </c>
      <c r="I712" s="2">
        <v>0.7</v>
      </c>
      <c r="J712" s="2">
        <v>16</v>
      </c>
      <c r="K712" s="2" t="s">
        <v>21</v>
      </c>
      <c r="L712" s="2">
        <v>6.38</v>
      </c>
      <c r="M712" s="2" t="s">
        <v>37</v>
      </c>
      <c r="N712" s="2">
        <v>98.06</v>
      </c>
      <c r="O712" s="2" t="s">
        <v>30</v>
      </c>
      <c r="P712" s="2">
        <v>4.01</v>
      </c>
      <c r="Q712" s="2">
        <v>8.59</v>
      </c>
      <c r="R712" s="3">
        <f t="shared" si="55"/>
        <v>2132.3175000000001</v>
      </c>
      <c r="S712" s="3">
        <f t="shared" si="56"/>
        <v>4567.7325000000001</v>
      </c>
      <c r="T712" s="3">
        <f t="shared" si="57"/>
        <v>2435.415</v>
      </c>
      <c r="U712" s="4">
        <f t="shared" si="58"/>
        <v>0.53317811408614668</v>
      </c>
      <c r="V712" s="5">
        <f t="shared" si="59"/>
        <v>33.925649999999997</v>
      </c>
    </row>
    <row r="713" spans="1:22" x14ac:dyDescent="0.25">
      <c r="A713" s="2" t="s">
        <v>747</v>
      </c>
      <c r="B713" s="2" t="s">
        <v>45</v>
      </c>
      <c r="C713" s="2" t="s">
        <v>19</v>
      </c>
      <c r="D713" s="2" t="s">
        <v>28</v>
      </c>
      <c r="E713" s="2">
        <v>466.71</v>
      </c>
      <c r="F713" s="2">
        <v>11.67</v>
      </c>
      <c r="G713" s="2">
        <v>26.27</v>
      </c>
      <c r="H713" s="2">
        <v>0.8</v>
      </c>
      <c r="I713" s="2">
        <v>1.1000000000000001</v>
      </c>
      <c r="J713" s="2">
        <v>26</v>
      </c>
      <c r="K713" s="2" t="s">
        <v>34</v>
      </c>
      <c r="L713" s="2">
        <v>7.61</v>
      </c>
      <c r="M713" s="2" t="s">
        <v>40</v>
      </c>
      <c r="N713" s="2">
        <v>72.92</v>
      </c>
      <c r="O713" s="2" t="s">
        <v>23</v>
      </c>
      <c r="P713" s="2">
        <v>8.07</v>
      </c>
      <c r="Q713" s="2">
        <v>6.91</v>
      </c>
      <c r="R713" s="3">
        <f t="shared" si="55"/>
        <v>3766.3496999999998</v>
      </c>
      <c r="S713" s="3">
        <f t="shared" si="56"/>
        <v>3224.9661000000001</v>
      </c>
      <c r="T713" s="3">
        <f t="shared" si="57"/>
        <v>-541.38359999999966</v>
      </c>
      <c r="U713" s="4">
        <f t="shared" si="58"/>
        <v>-0.16787264833574519</v>
      </c>
      <c r="V713" s="5">
        <f t="shared" si="59"/>
        <v>35.516631000000004</v>
      </c>
    </row>
    <row r="714" spans="1:22" x14ac:dyDescent="0.25">
      <c r="A714" s="2" t="s">
        <v>748</v>
      </c>
      <c r="B714" s="2" t="s">
        <v>32</v>
      </c>
      <c r="C714" s="2" t="s">
        <v>33</v>
      </c>
      <c r="D714" s="2" t="s">
        <v>20</v>
      </c>
      <c r="E714" s="2">
        <v>490.66</v>
      </c>
      <c r="F714" s="2">
        <v>11.73</v>
      </c>
      <c r="G714" s="2">
        <v>25.9</v>
      </c>
      <c r="H714" s="2">
        <v>1.6</v>
      </c>
      <c r="I714" s="2">
        <v>0.1</v>
      </c>
      <c r="J714" s="2">
        <v>18</v>
      </c>
      <c r="K714" s="2" t="s">
        <v>34</v>
      </c>
      <c r="L714" s="2">
        <v>5.47</v>
      </c>
      <c r="M714" s="2" t="s">
        <v>37</v>
      </c>
      <c r="N714" s="2">
        <v>75.180000000000007</v>
      </c>
      <c r="O714" s="2" t="s">
        <v>24</v>
      </c>
      <c r="P714" s="2">
        <v>3.29</v>
      </c>
      <c r="Q714" s="2">
        <v>8.69</v>
      </c>
      <c r="R714" s="3">
        <f t="shared" si="55"/>
        <v>1614.2714000000001</v>
      </c>
      <c r="S714" s="3">
        <f t="shared" si="56"/>
        <v>4263.8353999999999</v>
      </c>
      <c r="T714" s="3">
        <f t="shared" si="57"/>
        <v>2649.5639999999999</v>
      </c>
      <c r="U714" s="4">
        <f t="shared" si="58"/>
        <v>0.62140391254315297</v>
      </c>
      <c r="V714" s="5">
        <f t="shared" si="59"/>
        <v>26.839101999999997</v>
      </c>
    </row>
    <row r="715" spans="1:22" x14ac:dyDescent="0.25">
      <c r="A715" s="2" t="s">
        <v>749</v>
      </c>
      <c r="B715" s="2" t="s">
        <v>26</v>
      </c>
      <c r="C715" s="2" t="s">
        <v>27</v>
      </c>
      <c r="D715" s="2" t="s">
        <v>28</v>
      </c>
      <c r="E715" s="2">
        <v>447.07</v>
      </c>
      <c r="F715" s="2">
        <v>9.51</v>
      </c>
      <c r="G715" s="2">
        <v>34.67</v>
      </c>
      <c r="H715" s="2">
        <v>0.2</v>
      </c>
      <c r="I715" s="2">
        <v>0.4</v>
      </c>
      <c r="J715" s="2">
        <v>15</v>
      </c>
      <c r="K715" s="2" t="s">
        <v>21</v>
      </c>
      <c r="L715" s="2">
        <v>6.37</v>
      </c>
      <c r="M715" s="2" t="s">
        <v>22</v>
      </c>
      <c r="N715" s="2">
        <v>66.61</v>
      </c>
      <c r="O715" s="2" t="s">
        <v>24</v>
      </c>
      <c r="P715" s="2">
        <v>6.4</v>
      </c>
      <c r="Q715" s="2">
        <v>13.54</v>
      </c>
      <c r="R715" s="3">
        <f t="shared" si="55"/>
        <v>2861.248</v>
      </c>
      <c r="S715" s="3">
        <f t="shared" si="56"/>
        <v>6053.3277999999991</v>
      </c>
      <c r="T715" s="3">
        <f t="shared" si="57"/>
        <v>3192.0797999999991</v>
      </c>
      <c r="U715" s="4">
        <f t="shared" si="58"/>
        <v>0.5273264401772525</v>
      </c>
      <c r="V715" s="5">
        <f t="shared" si="59"/>
        <v>28.478359000000001</v>
      </c>
    </row>
    <row r="716" spans="1:22" x14ac:dyDescent="0.25">
      <c r="A716" s="2" t="s">
        <v>750</v>
      </c>
      <c r="B716" s="2" t="s">
        <v>26</v>
      </c>
      <c r="C716" s="2" t="s">
        <v>33</v>
      </c>
      <c r="D716" s="2" t="s">
        <v>20</v>
      </c>
      <c r="E716" s="2">
        <v>348.55</v>
      </c>
      <c r="F716" s="2">
        <v>15.98</v>
      </c>
      <c r="G716" s="2">
        <v>37.43</v>
      </c>
      <c r="H716" s="2">
        <v>2.2999999999999998</v>
      </c>
      <c r="I716" s="2">
        <v>0.1</v>
      </c>
      <c r="J716" s="2">
        <v>9</v>
      </c>
      <c r="K716" s="2" t="s">
        <v>29</v>
      </c>
      <c r="L716" s="2">
        <v>4.25</v>
      </c>
      <c r="M716" s="2" t="s">
        <v>40</v>
      </c>
      <c r="N716" s="2">
        <v>51.58</v>
      </c>
      <c r="O716" s="2" t="s">
        <v>24</v>
      </c>
      <c r="P716" s="2">
        <v>8.57</v>
      </c>
      <c r="Q716" s="2">
        <v>12.38</v>
      </c>
      <c r="R716" s="3">
        <f t="shared" si="55"/>
        <v>2987.0735000000004</v>
      </c>
      <c r="S716" s="3">
        <f t="shared" si="56"/>
        <v>4315.049</v>
      </c>
      <c r="T716" s="3">
        <f t="shared" si="57"/>
        <v>1327.9754999999996</v>
      </c>
      <c r="U716" s="4">
        <f t="shared" si="58"/>
        <v>0.30775444264943447</v>
      </c>
      <c r="V716" s="5">
        <f t="shared" si="59"/>
        <v>14.813375000000001</v>
      </c>
    </row>
    <row r="717" spans="1:22" x14ac:dyDescent="0.25">
      <c r="A717" s="2" t="s">
        <v>751</v>
      </c>
      <c r="B717" s="2" t="s">
        <v>26</v>
      </c>
      <c r="C717" s="2" t="s">
        <v>19</v>
      </c>
      <c r="D717" s="2" t="s">
        <v>28</v>
      </c>
      <c r="E717" s="2">
        <v>532.16</v>
      </c>
      <c r="F717" s="2">
        <v>15.07</v>
      </c>
      <c r="G717" s="2">
        <v>23.85</v>
      </c>
      <c r="H717" s="2">
        <v>2.6</v>
      </c>
      <c r="I717" s="2">
        <v>0.1</v>
      </c>
      <c r="J717" s="2">
        <v>12</v>
      </c>
      <c r="K717" s="2" t="s">
        <v>21</v>
      </c>
      <c r="L717" s="2">
        <v>8.02</v>
      </c>
      <c r="M717" s="2" t="s">
        <v>40</v>
      </c>
      <c r="N717" s="2">
        <v>71.650000000000006</v>
      </c>
      <c r="O717" s="2" t="s">
        <v>30</v>
      </c>
      <c r="P717" s="2">
        <v>6.92</v>
      </c>
      <c r="Q717" s="2">
        <v>8.35</v>
      </c>
      <c r="R717" s="3">
        <f t="shared" si="55"/>
        <v>3682.5471999999995</v>
      </c>
      <c r="S717" s="3">
        <f t="shared" si="56"/>
        <v>4443.5359999999991</v>
      </c>
      <c r="T717" s="3">
        <f t="shared" si="57"/>
        <v>760.98879999999963</v>
      </c>
      <c r="U717" s="4">
        <f t="shared" si="58"/>
        <v>0.17125748502994007</v>
      </c>
      <c r="V717" s="5">
        <f t="shared" si="59"/>
        <v>42.679231999999992</v>
      </c>
    </row>
    <row r="718" spans="1:22" x14ac:dyDescent="0.25">
      <c r="A718" s="2" t="s">
        <v>752</v>
      </c>
      <c r="B718" s="2" t="s">
        <v>18</v>
      </c>
      <c r="C718" s="2" t="s">
        <v>33</v>
      </c>
      <c r="D718" s="2" t="s">
        <v>20</v>
      </c>
      <c r="E718" s="2">
        <v>675.49</v>
      </c>
      <c r="F718" s="2">
        <v>9.9</v>
      </c>
      <c r="G718" s="2">
        <v>21.95</v>
      </c>
      <c r="H718" s="2">
        <v>6.7</v>
      </c>
      <c r="I718" s="2">
        <v>0.2</v>
      </c>
      <c r="J718" s="2">
        <v>29</v>
      </c>
      <c r="K718" s="2" t="s">
        <v>34</v>
      </c>
      <c r="L718" s="2">
        <v>4.95</v>
      </c>
      <c r="M718" s="2" t="s">
        <v>22</v>
      </c>
      <c r="N718" s="2">
        <v>82.75</v>
      </c>
      <c r="O718" s="2" t="s">
        <v>30</v>
      </c>
      <c r="P718" s="2">
        <v>4.32</v>
      </c>
      <c r="Q718" s="2">
        <v>14.07</v>
      </c>
      <c r="R718" s="3">
        <f t="shared" si="55"/>
        <v>2918.1168000000002</v>
      </c>
      <c r="S718" s="3">
        <f t="shared" si="56"/>
        <v>9504.1442999999999</v>
      </c>
      <c r="T718" s="3">
        <f t="shared" si="57"/>
        <v>6586.0275000000001</v>
      </c>
      <c r="U718" s="4">
        <f t="shared" si="58"/>
        <v>0.69296375266524524</v>
      </c>
      <c r="V718" s="5">
        <f t="shared" si="59"/>
        <v>33.436755000000005</v>
      </c>
    </row>
    <row r="719" spans="1:22" x14ac:dyDescent="0.25">
      <c r="A719" s="2" t="s">
        <v>753</v>
      </c>
      <c r="B719" s="2" t="s">
        <v>26</v>
      </c>
      <c r="C719" s="2" t="s">
        <v>19</v>
      </c>
      <c r="D719" s="2" t="s">
        <v>20</v>
      </c>
      <c r="E719" s="2">
        <v>501.84</v>
      </c>
      <c r="F719" s="2">
        <v>11.67</v>
      </c>
      <c r="G719" s="2">
        <v>37.96</v>
      </c>
      <c r="H719" s="2">
        <v>0.6</v>
      </c>
      <c r="I719" s="2">
        <v>0.7</v>
      </c>
      <c r="J719" s="2">
        <v>27</v>
      </c>
      <c r="K719" s="2" t="s">
        <v>29</v>
      </c>
      <c r="L719" s="2">
        <v>6.96</v>
      </c>
      <c r="M719" s="2" t="s">
        <v>37</v>
      </c>
      <c r="N719" s="2">
        <v>84.5</v>
      </c>
      <c r="O719" s="2" t="s">
        <v>24</v>
      </c>
      <c r="P719" s="2">
        <v>6.41</v>
      </c>
      <c r="Q719" s="2">
        <v>5.75</v>
      </c>
      <c r="R719" s="3">
        <f t="shared" si="55"/>
        <v>3216.7943999999998</v>
      </c>
      <c r="S719" s="3">
        <f t="shared" si="56"/>
        <v>2885.58</v>
      </c>
      <c r="T719" s="3">
        <f t="shared" si="57"/>
        <v>-331.21439999999984</v>
      </c>
      <c r="U719" s="4">
        <f t="shared" si="58"/>
        <v>-0.11478260869565213</v>
      </c>
      <c r="V719" s="5">
        <f t="shared" si="59"/>
        <v>34.928063999999999</v>
      </c>
    </row>
    <row r="720" spans="1:22" x14ac:dyDescent="0.25">
      <c r="A720" s="2" t="s">
        <v>754</v>
      </c>
      <c r="B720" s="2" t="s">
        <v>26</v>
      </c>
      <c r="C720" s="2" t="s">
        <v>19</v>
      </c>
      <c r="D720" s="2" t="s">
        <v>20</v>
      </c>
      <c r="E720" s="2">
        <v>522.53</v>
      </c>
      <c r="F720" s="2">
        <v>9.06</v>
      </c>
      <c r="G720" s="2">
        <v>27</v>
      </c>
      <c r="H720" s="2">
        <v>0</v>
      </c>
      <c r="I720" s="2">
        <v>1.5</v>
      </c>
      <c r="J720" s="2">
        <v>18</v>
      </c>
      <c r="K720" s="2" t="s">
        <v>21</v>
      </c>
      <c r="L720" s="2">
        <v>6.4</v>
      </c>
      <c r="M720" s="2" t="s">
        <v>37</v>
      </c>
      <c r="N720" s="2">
        <v>50.33</v>
      </c>
      <c r="O720" s="2" t="s">
        <v>23</v>
      </c>
      <c r="P720" s="2">
        <v>9.4499999999999993</v>
      </c>
      <c r="Q720" s="2">
        <v>5.5</v>
      </c>
      <c r="R720" s="3">
        <f t="shared" si="55"/>
        <v>4937.9084999999995</v>
      </c>
      <c r="S720" s="3">
        <f t="shared" si="56"/>
        <v>2873.915</v>
      </c>
      <c r="T720" s="3">
        <f t="shared" si="57"/>
        <v>-2063.9934999999996</v>
      </c>
      <c r="U720" s="4">
        <f t="shared" si="58"/>
        <v>-0.71818181818181803</v>
      </c>
      <c r="V720" s="5">
        <f t="shared" si="59"/>
        <v>33.441920000000003</v>
      </c>
    </row>
    <row r="721" spans="1:22" x14ac:dyDescent="0.25">
      <c r="A721" s="2" t="s">
        <v>755</v>
      </c>
      <c r="B721" s="2" t="s">
        <v>26</v>
      </c>
      <c r="C721" s="2" t="s">
        <v>33</v>
      </c>
      <c r="D721" s="2" t="s">
        <v>20</v>
      </c>
      <c r="E721" s="2">
        <v>569.27</v>
      </c>
      <c r="F721" s="2">
        <v>14.28</v>
      </c>
      <c r="G721" s="2">
        <v>31.03</v>
      </c>
      <c r="H721" s="2">
        <v>1.6</v>
      </c>
      <c r="I721" s="2">
        <v>0.7</v>
      </c>
      <c r="J721" s="2">
        <v>5</v>
      </c>
      <c r="K721" s="2" t="s">
        <v>34</v>
      </c>
      <c r="L721" s="2">
        <v>7.17</v>
      </c>
      <c r="M721" s="2" t="s">
        <v>37</v>
      </c>
      <c r="N721" s="2">
        <v>90.05</v>
      </c>
      <c r="O721" s="2" t="s">
        <v>23</v>
      </c>
      <c r="P721" s="2">
        <v>7.32</v>
      </c>
      <c r="Q721" s="2">
        <v>6.27</v>
      </c>
      <c r="R721" s="3">
        <f t="shared" si="55"/>
        <v>4167.0564000000004</v>
      </c>
      <c r="S721" s="3">
        <f t="shared" si="56"/>
        <v>3569.3228999999997</v>
      </c>
      <c r="T721" s="3">
        <f t="shared" si="57"/>
        <v>-597.73350000000073</v>
      </c>
      <c r="U721" s="4">
        <f t="shared" si="58"/>
        <v>-0.16746411483253609</v>
      </c>
      <c r="V721" s="5">
        <f t="shared" si="59"/>
        <v>40.816659000000001</v>
      </c>
    </row>
    <row r="722" spans="1:22" x14ac:dyDescent="0.25">
      <c r="A722" s="2" t="s">
        <v>756</v>
      </c>
      <c r="B722" s="2" t="s">
        <v>45</v>
      </c>
      <c r="C722" s="2" t="s">
        <v>33</v>
      </c>
      <c r="D722" s="2" t="s">
        <v>28</v>
      </c>
      <c r="E722" s="2">
        <v>373.07</v>
      </c>
      <c r="F722" s="2">
        <v>9.2100000000000009</v>
      </c>
      <c r="G722" s="2">
        <v>27.19</v>
      </c>
      <c r="H722" s="2">
        <v>2.5</v>
      </c>
      <c r="I722" s="2">
        <v>0.4</v>
      </c>
      <c r="J722" s="2">
        <v>24</v>
      </c>
      <c r="K722" s="2" t="s">
        <v>29</v>
      </c>
      <c r="L722" s="2">
        <v>7.96</v>
      </c>
      <c r="M722" s="2" t="s">
        <v>37</v>
      </c>
      <c r="N722" s="2">
        <v>74.62</v>
      </c>
      <c r="O722" s="2" t="s">
        <v>23</v>
      </c>
      <c r="P722" s="2">
        <v>8.0500000000000007</v>
      </c>
      <c r="Q722" s="2">
        <v>6.16</v>
      </c>
      <c r="R722" s="3">
        <f t="shared" si="55"/>
        <v>3003.2135000000003</v>
      </c>
      <c r="S722" s="3">
        <f t="shared" si="56"/>
        <v>2298.1111999999998</v>
      </c>
      <c r="T722" s="3">
        <f t="shared" si="57"/>
        <v>-705.10230000000047</v>
      </c>
      <c r="U722" s="4">
        <f t="shared" si="58"/>
        <v>-0.30681818181818205</v>
      </c>
      <c r="V722" s="5">
        <f t="shared" si="59"/>
        <v>29.696372</v>
      </c>
    </row>
    <row r="723" spans="1:22" x14ac:dyDescent="0.25">
      <c r="A723" s="2" t="s">
        <v>757</v>
      </c>
      <c r="B723" s="2" t="s">
        <v>18</v>
      </c>
      <c r="C723" s="2" t="s">
        <v>43</v>
      </c>
      <c r="D723" s="2" t="s">
        <v>28</v>
      </c>
      <c r="E723" s="2">
        <v>670.25</v>
      </c>
      <c r="F723" s="2">
        <v>17.86</v>
      </c>
      <c r="G723" s="2">
        <v>22.52</v>
      </c>
      <c r="H723" s="2">
        <v>3.1</v>
      </c>
      <c r="I723" s="2">
        <v>0.1</v>
      </c>
      <c r="J723" s="2">
        <v>29</v>
      </c>
      <c r="K723" s="2" t="s">
        <v>21</v>
      </c>
      <c r="L723" s="2">
        <v>5.37</v>
      </c>
      <c r="M723" s="2" t="s">
        <v>22</v>
      </c>
      <c r="N723" s="2">
        <v>76.040000000000006</v>
      </c>
      <c r="O723" s="2" t="s">
        <v>30</v>
      </c>
      <c r="P723" s="2">
        <v>5.35</v>
      </c>
      <c r="Q723" s="2">
        <v>5.88</v>
      </c>
      <c r="R723" s="3">
        <f t="shared" si="55"/>
        <v>3585.8374999999996</v>
      </c>
      <c r="S723" s="3">
        <f t="shared" si="56"/>
        <v>3941.0699999999997</v>
      </c>
      <c r="T723" s="3">
        <f t="shared" si="57"/>
        <v>355.23250000000007</v>
      </c>
      <c r="U723" s="4">
        <f t="shared" si="58"/>
        <v>9.0136054421768738E-2</v>
      </c>
      <c r="V723" s="5">
        <f t="shared" si="59"/>
        <v>35.992425000000004</v>
      </c>
    </row>
    <row r="724" spans="1:22" x14ac:dyDescent="0.25">
      <c r="A724" s="2" t="s">
        <v>758</v>
      </c>
      <c r="B724" s="2" t="s">
        <v>26</v>
      </c>
      <c r="C724" s="2" t="s">
        <v>27</v>
      </c>
      <c r="D724" s="2" t="s">
        <v>20</v>
      </c>
      <c r="E724" s="2">
        <v>520.23</v>
      </c>
      <c r="F724" s="2">
        <v>15.81</v>
      </c>
      <c r="G724" s="2">
        <v>31.79</v>
      </c>
      <c r="H724" s="2">
        <v>0.4</v>
      </c>
      <c r="I724" s="2">
        <v>0.8</v>
      </c>
      <c r="J724" s="2">
        <v>29</v>
      </c>
      <c r="K724" s="2" t="s">
        <v>34</v>
      </c>
      <c r="L724" s="2">
        <v>8.2200000000000006</v>
      </c>
      <c r="M724" s="2" t="s">
        <v>22</v>
      </c>
      <c r="N724" s="2">
        <v>98.09</v>
      </c>
      <c r="O724" s="2" t="s">
        <v>30</v>
      </c>
      <c r="P724" s="2">
        <v>4.32</v>
      </c>
      <c r="Q724" s="2">
        <v>11.61</v>
      </c>
      <c r="R724" s="3">
        <f t="shared" si="55"/>
        <v>2247.3936000000003</v>
      </c>
      <c r="S724" s="3">
        <f t="shared" si="56"/>
        <v>6039.8702999999996</v>
      </c>
      <c r="T724" s="3">
        <f t="shared" si="57"/>
        <v>3792.4766999999993</v>
      </c>
      <c r="U724" s="4">
        <f t="shared" si="58"/>
        <v>0.62790697674418594</v>
      </c>
      <c r="V724" s="5">
        <f t="shared" si="59"/>
        <v>42.762906000000001</v>
      </c>
    </row>
    <row r="725" spans="1:22" x14ac:dyDescent="0.25">
      <c r="A725" s="2" t="s">
        <v>759</v>
      </c>
      <c r="B725" s="2" t="s">
        <v>32</v>
      </c>
      <c r="C725" s="2" t="s">
        <v>19</v>
      </c>
      <c r="D725" s="2" t="s">
        <v>20</v>
      </c>
      <c r="E725" s="2">
        <v>663.19</v>
      </c>
      <c r="F725" s="2">
        <v>11.9</v>
      </c>
      <c r="G725" s="2">
        <v>30.5</v>
      </c>
      <c r="H725" s="2">
        <v>0.6</v>
      </c>
      <c r="I725" s="2">
        <v>0.3</v>
      </c>
      <c r="J725" s="2">
        <v>28</v>
      </c>
      <c r="K725" s="2" t="s">
        <v>29</v>
      </c>
      <c r="L725" s="2">
        <v>5.22</v>
      </c>
      <c r="M725" s="2" t="s">
        <v>22</v>
      </c>
      <c r="N725" s="2">
        <v>64.22</v>
      </c>
      <c r="O725" s="2" t="s">
        <v>24</v>
      </c>
      <c r="P725" s="2">
        <v>4.79</v>
      </c>
      <c r="Q725" s="2">
        <v>11.01</v>
      </c>
      <c r="R725" s="3">
        <f t="shared" si="55"/>
        <v>3176.6801000000005</v>
      </c>
      <c r="S725" s="3">
        <f t="shared" si="56"/>
        <v>7301.7219000000005</v>
      </c>
      <c r="T725" s="3">
        <f t="shared" si="57"/>
        <v>4125.0418</v>
      </c>
      <c r="U725" s="4">
        <f t="shared" si="58"/>
        <v>0.56494096276112626</v>
      </c>
      <c r="V725" s="5">
        <f t="shared" si="59"/>
        <v>34.618518000000002</v>
      </c>
    </row>
    <row r="726" spans="1:22" x14ac:dyDescent="0.25">
      <c r="A726" s="2" t="s">
        <v>760</v>
      </c>
      <c r="B726" s="2" t="s">
        <v>32</v>
      </c>
      <c r="C726" s="2" t="s">
        <v>43</v>
      </c>
      <c r="D726" s="2" t="s">
        <v>28</v>
      </c>
      <c r="E726" s="2">
        <v>426.7</v>
      </c>
      <c r="F726" s="2">
        <v>13.79</v>
      </c>
      <c r="G726" s="2">
        <v>24.06</v>
      </c>
      <c r="H726" s="2">
        <v>1.4</v>
      </c>
      <c r="I726" s="2">
        <v>1</v>
      </c>
      <c r="J726" s="2">
        <v>26</v>
      </c>
      <c r="K726" s="2" t="s">
        <v>21</v>
      </c>
      <c r="L726" s="2">
        <v>9.59</v>
      </c>
      <c r="M726" s="2" t="s">
        <v>22</v>
      </c>
      <c r="N726" s="2">
        <v>88.08</v>
      </c>
      <c r="O726" s="2" t="s">
        <v>23</v>
      </c>
      <c r="P726" s="2">
        <v>6.73</v>
      </c>
      <c r="Q726" s="2">
        <v>11.48</v>
      </c>
      <c r="R726" s="3">
        <f t="shared" si="55"/>
        <v>2871.6910000000003</v>
      </c>
      <c r="S726" s="3">
        <f t="shared" si="56"/>
        <v>4898.5159999999996</v>
      </c>
      <c r="T726" s="3">
        <f t="shared" si="57"/>
        <v>2026.8249999999994</v>
      </c>
      <c r="U726" s="4">
        <f t="shared" si="58"/>
        <v>0.41376306620209047</v>
      </c>
      <c r="V726" s="5">
        <f t="shared" si="59"/>
        <v>40.920529999999999</v>
      </c>
    </row>
    <row r="727" spans="1:22" x14ac:dyDescent="0.25">
      <c r="A727" s="2" t="s">
        <v>761</v>
      </c>
      <c r="B727" s="2" t="s">
        <v>32</v>
      </c>
      <c r="C727" s="2" t="s">
        <v>33</v>
      </c>
      <c r="D727" s="2" t="s">
        <v>28</v>
      </c>
      <c r="E727" s="2">
        <v>681.81</v>
      </c>
      <c r="F727" s="2">
        <v>17.11</v>
      </c>
      <c r="G727" s="2">
        <v>29.04</v>
      </c>
      <c r="H727" s="2">
        <v>0.8</v>
      </c>
      <c r="I727" s="2">
        <v>3.8</v>
      </c>
      <c r="J727" s="2">
        <v>8</v>
      </c>
      <c r="K727" s="2" t="s">
        <v>29</v>
      </c>
      <c r="L727" s="2">
        <v>7.65</v>
      </c>
      <c r="M727" s="2" t="s">
        <v>40</v>
      </c>
      <c r="N727" s="2">
        <v>78.739999999999995</v>
      </c>
      <c r="O727" s="2" t="s">
        <v>30</v>
      </c>
      <c r="P727" s="2">
        <v>4.96</v>
      </c>
      <c r="Q727" s="2">
        <v>11.88</v>
      </c>
      <c r="R727" s="3">
        <f t="shared" si="55"/>
        <v>3381.7775999999999</v>
      </c>
      <c r="S727" s="3">
        <f t="shared" si="56"/>
        <v>8099.9027999999998</v>
      </c>
      <c r="T727" s="3">
        <f t="shared" si="57"/>
        <v>4718.1252000000004</v>
      </c>
      <c r="U727" s="4">
        <f t="shared" si="58"/>
        <v>0.5824915824915825</v>
      </c>
      <c r="V727" s="5">
        <f t="shared" si="59"/>
        <v>52.158465</v>
      </c>
    </row>
    <row r="728" spans="1:22" x14ac:dyDescent="0.25">
      <c r="A728" s="2" t="s">
        <v>762</v>
      </c>
      <c r="B728" s="2" t="s">
        <v>18</v>
      </c>
      <c r="C728" s="2" t="s">
        <v>27</v>
      </c>
      <c r="D728" s="2" t="s">
        <v>28</v>
      </c>
      <c r="E728" s="2">
        <v>577.52</v>
      </c>
      <c r="F728" s="2">
        <v>13.54</v>
      </c>
      <c r="G728" s="2">
        <v>35.94</v>
      </c>
      <c r="H728" s="2">
        <v>3.9</v>
      </c>
      <c r="I728" s="2">
        <v>0.1</v>
      </c>
      <c r="J728" s="2">
        <v>3</v>
      </c>
      <c r="K728" s="2" t="s">
        <v>29</v>
      </c>
      <c r="L728" s="2">
        <v>2.13</v>
      </c>
      <c r="M728" s="2" t="s">
        <v>40</v>
      </c>
      <c r="N728" s="2">
        <v>85.04</v>
      </c>
      <c r="O728" s="2" t="s">
        <v>30</v>
      </c>
      <c r="P728" s="2">
        <v>6.79</v>
      </c>
      <c r="Q728" s="2">
        <v>12.57</v>
      </c>
      <c r="R728" s="3">
        <f t="shared" si="55"/>
        <v>3921.3607999999999</v>
      </c>
      <c r="S728" s="3">
        <f t="shared" si="56"/>
        <v>7259.4264000000003</v>
      </c>
      <c r="T728" s="3">
        <f t="shared" si="57"/>
        <v>3338.0656000000004</v>
      </c>
      <c r="U728" s="4">
        <f t="shared" si="58"/>
        <v>0.45982498011137635</v>
      </c>
      <c r="V728" s="5">
        <f t="shared" si="59"/>
        <v>12.301175999999998</v>
      </c>
    </row>
    <row r="729" spans="1:22" x14ac:dyDescent="0.25">
      <c r="A729" s="2" t="s">
        <v>763</v>
      </c>
      <c r="B729" s="2" t="s">
        <v>18</v>
      </c>
      <c r="C729" s="2" t="s">
        <v>43</v>
      </c>
      <c r="D729" s="2" t="s">
        <v>28</v>
      </c>
      <c r="E729" s="2">
        <v>555.29999999999995</v>
      </c>
      <c r="F729" s="2">
        <v>9.74</v>
      </c>
      <c r="G729" s="2">
        <v>31.81</v>
      </c>
      <c r="H729" s="2">
        <v>1.3</v>
      </c>
      <c r="I729" s="2">
        <v>0.2</v>
      </c>
      <c r="J729" s="2">
        <v>2</v>
      </c>
      <c r="K729" s="2" t="s">
        <v>29</v>
      </c>
      <c r="L729" s="2">
        <v>8.3800000000000008</v>
      </c>
      <c r="M729" s="2" t="s">
        <v>40</v>
      </c>
      <c r="N729" s="2">
        <v>70.89</v>
      </c>
      <c r="O729" s="2" t="s">
        <v>24</v>
      </c>
      <c r="P729" s="2">
        <v>7.95</v>
      </c>
      <c r="Q729" s="2">
        <v>7.07</v>
      </c>
      <c r="R729" s="3">
        <f t="shared" si="55"/>
        <v>4414.6349999999993</v>
      </c>
      <c r="S729" s="3">
        <f t="shared" si="56"/>
        <v>3925.971</v>
      </c>
      <c r="T729" s="3">
        <f t="shared" si="57"/>
        <v>-488.66399999999931</v>
      </c>
      <c r="U729" s="4">
        <f t="shared" si="58"/>
        <v>-0.1244695898161243</v>
      </c>
      <c r="V729" s="5">
        <f t="shared" si="59"/>
        <v>46.534140000000001</v>
      </c>
    </row>
    <row r="730" spans="1:22" x14ac:dyDescent="0.25">
      <c r="A730" s="2" t="s">
        <v>764</v>
      </c>
      <c r="B730" s="2" t="s">
        <v>32</v>
      </c>
      <c r="C730" s="2" t="s">
        <v>19</v>
      </c>
      <c r="D730" s="2" t="s">
        <v>28</v>
      </c>
      <c r="E730" s="2">
        <v>523.4</v>
      </c>
      <c r="F730" s="2">
        <v>11.79</v>
      </c>
      <c r="G730" s="2">
        <v>21.94</v>
      </c>
      <c r="H730" s="2">
        <v>3.2</v>
      </c>
      <c r="I730" s="2">
        <v>0.6</v>
      </c>
      <c r="J730" s="2">
        <v>25</v>
      </c>
      <c r="K730" s="2" t="s">
        <v>34</v>
      </c>
      <c r="L730" s="2">
        <v>5.74</v>
      </c>
      <c r="M730" s="2" t="s">
        <v>22</v>
      </c>
      <c r="N730" s="2">
        <v>63.96</v>
      </c>
      <c r="O730" s="2" t="s">
        <v>23</v>
      </c>
      <c r="P730" s="2">
        <v>8.14</v>
      </c>
      <c r="Q730" s="2">
        <v>11.22</v>
      </c>
      <c r="R730" s="3">
        <f t="shared" si="55"/>
        <v>4260.4759999999997</v>
      </c>
      <c r="S730" s="3">
        <f t="shared" si="56"/>
        <v>5872.5479999999998</v>
      </c>
      <c r="T730" s="3">
        <f t="shared" si="57"/>
        <v>1612.0720000000001</v>
      </c>
      <c r="U730" s="4">
        <f t="shared" si="58"/>
        <v>0.27450980392156865</v>
      </c>
      <c r="V730" s="5">
        <f t="shared" si="59"/>
        <v>30.043159999999997</v>
      </c>
    </row>
    <row r="731" spans="1:22" x14ac:dyDescent="0.25">
      <c r="A731" s="2" t="s">
        <v>765</v>
      </c>
      <c r="B731" s="2" t="s">
        <v>26</v>
      </c>
      <c r="C731" s="2" t="s">
        <v>43</v>
      </c>
      <c r="D731" s="2" t="s">
        <v>28</v>
      </c>
      <c r="E731" s="2">
        <v>475.15</v>
      </c>
      <c r="F731" s="2">
        <v>16.43</v>
      </c>
      <c r="G731" s="2">
        <v>30.96</v>
      </c>
      <c r="H731" s="2">
        <v>1.7</v>
      </c>
      <c r="I731" s="2">
        <v>3.5</v>
      </c>
      <c r="J731" s="2">
        <v>19</v>
      </c>
      <c r="K731" s="2" t="s">
        <v>21</v>
      </c>
      <c r="L731" s="2">
        <v>9.85</v>
      </c>
      <c r="M731" s="2" t="s">
        <v>37</v>
      </c>
      <c r="N731" s="2">
        <v>77.31</v>
      </c>
      <c r="O731" s="2" t="s">
        <v>30</v>
      </c>
      <c r="P731" s="2">
        <v>4.1500000000000004</v>
      </c>
      <c r="Q731" s="2">
        <v>10.8</v>
      </c>
      <c r="R731" s="3">
        <f t="shared" si="55"/>
        <v>1971.8725000000002</v>
      </c>
      <c r="S731" s="3">
        <f t="shared" si="56"/>
        <v>5131.62</v>
      </c>
      <c r="T731" s="3">
        <f t="shared" si="57"/>
        <v>3159.7474999999995</v>
      </c>
      <c r="U731" s="4">
        <f t="shared" si="58"/>
        <v>0.6157407407407407</v>
      </c>
      <c r="V731" s="5">
        <f t="shared" si="59"/>
        <v>46.802275000000002</v>
      </c>
    </row>
    <row r="732" spans="1:22" x14ac:dyDescent="0.25">
      <c r="A732" s="2" t="s">
        <v>766</v>
      </c>
      <c r="B732" s="2" t="s">
        <v>18</v>
      </c>
      <c r="C732" s="2" t="s">
        <v>19</v>
      </c>
      <c r="D732" s="2" t="s">
        <v>20</v>
      </c>
      <c r="E732" s="2">
        <v>620.04999999999995</v>
      </c>
      <c r="F732" s="2">
        <v>14.44</v>
      </c>
      <c r="G732" s="2">
        <v>34.049999999999997</v>
      </c>
      <c r="H732" s="2">
        <v>3</v>
      </c>
      <c r="I732" s="2">
        <v>1.5</v>
      </c>
      <c r="J732" s="2">
        <v>8</v>
      </c>
      <c r="K732" s="2" t="s">
        <v>29</v>
      </c>
      <c r="L732" s="2">
        <v>7.33</v>
      </c>
      <c r="M732" s="2" t="s">
        <v>40</v>
      </c>
      <c r="N732" s="2">
        <v>68.75</v>
      </c>
      <c r="O732" s="2" t="s">
        <v>30</v>
      </c>
      <c r="P732" s="2">
        <v>8.25</v>
      </c>
      <c r="Q732" s="2">
        <v>14.44</v>
      </c>
      <c r="R732" s="3">
        <f t="shared" si="55"/>
        <v>5115.4124999999995</v>
      </c>
      <c r="S732" s="3">
        <f t="shared" si="56"/>
        <v>8953.521999999999</v>
      </c>
      <c r="T732" s="3">
        <f t="shared" si="57"/>
        <v>3838.1094999999996</v>
      </c>
      <c r="U732" s="4">
        <f t="shared" si="58"/>
        <v>0.42867036011080334</v>
      </c>
      <c r="V732" s="5">
        <f t="shared" si="59"/>
        <v>45.449664999999996</v>
      </c>
    </row>
    <row r="733" spans="1:22" x14ac:dyDescent="0.25">
      <c r="A733" s="2" t="s">
        <v>767</v>
      </c>
      <c r="B733" s="2" t="s">
        <v>32</v>
      </c>
      <c r="C733" s="2" t="s">
        <v>33</v>
      </c>
      <c r="D733" s="2" t="s">
        <v>28</v>
      </c>
      <c r="E733" s="2">
        <v>514.04</v>
      </c>
      <c r="F733" s="2">
        <v>14.51</v>
      </c>
      <c r="G733" s="2">
        <v>35.85</v>
      </c>
      <c r="H733" s="2">
        <v>0.8</v>
      </c>
      <c r="I733" s="2">
        <v>2.2999999999999998</v>
      </c>
      <c r="J733" s="2">
        <v>2</v>
      </c>
      <c r="K733" s="2" t="s">
        <v>29</v>
      </c>
      <c r="L733" s="2">
        <v>1.3</v>
      </c>
      <c r="M733" s="2" t="s">
        <v>40</v>
      </c>
      <c r="N733" s="2">
        <v>61.15</v>
      </c>
      <c r="O733" s="2" t="s">
        <v>30</v>
      </c>
      <c r="P733" s="2">
        <v>7.71</v>
      </c>
      <c r="Q733" s="2">
        <v>7.32</v>
      </c>
      <c r="R733" s="3">
        <f t="shared" si="55"/>
        <v>3963.2483999999995</v>
      </c>
      <c r="S733" s="3">
        <f t="shared" si="56"/>
        <v>3762.7727999999997</v>
      </c>
      <c r="T733" s="3">
        <f t="shared" si="57"/>
        <v>-200.47559999999976</v>
      </c>
      <c r="U733" s="4">
        <f t="shared" si="58"/>
        <v>-5.3278688524590105E-2</v>
      </c>
      <c r="V733" s="5">
        <f t="shared" si="59"/>
        <v>6.6825199999999993</v>
      </c>
    </row>
    <row r="734" spans="1:22" x14ac:dyDescent="0.25">
      <c r="A734" s="2" t="s">
        <v>768</v>
      </c>
      <c r="B734" s="2" t="s">
        <v>32</v>
      </c>
      <c r="C734" s="2" t="s">
        <v>27</v>
      </c>
      <c r="D734" s="2" t="s">
        <v>28</v>
      </c>
      <c r="E734" s="2">
        <v>303.29000000000002</v>
      </c>
      <c r="F734" s="2">
        <v>16.670000000000002</v>
      </c>
      <c r="G734" s="2">
        <v>32.58</v>
      </c>
      <c r="H734" s="2">
        <v>3.6</v>
      </c>
      <c r="I734" s="2">
        <v>0.4</v>
      </c>
      <c r="J734" s="2">
        <v>19</v>
      </c>
      <c r="K734" s="2" t="s">
        <v>29</v>
      </c>
      <c r="L734" s="2">
        <v>4.25</v>
      </c>
      <c r="M734" s="2" t="s">
        <v>22</v>
      </c>
      <c r="N734" s="2">
        <v>91.96</v>
      </c>
      <c r="O734" s="2" t="s">
        <v>30</v>
      </c>
      <c r="P734" s="2">
        <v>3.08</v>
      </c>
      <c r="Q734" s="2">
        <v>5.59</v>
      </c>
      <c r="R734" s="3">
        <f t="shared" si="55"/>
        <v>934.1332000000001</v>
      </c>
      <c r="S734" s="3">
        <f t="shared" si="56"/>
        <v>1695.3911000000001</v>
      </c>
      <c r="T734" s="3">
        <f t="shared" si="57"/>
        <v>761.25789999999995</v>
      </c>
      <c r="U734" s="4">
        <f t="shared" si="58"/>
        <v>0.44901610017889082</v>
      </c>
      <c r="V734" s="5">
        <f t="shared" si="59"/>
        <v>12.889825</v>
      </c>
    </row>
    <row r="735" spans="1:22" x14ac:dyDescent="0.25">
      <c r="A735" s="2" t="s">
        <v>769</v>
      </c>
      <c r="B735" s="2" t="s">
        <v>26</v>
      </c>
      <c r="C735" s="2" t="s">
        <v>27</v>
      </c>
      <c r="D735" s="2" t="s">
        <v>20</v>
      </c>
      <c r="E735" s="2">
        <v>388.28</v>
      </c>
      <c r="F735" s="2">
        <v>16.940000000000001</v>
      </c>
      <c r="G735" s="2">
        <v>23.05</v>
      </c>
      <c r="H735" s="2">
        <v>0.6</v>
      </c>
      <c r="I735" s="2">
        <v>4.8</v>
      </c>
      <c r="J735" s="2">
        <v>1</v>
      </c>
      <c r="K735" s="2" t="s">
        <v>34</v>
      </c>
      <c r="L735" s="2">
        <v>5.41</v>
      </c>
      <c r="M735" s="2" t="s">
        <v>37</v>
      </c>
      <c r="N735" s="2">
        <v>73.790000000000006</v>
      </c>
      <c r="O735" s="2" t="s">
        <v>23</v>
      </c>
      <c r="P735" s="2">
        <v>3.41</v>
      </c>
      <c r="Q735" s="2">
        <v>11.53</v>
      </c>
      <c r="R735" s="3">
        <f t="shared" si="55"/>
        <v>1324.0347999999999</v>
      </c>
      <c r="S735" s="3">
        <f t="shared" si="56"/>
        <v>4476.8683999999994</v>
      </c>
      <c r="T735" s="3">
        <f t="shared" si="57"/>
        <v>3152.8335999999995</v>
      </c>
      <c r="U735" s="4">
        <f t="shared" si="58"/>
        <v>0.70424978317432785</v>
      </c>
      <c r="V735" s="5">
        <f t="shared" si="59"/>
        <v>21.005948</v>
      </c>
    </row>
    <row r="736" spans="1:22" x14ac:dyDescent="0.25">
      <c r="A736" s="2" t="s">
        <v>770</v>
      </c>
      <c r="B736" s="2" t="s">
        <v>45</v>
      </c>
      <c r="C736" s="2" t="s">
        <v>27</v>
      </c>
      <c r="D736" s="2" t="s">
        <v>28</v>
      </c>
      <c r="E736" s="2">
        <v>481.42</v>
      </c>
      <c r="F736" s="2">
        <v>17.2</v>
      </c>
      <c r="G736" s="2">
        <v>34.200000000000003</v>
      </c>
      <c r="H736" s="2">
        <v>1.6</v>
      </c>
      <c r="I736" s="2">
        <v>0.1</v>
      </c>
      <c r="J736" s="2">
        <v>27</v>
      </c>
      <c r="K736" s="2" t="s">
        <v>29</v>
      </c>
      <c r="L736" s="2">
        <v>8.4700000000000006</v>
      </c>
      <c r="M736" s="2" t="s">
        <v>37</v>
      </c>
      <c r="N736" s="2">
        <v>92.37</v>
      </c>
      <c r="O736" s="2" t="s">
        <v>24</v>
      </c>
      <c r="P736" s="2">
        <v>7.52</v>
      </c>
      <c r="Q736" s="2">
        <v>12.4</v>
      </c>
      <c r="R736" s="3">
        <f t="shared" si="55"/>
        <v>3620.2783999999997</v>
      </c>
      <c r="S736" s="3">
        <f t="shared" si="56"/>
        <v>5969.6080000000002</v>
      </c>
      <c r="T736" s="3">
        <f t="shared" si="57"/>
        <v>2349.3296000000005</v>
      </c>
      <c r="U736" s="4">
        <f t="shared" si="58"/>
        <v>0.39354838709677425</v>
      </c>
      <c r="V736" s="5">
        <f t="shared" si="59"/>
        <v>40.776274000000001</v>
      </c>
    </row>
    <row r="737" spans="1:22" x14ac:dyDescent="0.25">
      <c r="A737" s="2" t="s">
        <v>771</v>
      </c>
      <c r="B737" s="2" t="s">
        <v>18</v>
      </c>
      <c r="C737" s="2" t="s">
        <v>33</v>
      </c>
      <c r="D737" s="2" t="s">
        <v>28</v>
      </c>
      <c r="E737" s="2">
        <v>531</v>
      </c>
      <c r="F737" s="2">
        <v>8.9499999999999993</v>
      </c>
      <c r="G737" s="2">
        <v>33.549999999999997</v>
      </c>
      <c r="H737" s="2">
        <v>0.5</v>
      </c>
      <c r="I737" s="2">
        <v>0.1</v>
      </c>
      <c r="J737" s="2">
        <v>22</v>
      </c>
      <c r="K737" s="2" t="s">
        <v>34</v>
      </c>
      <c r="L737" s="2">
        <v>7.43</v>
      </c>
      <c r="M737" s="2" t="s">
        <v>37</v>
      </c>
      <c r="N737" s="2">
        <v>73.7</v>
      </c>
      <c r="O737" s="2" t="s">
        <v>23</v>
      </c>
      <c r="P737" s="2">
        <v>5.69</v>
      </c>
      <c r="Q737" s="2">
        <v>7.83</v>
      </c>
      <c r="R737" s="3">
        <f t="shared" si="55"/>
        <v>3021.3900000000003</v>
      </c>
      <c r="S737" s="3">
        <f t="shared" si="56"/>
        <v>4157.7300000000005</v>
      </c>
      <c r="T737" s="3">
        <f t="shared" si="57"/>
        <v>1136.3400000000001</v>
      </c>
      <c r="U737" s="4">
        <f t="shared" si="58"/>
        <v>0.27330779054916987</v>
      </c>
      <c r="V737" s="5">
        <f t="shared" si="59"/>
        <v>39.453299999999999</v>
      </c>
    </row>
    <row r="738" spans="1:22" x14ac:dyDescent="0.25">
      <c r="A738" s="2" t="s">
        <v>772</v>
      </c>
      <c r="B738" s="2" t="s">
        <v>26</v>
      </c>
      <c r="C738" s="2" t="s">
        <v>19</v>
      </c>
      <c r="D738" s="2" t="s">
        <v>28</v>
      </c>
      <c r="E738" s="2">
        <v>494.34</v>
      </c>
      <c r="F738" s="2">
        <v>13.44</v>
      </c>
      <c r="G738" s="2">
        <v>20.49</v>
      </c>
      <c r="H738" s="2">
        <v>1.3</v>
      </c>
      <c r="I738" s="2">
        <v>1.9</v>
      </c>
      <c r="J738" s="2">
        <v>13</v>
      </c>
      <c r="K738" s="2" t="s">
        <v>34</v>
      </c>
      <c r="L738" s="2">
        <v>4.01</v>
      </c>
      <c r="M738" s="2" t="s">
        <v>22</v>
      </c>
      <c r="N738" s="2">
        <v>77.84</v>
      </c>
      <c r="O738" s="2" t="s">
        <v>24</v>
      </c>
      <c r="P738" s="2">
        <v>4.0199999999999996</v>
      </c>
      <c r="Q738" s="2">
        <v>10.71</v>
      </c>
      <c r="R738" s="3">
        <f t="shared" si="55"/>
        <v>1987.2467999999997</v>
      </c>
      <c r="S738" s="3">
        <f t="shared" si="56"/>
        <v>5294.3814000000002</v>
      </c>
      <c r="T738" s="3">
        <f t="shared" si="57"/>
        <v>3307.1346000000003</v>
      </c>
      <c r="U738" s="4">
        <f t="shared" si="58"/>
        <v>0.62464985994397759</v>
      </c>
      <c r="V738" s="5">
        <f t="shared" si="59"/>
        <v>19.823033999999996</v>
      </c>
    </row>
    <row r="739" spans="1:22" x14ac:dyDescent="0.25">
      <c r="A739" s="2" t="s">
        <v>773</v>
      </c>
      <c r="B739" s="2" t="s">
        <v>32</v>
      </c>
      <c r="C739" s="2" t="s">
        <v>33</v>
      </c>
      <c r="D739" s="2" t="s">
        <v>28</v>
      </c>
      <c r="E739" s="2">
        <v>621.9</v>
      </c>
      <c r="F739" s="2">
        <v>15.41</v>
      </c>
      <c r="G739" s="2">
        <v>28.23</v>
      </c>
      <c r="H739" s="2">
        <v>0.8</v>
      </c>
      <c r="I739" s="2">
        <v>2.6</v>
      </c>
      <c r="J739" s="2">
        <v>23</v>
      </c>
      <c r="K739" s="2" t="s">
        <v>29</v>
      </c>
      <c r="L739" s="2">
        <v>6.71</v>
      </c>
      <c r="M739" s="2" t="s">
        <v>37</v>
      </c>
      <c r="N739" s="2">
        <v>99.76</v>
      </c>
      <c r="O739" s="2" t="s">
        <v>30</v>
      </c>
      <c r="P739" s="2">
        <v>3.31</v>
      </c>
      <c r="Q739" s="2">
        <v>5.6</v>
      </c>
      <c r="R739" s="3">
        <f t="shared" si="55"/>
        <v>2058.489</v>
      </c>
      <c r="S739" s="3">
        <f t="shared" si="56"/>
        <v>3482.64</v>
      </c>
      <c r="T739" s="3">
        <f t="shared" si="57"/>
        <v>1424.1509999999998</v>
      </c>
      <c r="U739" s="4">
        <f t="shared" si="58"/>
        <v>0.40892857142857142</v>
      </c>
      <c r="V739" s="5">
        <f t="shared" si="59"/>
        <v>41.729489999999998</v>
      </c>
    </row>
    <row r="740" spans="1:22" x14ac:dyDescent="0.25">
      <c r="A740" s="2" t="s">
        <v>774</v>
      </c>
      <c r="B740" s="2" t="s">
        <v>32</v>
      </c>
      <c r="C740" s="2" t="s">
        <v>27</v>
      </c>
      <c r="D740" s="2" t="s">
        <v>28</v>
      </c>
      <c r="E740" s="2">
        <v>304.89</v>
      </c>
      <c r="F740" s="2">
        <v>15.57</v>
      </c>
      <c r="G740" s="2">
        <v>26.66</v>
      </c>
      <c r="H740" s="2">
        <v>0.6</v>
      </c>
      <c r="I740" s="2">
        <v>0.1</v>
      </c>
      <c r="J740" s="2">
        <v>20</v>
      </c>
      <c r="K740" s="2" t="s">
        <v>29</v>
      </c>
      <c r="L740" s="2">
        <v>5.98</v>
      </c>
      <c r="M740" s="2" t="s">
        <v>40</v>
      </c>
      <c r="N740" s="2">
        <v>97.58</v>
      </c>
      <c r="O740" s="2" t="s">
        <v>23</v>
      </c>
      <c r="P740" s="2">
        <v>4.12</v>
      </c>
      <c r="Q740" s="2">
        <v>14.6</v>
      </c>
      <c r="R740" s="3">
        <f t="shared" si="55"/>
        <v>1256.1468</v>
      </c>
      <c r="S740" s="3">
        <f t="shared" si="56"/>
        <v>4451.3939999999993</v>
      </c>
      <c r="T740" s="3">
        <f t="shared" si="57"/>
        <v>3195.2471999999993</v>
      </c>
      <c r="U740" s="4">
        <f t="shared" si="58"/>
        <v>0.71780821917808213</v>
      </c>
      <c r="V740" s="5">
        <f t="shared" si="59"/>
        <v>18.232422</v>
      </c>
    </row>
    <row r="741" spans="1:22" x14ac:dyDescent="0.25">
      <c r="A741" s="2" t="s">
        <v>775</v>
      </c>
      <c r="B741" s="2" t="s">
        <v>26</v>
      </c>
      <c r="C741" s="2" t="s">
        <v>33</v>
      </c>
      <c r="D741" s="2" t="s">
        <v>20</v>
      </c>
      <c r="E741" s="2">
        <v>514.36</v>
      </c>
      <c r="F741" s="2">
        <v>14.07</v>
      </c>
      <c r="G741" s="2">
        <v>33.39</v>
      </c>
      <c r="H741" s="2">
        <v>6.8</v>
      </c>
      <c r="I741" s="2">
        <v>0.1</v>
      </c>
      <c r="J741" s="2">
        <v>17</v>
      </c>
      <c r="K741" s="2" t="s">
        <v>34</v>
      </c>
      <c r="L741" s="2">
        <v>1.7</v>
      </c>
      <c r="M741" s="2" t="s">
        <v>40</v>
      </c>
      <c r="N741" s="2">
        <v>63.58</v>
      </c>
      <c r="O741" s="2" t="s">
        <v>24</v>
      </c>
      <c r="P741" s="2">
        <v>9.6999999999999993</v>
      </c>
      <c r="Q741" s="2">
        <v>6.1</v>
      </c>
      <c r="R741" s="3">
        <f t="shared" si="55"/>
        <v>4989.2919999999995</v>
      </c>
      <c r="S741" s="3">
        <f t="shared" si="56"/>
        <v>3137.596</v>
      </c>
      <c r="T741" s="3">
        <f t="shared" si="57"/>
        <v>-1851.6959999999995</v>
      </c>
      <c r="U741" s="4">
        <f t="shared" si="58"/>
        <v>-0.59016393442622939</v>
      </c>
      <c r="V741" s="5">
        <f t="shared" si="59"/>
        <v>8.7441200000000006</v>
      </c>
    </row>
    <row r="742" spans="1:22" x14ac:dyDescent="0.25">
      <c r="A742" s="2" t="s">
        <v>776</v>
      </c>
      <c r="B742" s="2" t="s">
        <v>18</v>
      </c>
      <c r="C742" s="2" t="s">
        <v>33</v>
      </c>
      <c r="D742" s="2" t="s">
        <v>28</v>
      </c>
      <c r="E742" s="2">
        <v>318.2</v>
      </c>
      <c r="F742" s="2">
        <v>9.67</v>
      </c>
      <c r="G742" s="2">
        <v>24.32</v>
      </c>
      <c r="H742" s="2">
        <v>0.3</v>
      </c>
      <c r="I742" s="2">
        <v>0</v>
      </c>
      <c r="J742" s="2">
        <v>3</v>
      </c>
      <c r="K742" s="2" t="s">
        <v>34</v>
      </c>
      <c r="L742" s="2">
        <v>2.73</v>
      </c>
      <c r="M742" s="2" t="s">
        <v>40</v>
      </c>
      <c r="N742" s="2">
        <v>93.43</v>
      </c>
      <c r="O742" s="2" t="s">
        <v>24</v>
      </c>
      <c r="P742" s="2">
        <v>8.09</v>
      </c>
      <c r="Q742" s="2">
        <v>5.68</v>
      </c>
      <c r="R742" s="3">
        <f t="shared" si="55"/>
        <v>2574.2379999999998</v>
      </c>
      <c r="S742" s="3">
        <f t="shared" si="56"/>
        <v>1807.3759999999997</v>
      </c>
      <c r="T742" s="3">
        <f t="shared" si="57"/>
        <v>-766.86200000000008</v>
      </c>
      <c r="U742" s="4">
        <f t="shared" si="58"/>
        <v>-0.42429577464788742</v>
      </c>
      <c r="V742" s="5">
        <f t="shared" si="59"/>
        <v>8.6868599999999994</v>
      </c>
    </row>
    <row r="743" spans="1:22" x14ac:dyDescent="0.25">
      <c r="A743" s="2" t="s">
        <v>777</v>
      </c>
      <c r="B743" s="2" t="s">
        <v>45</v>
      </c>
      <c r="C743" s="2" t="s">
        <v>33</v>
      </c>
      <c r="D743" s="2" t="s">
        <v>20</v>
      </c>
      <c r="E743" s="2">
        <v>575.97</v>
      </c>
      <c r="F743" s="2">
        <v>15.97</v>
      </c>
      <c r="G743" s="2">
        <v>31.82</v>
      </c>
      <c r="H743" s="2">
        <v>3.1</v>
      </c>
      <c r="I743" s="2">
        <v>0.1</v>
      </c>
      <c r="J743" s="2">
        <v>9</v>
      </c>
      <c r="K743" s="2" t="s">
        <v>29</v>
      </c>
      <c r="L743" s="2">
        <v>3.74</v>
      </c>
      <c r="M743" s="2" t="s">
        <v>22</v>
      </c>
      <c r="N743" s="2">
        <v>69.52</v>
      </c>
      <c r="O743" s="2" t="s">
        <v>30</v>
      </c>
      <c r="P743" s="2">
        <v>6.69</v>
      </c>
      <c r="Q743" s="2">
        <v>5.44</v>
      </c>
      <c r="R743" s="3">
        <f t="shared" si="55"/>
        <v>3853.2393000000002</v>
      </c>
      <c r="S743" s="3">
        <f t="shared" si="56"/>
        <v>3133.2768000000005</v>
      </c>
      <c r="T743" s="3">
        <f t="shared" si="57"/>
        <v>-719.96249999999964</v>
      </c>
      <c r="U743" s="4">
        <f t="shared" si="58"/>
        <v>-0.22977941176470573</v>
      </c>
      <c r="V743" s="5">
        <f t="shared" si="59"/>
        <v>21.541278000000002</v>
      </c>
    </row>
    <row r="744" spans="1:22" x14ac:dyDescent="0.25">
      <c r="A744" s="2" t="s">
        <v>778</v>
      </c>
      <c r="B744" s="2" t="s">
        <v>45</v>
      </c>
      <c r="C744" s="2" t="s">
        <v>19</v>
      </c>
      <c r="D744" s="2" t="s">
        <v>20</v>
      </c>
      <c r="E744" s="2">
        <v>490.55</v>
      </c>
      <c r="F744" s="2">
        <v>15.2</v>
      </c>
      <c r="G744" s="2">
        <v>38.26</v>
      </c>
      <c r="H744" s="2">
        <v>8.3000000000000007</v>
      </c>
      <c r="I744" s="2">
        <v>0.2</v>
      </c>
      <c r="J744" s="2">
        <v>5</v>
      </c>
      <c r="K744" s="2" t="s">
        <v>34</v>
      </c>
      <c r="L744" s="2">
        <v>2.36</v>
      </c>
      <c r="M744" s="2" t="s">
        <v>37</v>
      </c>
      <c r="N744" s="2">
        <v>53.56</v>
      </c>
      <c r="O744" s="2" t="s">
        <v>24</v>
      </c>
      <c r="P744" s="2">
        <v>9.59</v>
      </c>
      <c r="Q744" s="2">
        <v>9.27</v>
      </c>
      <c r="R744" s="3">
        <f t="shared" si="55"/>
        <v>4704.3744999999999</v>
      </c>
      <c r="S744" s="3">
        <f t="shared" si="56"/>
        <v>4547.3985000000002</v>
      </c>
      <c r="T744" s="3">
        <f t="shared" si="57"/>
        <v>-156.97599999999966</v>
      </c>
      <c r="U744" s="4">
        <f t="shared" si="58"/>
        <v>-3.4519956850053858E-2</v>
      </c>
      <c r="V744" s="5">
        <f t="shared" si="59"/>
        <v>11.576979999999999</v>
      </c>
    </row>
    <row r="745" spans="1:22" x14ac:dyDescent="0.25">
      <c r="A745" s="2" t="s">
        <v>779</v>
      </c>
      <c r="B745" s="2" t="s">
        <v>32</v>
      </c>
      <c r="C745" s="2" t="s">
        <v>43</v>
      </c>
      <c r="D745" s="2" t="s">
        <v>28</v>
      </c>
      <c r="E745" s="2">
        <v>541.96</v>
      </c>
      <c r="F745" s="2">
        <v>8.86</v>
      </c>
      <c r="G745" s="2">
        <v>35.96</v>
      </c>
      <c r="H745" s="2">
        <v>0</v>
      </c>
      <c r="I745" s="2">
        <v>3.5</v>
      </c>
      <c r="J745" s="2">
        <v>6</v>
      </c>
      <c r="K745" s="2" t="s">
        <v>34</v>
      </c>
      <c r="L745" s="2">
        <v>1.93</v>
      </c>
      <c r="M745" s="2" t="s">
        <v>22</v>
      </c>
      <c r="N745" s="2">
        <v>78.790000000000006</v>
      </c>
      <c r="O745" s="2" t="s">
        <v>24</v>
      </c>
      <c r="P745" s="2">
        <v>7.33</v>
      </c>
      <c r="Q745" s="2">
        <v>5.97</v>
      </c>
      <c r="R745" s="3">
        <f t="shared" si="55"/>
        <v>3972.5668000000005</v>
      </c>
      <c r="S745" s="3">
        <f t="shared" si="56"/>
        <v>3235.5012000000002</v>
      </c>
      <c r="T745" s="3">
        <f t="shared" si="57"/>
        <v>-737.06560000000036</v>
      </c>
      <c r="U745" s="4">
        <f t="shared" si="58"/>
        <v>-0.22780569514237867</v>
      </c>
      <c r="V745" s="5">
        <f t="shared" si="59"/>
        <v>10.459828</v>
      </c>
    </row>
    <row r="746" spans="1:22" x14ac:dyDescent="0.25">
      <c r="A746" s="2" t="s">
        <v>780</v>
      </c>
      <c r="B746" s="2" t="s">
        <v>18</v>
      </c>
      <c r="C746" s="2" t="s">
        <v>43</v>
      </c>
      <c r="D746" s="2" t="s">
        <v>20</v>
      </c>
      <c r="E746" s="2">
        <v>413.61</v>
      </c>
      <c r="F746" s="2">
        <v>12.64</v>
      </c>
      <c r="G746" s="2">
        <v>38.43</v>
      </c>
      <c r="H746" s="2">
        <v>2.4</v>
      </c>
      <c r="I746" s="2">
        <v>1.1000000000000001</v>
      </c>
      <c r="J746" s="2">
        <v>4</v>
      </c>
      <c r="K746" s="2" t="s">
        <v>29</v>
      </c>
      <c r="L746" s="2">
        <v>1.05</v>
      </c>
      <c r="M746" s="2" t="s">
        <v>37</v>
      </c>
      <c r="N746" s="2">
        <v>98.85</v>
      </c>
      <c r="O746" s="2" t="s">
        <v>24</v>
      </c>
      <c r="P746" s="2">
        <v>8.08</v>
      </c>
      <c r="Q746" s="2">
        <v>12.45</v>
      </c>
      <c r="R746" s="3">
        <f t="shared" si="55"/>
        <v>3341.9688000000001</v>
      </c>
      <c r="S746" s="3">
        <f t="shared" si="56"/>
        <v>5149.4444999999996</v>
      </c>
      <c r="T746" s="3">
        <f t="shared" si="57"/>
        <v>1807.4756999999995</v>
      </c>
      <c r="U746" s="4">
        <f t="shared" si="58"/>
        <v>0.35100401606425696</v>
      </c>
      <c r="V746" s="5">
        <f t="shared" si="59"/>
        <v>4.342905</v>
      </c>
    </row>
    <row r="747" spans="1:22" x14ac:dyDescent="0.25">
      <c r="A747" s="2" t="s">
        <v>781</v>
      </c>
      <c r="B747" s="2" t="s">
        <v>45</v>
      </c>
      <c r="C747" s="2" t="s">
        <v>33</v>
      </c>
      <c r="D747" s="2" t="s">
        <v>28</v>
      </c>
      <c r="E747" s="2">
        <v>627.95000000000005</v>
      </c>
      <c r="F747" s="2">
        <v>9.74</v>
      </c>
      <c r="G747" s="2">
        <v>39.57</v>
      </c>
      <c r="H747" s="2">
        <v>0.6</v>
      </c>
      <c r="I747" s="2">
        <v>1.5</v>
      </c>
      <c r="J747" s="2">
        <v>17</v>
      </c>
      <c r="K747" s="2" t="s">
        <v>29</v>
      </c>
      <c r="L747" s="2">
        <v>8.7899999999999991</v>
      </c>
      <c r="M747" s="2" t="s">
        <v>22</v>
      </c>
      <c r="N747" s="2">
        <v>98.72</v>
      </c>
      <c r="O747" s="2" t="s">
        <v>30</v>
      </c>
      <c r="P747" s="2">
        <v>4.9800000000000004</v>
      </c>
      <c r="Q747" s="2">
        <v>13.99</v>
      </c>
      <c r="R747" s="3">
        <f t="shared" si="55"/>
        <v>3127.1910000000007</v>
      </c>
      <c r="S747" s="3">
        <f t="shared" si="56"/>
        <v>8785.0205000000005</v>
      </c>
      <c r="T747" s="3">
        <f t="shared" si="57"/>
        <v>5657.8294999999998</v>
      </c>
      <c r="U747" s="4">
        <f t="shared" si="58"/>
        <v>0.64403145103645454</v>
      </c>
      <c r="V747" s="5">
        <f t="shared" si="59"/>
        <v>55.196804999999998</v>
      </c>
    </row>
    <row r="748" spans="1:22" x14ac:dyDescent="0.25">
      <c r="A748" s="2" t="s">
        <v>782</v>
      </c>
      <c r="B748" s="2" t="s">
        <v>18</v>
      </c>
      <c r="C748" s="2" t="s">
        <v>43</v>
      </c>
      <c r="D748" s="2" t="s">
        <v>20</v>
      </c>
      <c r="E748" s="2">
        <v>604.16999999999996</v>
      </c>
      <c r="F748" s="2">
        <v>11.37</v>
      </c>
      <c r="G748" s="2">
        <v>20.21</v>
      </c>
      <c r="H748" s="2">
        <v>0.1</v>
      </c>
      <c r="I748" s="2">
        <v>1.5</v>
      </c>
      <c r="J748" s="2">
        <v>21</v>
      </c>
      <c r="K748" s="2" t="s">
        <v>21</v>
      </c>
      <c r="L748" s="2">
        <v>3.24</v>
      </c>
      <c r="M748" s="2" t="s">
        <v>40</v>
      </c>
      <c r="N748" s="2">
        <v>56.32</v>
      </c>
      <c r="O748" s="2" t="s">
        <v>23</v>
      </c>
      <c r="P748" s="2">
        <v>7.12</v>
      </c>
      <c r="Q748" s="2">
        <v>7.6</v>
      </c>
      <c r="R748" s="3">
        <f t="shared" si="55"/>
        <v>4301.6903999999995</v>
      </c>
      <c r="S748" s="3">
        <f t="shared" si="56"/>
        <v>4591.6919999999991</v>
      </c>
      <c r="T748" s="3">
        <f t="shared" si="57"/>
        <v>290.0015999999996</v>
      </c>
      <c r="U748" s="4">
        <f t="shared" si="58"/>
        <v>6.3157894736842024E-2</v>
      </c>
      <c r="V748" s="5">
        <f t="shared" si="59"/>
        <v>19.575108</v>
      </c>
    </row>
    <row r="749" spans="1:22" x14ac:dyDescent="0.25">
      <c r="A749" s="2" t="s">
        <v>783</v>
      </c>
      <c r="B749" s="2" t="s">
        <v>18</v>
      </c>
      <c r="C749" s="2" t="s">
        <v>43</v>
      </c>
      <c r="D749" s="2" t="s">
        <v>20</v>
      </c>
      <c r="E749" s="2">
        <v>558.35</v>
      </c>
      <c r="F749" s="2">
        <v>8.18</v>
      </c>
      <c r="G749" s="2">
        <v>32.450000000000003</v>
      </c>
      <c r="H749" s="2">
        <v>1</v>
      </c>
      <c r="I749" s="2">
        <v>0.8</v>
      </c>
      <c r="J749" s="2">
        <v>21</v>
      </c>
      <c r="K749" s="2" t="s">
        <v>29</v>
      </c>
      <c r="L749" s="2">
        <v>3.26</v>
      </c>
      <c r="M749" s="2" t="s">
        <v>22</v>
      </c>
      <c r="N749" s="2">
        <v>88.56</v>
      </c>
      <c r="O749" s="2" t="s">
        <v>30</v>
      </c>
      <c r="P749" s="2">
        <v>4</v>
      </c>
      <c r="Q749" s="2">
        <v>11.29</v>
      </c>
      <c r="R749" s="3">
        <f t="shared" si="55"/>
        <v>2233.4</v>
      </c>
      <c r="S749" s="3">
        <f t="shared" si="56"/>
        <v>6303.7714999999998</v>
      </c>
      <c r="T749" s="3">
        <f t="shared" si="57"/>
        <v>4070.3714999999997</v>
      </c>
      <c r="U749" s="4">
        <f t="shared" si="58"/>
        <v>0.64570416297608502</v>
      </c>
      <c r="V749" s="5">
        <f t="shared" si="59"/>
        <v>18.202210000000001</v>
      </c>
    </row>
    <row r="750" spans="1:22" x14ac:dyDescent="0.25">
      <c r="A750" s="2" t="s">
        <v>784</v>
      </c>
      <c r="B750" s="2" t="s">
        <v>32</v>
      </c>
      <c r="C750" s="2" t="s">
        <v>33</v>
      </c>
      <c r="D750" s="2" t="s">
        <v>28</v>
      </c>
      <c r="E750" s="2">
        <v>487.05</v>
      </c>
      <c r="F750" s="2">
        <v>12</v>
      </c>
      <c r="G750" s="2">
        <v>28.26</v>
      </c>
      <c r="H750" s="2">
        <v>5.5</v>
      </c>
      <c r="I750" s="2">
        <v>1.6</v>
      </c>
      <c r="J750" s="2">
        <v>21</v>
      </c>
      <c r="K750" s="2" t="s">
        <v>29</v>
      </c>
      <c r="L750" s="2">
        <v>2.46</v>
      </c>
      <c r="M750" s="2" t="s">
        <v>22</v>
      </c>
      <c r="N750" s="2">
        <v>90.14</v>
      </c>
      <c r="O750" s="2" t="s">
        <v>24</v>
      </c>
      <c r="P750" s="2">
        <v>5.83</v>
      </c>
      <c r="Q750" s="2">
        <v>5.42</v>
      </c>
      <c r="R750" s="3">
        <f t="shared" si="55"/>
        <v>2839.5015000000003</v>
      </c>
      <c r="S750" s="3">
        <f t="shared" si="56"/>
        <v>2639.8110000000001</v>
      </c>
      <c r="T750" s="3">
        <f t="shared" si="57"/>
        <v>-199.69050000000016</v>
      </c>
      <c r="U750" s="4">
        <f t="shared" si="58"/>
        <v>-7.5645756457564634E-2</v>
      </c>
      <c r="V750" s="5">
        <f t="shared" si="59"/>
        <v>11.98143</v>
      </c>
    </row>
    <row r="751" spans="1:22" x14ac:dyDescent="0.25">
      <c r="A751" s="2" t="s">
        <v>785</v>
      </c>
      <c r="B751" s="2" t="s">
        <v>45</v>
      </c>
      <c r="C751" s="2" t="s">
        <v>33</v>
      </c>
      <c r="D751" s="2" t="s">
        <v>28</v>
      </c>
      <c r="E751" s="2">
        <v>557.99</v>
      </c>
      <c r="F751" s="2">
        <v>13.5</v>
      </c>
      <c r="G751" s="2">
        <v>37.200000000000003</v>
      </c>
      <c r="H751" s="2">
        <v>0</v>
      </c>
      <c r="I751" s="2">
        <v>0.9</v>
      </c>
      <c r="J751" s="2">
        <v>16</v>
      </c>
      <c r="K751" s="2" t="s">
        <v>29</v>
      </c>
      <c r="L751" s="2">
        <v>5.0199999999999996</v>
      </c>
      <c r="M751" s="2" t="s">
        <v>22</v>
      </c>
      <c r="N751" s="2">
        <v>68.44</v>
      </c>
      <c r="O751" s="2" t="s">
        <v>24</v>
      </c>
      <c r="P751" s="2">
        <v>3.23</v>
      </c>
      <c r="Q751" s="2">
        <v>8.8699999999999992</v>
      </c>
      <c r="R751" s="3">
        <f t="shared" si="55"/>
        <v>1802.3077000000001</v>
      </c>
      <c r="S751" s="3">
        <f t="shared" si="56"/>
        <v>4949.3712999999998</v>
      </c>
      <c r="T751" s="3">
        <f t="shared" si="57"/>
        <v>3147.0635999999995</v>
      </c>
      <c r="U751" s="4">
        <f t="shared" si="58"/>
        <v>0.63585118376550165</v>
      </c>
      <c r="V751" s="5">
        <f t="shared" si="59"/>
        <v>28.011097999999997</v>
      </c>
    </row>
    <row r="752" spans="1:22" x14ac:dyDescent="0.25">
      <c r="A752" s="2" t="s">
        <v>786</v>
      </c>
      <c r="B752" s="2" t="s">
        <v>26</v>
      </c>
      <c r="C752" s="2" t="s">
        <v>27</v>
      </c>
      <c r="D752" s="2" t="s">
        <v>28</v>
      </c>
      <c r="E752" s="2">
        <v>429.31</v>
      </c>
      <c r="F752" s="2">
        <v>14.2</v>
      </c>
      <c r="G752" s="2">
        <v>25.04</v>
      </c>
      <c r="H752" s="2">
        <v>1.8</v>
      </c>
      <c r="I752" s="2">
        <v>0.4</v>
      </c>
      <c r="J752" s="2">
        <v>16</v>
      </c>
      <c r="K752" s="2" t="s">
        <v>21</v>
      </c>
      <c r="L752" s="2">
        <v>5.39</v>
      </c>
      <c r="M752" s="2" t="s">
        <v>40</v>
      </c>
      <c r="N752" s="2">
        <v>82.93</v>
      </c>
      <c r="O752" s="2" t="s">
        <v>23</v>
      </c>
      <c r="P752" s="2">
        <v>4.5199999999999996</v>
      </c>
      <c r="Q752" s="2">
        <v>7.93</v>
      </c>
      <c r="R752" s="3">
        <f t="shared" si="55"/>
        <v>1940.4811999999997</v>
      </c>
      <c r="S752" s="3">
        <f t="shared" si="56"/>
        <v>3404.4283</v>
      </c>
      <c r="T752" s="3">
        <f t="shared" si="57"/>
        <v>1463.9471000000003</v>
      </c>
      <c r="U752" s="4">
        <f t="shared" si="58"/>
        <v>0.43001261034047927</v>
      </c>
      <c r="V752" s="5">
        <f t="shared" si="59"/>
        <v>23.139809</v>
      </c>
    </row>
    <row r="753" spans="1:22" x14ac:dyDescent="0.25">
      <c r="A753" s="2" t="s">
        <v>787</v>
      </c>
      <c r="B753" s="2" t="s">
        <v>32</v>
      </c>
      <c r="C753" s="2" t="s">
        <v>43</v>
      </c>
      <c r="D753" s="2" t="s">
        <v>28</v>
      </c>
      <c r="E753" s="2">
        <v>585.55999999999995</v>
      </c>
      <c r="F753" s="2">
        <v>14.63</v>
      </c>
      <c r="G753" s="2">
        <v>39.619999999999997</v>
      </c>
      <c r="H753" s="2">
        <v>1.4</v>
      </c>
      <c r="I753" s="2">
        <v>0.8</v>
      </c>
      <c r="J753" s="2">
        <v>22</v>
      </c>
      <c r="K753" s="2" t="s">
        <v>34</v>
      </c>
      <c r="L753" s="2">
        <v>2.48</v>
      </c>
      <c r="M753" s="2" t="s">
        <v>22</v>
      </c>
      <c r="N753" s="2">
        <v>74.41</v>
      </c>
      <c r="O753" s="2" t="s">
        <v>24</v>
      </c>
      <c r="P753" s="2">
        <v>3.52</v>
      </c>
      <c r="Q753" s="2">
        <v>7.29</v>
      </c>
      <c r="R753" s="3">
        <f t="shared" si="55"/>
        <v>2061.1711999999998</v>
      </c>
      <c r="S753" s="3">
        <f t="shared" si="56"/>
        <v>4268.7323999999999</v>
      </c>
      <c r="T753" s="3">
        <f t="shared" si="57"/>
        <v>2207.5612000000001</v>
      </c>
      <c r="U753" s="4">
        <f t="shared" si="58"/>
        <v>0.51714677640603568</v>
      </c>
      <c r="V753" s="5">
        <f t="shared" si="59"/>
        <v>14.521887999999999</v>
      </c>
    </row>
    <row r="754" spans="1:22" x14ac:dyDescent="0.25">
      <c r="A754" s="2" t="s">
        <v>788</v>
      </c>
      <c r="B754" s="2" t="s">
        <v>45</v>
      </c>
      <c r="C754" s="2" t="s">
        <v>19</v>
      </c>
      <c r="D754" s="2" t="s">
        <v>28</v>
      </c>
      <c r="E754" s="2">
        <v>664.95</v>
      </c>
      <c r="F754" s="2">
        <v>16.36</v>
      </c>
      <c r="G754" s="2">
        <v>32.270000000000003</v>
      </c>
      <c r="H754" s="2">
        <v>4.0999999999999996</v>
      </c>
      <c r="I754" s="2">
        <v>0.8</v>
      </c>
      <c r="J754" s="2">
        <v>11</v>
      </c>
      <c r="K754" s="2" t="s">
        <v>29</v>
      </c>
      <c r="L754" s="2">
        <v>6.28</v>
      </c>
      <c r="M754" s="2" t="s">
        <v>22</v>
      </c>
      <c r="N754" s="2">
        <v>61.39</v>
      </c>
      <c r="O754" s="2" t="s">
        <v>23</v>
      </c>
      <c r="P754" s="2">
        <v>5.71</v>
      </c>
      <c r="Q754" s="2">
        <v>11.45</v>
      </c>
      <c r="R754" s="3">
        <f t="shared" si="55"/>
        <v>3796.8645000000001</v>
      </c>
      <c r="S754" s="3">
        <f t="shared" si="56"/>
        <v>7613.6774999999998</v>
      </c>
      <c r="T754" s="3">
        <f t="shared" si="57"/>
        <v>3816.8129999999996</v>
      </c>
      <c r="U754" s="4">
        <f t="shared" si="58"/>
        <v>0.50131004366812226</v>
      </c>
      <c r="V754" s="5">
        <f t="shared" si="59"/>
        <v>41.758860000000006</v>
      </c>
    </row>
    <row r="755" spans="1:22" x14ac:dyDescent="0.25">
      <c r="A755" s="2" t="s">
        <v>789</v>
      </c>
      <c r="B755" s="2" t="s">
        <v>45</v>
      </c>
      <c r="C755" s="2" t="s">
        <v>33</v>
      </c>
      <c r="D755" s="2" t="s">
        <v>20</v>
      </c>
      <c r="E755" s="2">
        <v>607.05999999999995</v>
      </c>
      <c r="F755" s="2">
        <v>10.15</v>
      </c>
      <c r="G755" s="2">
        <v>35.869999999999997</v>
      </c>
      <c r="H755" s="2">
        <v>0.2</v>
      </c>
      <c r="I755" s="2">
        <v>1.7</v>
      </c>
      <c r="J755" s="2">
        <v>2</v>
      </c>
      <c r="K755" s="2" t="s">
        <v>29</v>
      </c>
      <c r="L755" s="2">
        <v>7.37</v>
      </c>
      <c r="M755" s="2" t="s">
        <v>40</v>
      </c>
      <c r="N755" s="2">
        <v>88.06</v>
      </c>
      <c r="O755" s="2" t="s">
        <v>24</v>
      </c>
      <c r="P755" s="2">
        <v>8.9</v>
      </c>
      <c r="Q755" s="2">
        <v>6.3</v>
      </c>
      <c r="R755" s="3">
        <f t="shared" si="55"/>
        <v>5402.8339999999998</v>
      </c>
      <c r="S755" s="3">
        <f t="shared" si="56"/>
        <v>3824.4779999999996</v>
      </c>
      <c r="T755" s="3">
        <f t="shared" si="57"/>
        <v>-1578.3560000000002</v>
      </c>
      <c r="U755" s="4">
        <f t="shared" si="58"/>
        <v>-0.41269841269841279</v>
      </c>
      <c r="V755" s="5">
        <f t="shared" si="59"/>
        <v>44.740321999999999</v>
      </c>
    </row>
    <row r="756" spans="1:22" x14ac:dyDescent="0.25">
      <c r="A756" s="2" t="s">
        <v>790</v>
      </c>
      <c r="B756" s="2" t="s">
        <v>45</v>
      </c>
      <c r="C756" s="2" t="s">
        <v>27</v>
      </c>
      <c r="D756" s="2" t="s">
        <v>20</v>
      </c>
      <c r="E756" s="2">
        <v>427.04</v>
      </c>
      <c r="F756" s="2">
        <v>9.1999999999999993</v>
      </c>
      <c r="G756" s="2">
        <v>21.71</v>
      </c>
      <c r="H756" s="2">
        <v>2.2999999999999998</v>
      </c>
      <c r="I756" s="2">
        <v>4</v>
      </c>
      <c r="J756" s="2">
        <v>17</v>
      </c>
      <c r="K756" s="2" t="s">
        <v>21</v>
      </c>
      <c r="L756" s="2">
        <v>4.05</v>
      </c>
      <c r="M756" s="2" t="s">
        <v>37</v>
      </c>
      <c r="N756" s="2">
        <v>63.14</v>
      </c>
      <c r="O756" s="2" t="s">
        <v>24</v>
      </c>
      <c r="P756" s="2">
        <v>5.65</v>
      </c>
      <c r="Q756" s="2">
        <v>13.61</v>
      </c>
      <c r="R756" s="3">
        <f t="shared" si="55"/>
        <v>2412.7760000000003</v>
      </c>
      <c r="S756" s="3">
        <f t="shared" si="56"/>
        <v>5812.0144</v>
      </c>
      <c r="T756" s="3">
        <f t="shared" si="57"/>
        <v>3399.2383999999997</v>
      </c>
      <c r="U756" s="4">
        <f t="shared" si="58"/>
        <v>0.58486407053637024</v>
      </c>
      <c r="V756" s="5">
        <f t="shared" si="59"/>
        <v>17.295120000000001</v>
      </c>
    </row>
    <row r="757" spans="1:22" x14ac:dyDescent="0.25">
      <c r="A757" s="2" t="s">
        <v>791</v>
      </c>
      <c r="B757" s="2" t="s">
        <v>45</v>
      </c>
      <c r="C757" s="2" t="s">
        <v>19</v>
      </c>
      <c r="D757" s="2" t="s">
        <v>20</v>
      </c>
      <c r="E757" s="2">
        <v>536.14</v>
      </c>
      <c r="F757" s="2">
        <v>16.52</v>
      </c>
      <c r="G757" s="2">
        <v>23.67</v>
      </c>
      <c r="H757" s="2">
        <v>2.2999999999999998</v>
      </c>
      <c r="I757" s="2">
        <v>0.5</v>
      </c>
      <c r="J757" s="2">
        <v>15</v>
      </c>
      <c r="K757" s="2" t="s">
        <v>21</v>
      </c>
      <c r="L757" s="2">
        <v>6.06</v>
      </c>
      <c r="M757" s="2" t="s">
        <v>22</v>
      </c>
      <c r="N757" s="2">
        <v>67.02</v>
      </c>
      <c r="O757" s="2" t="s">
        <v>30</v>
      </c>
      <c r="P757" s="2">
        <v>8.82</v>
      </c>
      <c r="Q757" s="2">
        <v>11.65</v>
      </c>
      <c r="R757" s="3">
        <f t="shared" si="55"/>
        <v>4728.7547999999997</v>
      </c>
      <c r="S757" s="3">
        <f t="shared" si="56"/>
        <v>6246.0309999999999</v>
      </c>
      <c r="T757" s="3">
        <f t="shared" si="57"/>
        <v>1517.2762000000002</v>
      </c>
      <c r="U757" s="4">
        <f t="shared" si="58"/>
        <v>0.24291845493562236</v>
      </c>
      <c r="V757" s="5">
        <f t="shared" si="59"/>
        <v>32.490083999999996</v>
      </c>
    </row>
    <row r="758" spans="1:22" x14ac:dyDescent="0.25">
      <c r="A758" s="2" t="s">
        <v>792</v>
      </c>
      <c r="B758" s="2" t="s">
        <v>45</v>
      </c>
      <c r="C758" s="2" t="s">
        <v>43</v>
      </c>
      <c r="D758" s="2" t="s">
        <v>20</v>
      </c>
      <c r="E758" s="2">
        <v>370.69</v>
      </c>
      <c r="F758" s="2">
        <v>9.57</v>
      </c>
      <c r="G758" s="2">
        <v>35.17</v>
      </c>
      <c r="H758" s="2">
        <v>2.2000000000000002</v>
      </c>
      <c r="I758" s="2">
        <v>1.4</v>
      </c>
      <c r="J758" s="2">
        <v>18</v>
      </c>
      <c r="K758" s="2" t="s">
        <v>21</v>
      </c>
      <c r="L758" s="2">
        <v>5.27</v>
      </c>
      <c r="M758" s="2" t="s">
        <v>40</v>
      </c>
      <c r="N758" s="2">
        <v>59.5</v>
      </c>
      <c r="O758" s="2" t="s">
        <v>30</v>
      </c>
      <c r="P758" s="2">
        <v>7.6</v>
      </c>
      <c r="Q758" s="2">
        <v>12.11</v>
      </c>
      <c r="R758" s="3">
        <f t="shared" si="55"/>
        <v>2817.2439999999997</v>
      </c>
      <c r="S758" s="3">
        <f t="shared" si="56"/>
        <v>4489.0558999999994</v>
      </c>
      <c r="T758" s="3">
        <f t="shared" si="57"/>
        <v>1671.8118999999997</v>
      </c>
      <c r="U758" s="4">
        <f t="shared" si="58"/>
        <v>0.37241948802642444</v>
      </c>
      <c r="V758" s="5">
        <f t="shared" si="59"/>
        <v>19.535362999999997</v>
      </c>
    </row>
    <row r="759" spans="1:22" x14ac:dyDescent="0.25">
      <c r="A759" s="2" t="s">
        <v>793</v>
      </c>
      <c r="B759" s="2" t="s">
        <v>18</v>
      </c>
      <c r="C759" s="2" t="s">
        <v>27</v>
      </c>
      <c r="D759" s="2" t="s">
        <v>20</v>
      </c>
      <c r="E759" s="2">
        <v>557.24</v>
      </c>
      <c r="F759" s="2">
        <v>17.75</v>
      </c>
      <c r="G759" s="2">
        <v>20.440000000000001</v>
      </c>
      <c r="H759" s="2">
        <v>5.7</v>
      </c>
      <c r="I759" s="2">
        <v>0.1</v>
      </c>
      <c r="J759" s="2">
        <v>29</v>
      </c>
      <c r="K759" s="2" t="s">
        <v>34</v>
      </c>
      <c r="L759" s="2">
        <v>2.36</v>
      </c>
      <c r="M759" s="2" t="s">
        <v>22</v>
      </c>
      <c r="N759" s="2">
        <v>85.96</v>
      </c>
      <c r="O759" s="2" t="s">
        <v>23</v>
      </c>
      <c r="P759" s="2">
        <v>6.57</v>
      </c>
      <c r="Q759" s="2">
        <v>14.35</v>
      </c>
      <c r="R759" s="3">
        <f t="shared" si="55"/>
        <v>3661.0668000000001</v>
      </c>
      <c r="S759" s="3">
        <f t="shared" si="56"/>
        <v>7996.3940000000002</v>
      </c>
      <c r="T759" s="3">
        <f t="shared" si="57"/>
        <v>4335.3271999999997</v>
      </c>
      <c r="U759" s="4">
        <f t="shared" si="58"/>
        <v>0.54216027874564454</v>
      </c>
      <c r="V759" s="5">
        <f t="shared" si="59"/>
        <v>13.150863999999999</v>
      </c>
    </row>
    <row r="760" spans="1:22" x14ac:dyDescent="0.25">
      <c r="A760" s="2" t="s">
        <v>794</v>
      </c>
      <c r="B760" s="2" t="s">
        <v>32</v>
      </c>
      <c r="C760" s="2" t="s">
        <v>33</v>
      </c>
      <c r="D760" s="2" t="s">
        <v>20</v>
      </c>
      <c r="E760" s="2">
        <v>545.05999999999995</v>
      </c>
      <c r="F760" s="2">
        <v>16.43</v>
      </c>
      <c r="G760" s="2">
        <v>36.340000000000003</v>
      </c>
      <c r="H760" s="2">
        <v>3.5</v>
      </c>
      <c r="I760" s="2">
        <v>1.5</v>
      </c>
      <c r="J760" s="2">
        <v>10</v>
      </c>
      <c r="K760" s="2" t="s">
        <v>21</v>
      </c>
      <c r="L760" s="2">
        <v>7.44</v>
      </c>
      <c r="M760" s="2" t="s">
        <v>40</v>
      </c>
      <c r="N760" s="2">
        <v>72.94</v>
      </c>
      <c r="O760" s="2" t="s">
        <v>30</v>
      </c>
      <c r="P760" s="2">
        <v>4.66</v>
      </c>
      <c r="Q760" s="2">
        <v>14.42</v>
      </c>
      <c r="R760" s="3">
        <f t="shared" si="55"/>
        <v>2539.9795999999997</v>
      </c>
      <c r="S760" s="3">
        <f t="shared" si="56"/>
        <v>7859.7651999999989</v>
      </c>
      <c r="T760" s="3">
        <f t="shared" si="57"/>
        <v>5319.7855999999992</v>
      </c>
      <c r="U760" s="4">
        <f t="shared" si="58"/>
        <v>0.67683772538141473</v>
      </c>
      <c r="V760" s="5">
        <f t="shared" si="59"/>
        <v>40.552464000000001</v>
      </c>
    </row>
    <row r="761" spans="1:22" x14ac:dyDescent="0.25">
      <c r="A761" s="2" t="s">
        <v>795</v>
      </c>
      <c r="B761" s="2" t="s">
        <v>18</v>
      </c>
      <c r="C761" s="2" t="s">
        <v>19</v>
      </c>
      <c r="D761" s="2" t="s">
        <v>20</v>
      </c>
      <c r="E761" s="2">
        <v>313.02</v>
      </c>
      <c r="F761" s="2">
        <v>13.01</v>
      </c>
      <c r="G761" s="2">
        <v>20.28</v>
      </c>
      <c r="H761" s="2">
        <v>0.1</v>
      </c>
      <c r="I761" s="2">
        <v>0.5</v>
      </c>
      <c r="J761" s="2">
        <v>6</v>
      </c>
      <c r="K761" s="2" t="s">
        <v>34</v>
      </c>
      <c r="L761" s="2">
        <v>8.11</v>
      </c>
      <c r="M761" s="2" t="s">
        <v>37</v>
      </c>
      <c r="N761" s="2">
        <v>72.17</v>
      </c>
      <c r="O761" s="2" t="s">
        <v>23</v>
      </c>
      <c r="P761" s="2">
        <v>9.4600000000000009</v>
      </c>
      <c r="Q761" s="2">
        <v>10.52</v>
      </c>
      <c r="R761" s="3">
        <f t="shared" si="55"/>
        <v>2961.1692000000003</v>
      </c>
      <c r="S761" s="3">
        <f t="shared" si="56"/>
        <v>3292.9703999999997</v>
      </c>
      <c r="T761" s="3">
        <f t="shared" si="57"/>
        <v>331.80119999999943</v>
      </c>
      <c r="U761" s="4">
        <f t="shared" si="58"/>
        <v>0.10076045627376409</v>
      </c>
      <c r="V761" s="5">
        <f t="shared" si="59"/>
        <v>25.385921999999997</v>
      </c>
    </row>
    <row r="762" spans="1:22" x14ac:dyDescent="0.25">
      <c r="A762" s="2" t="s">
        <v>796</v>
      </c>
      <c r="B762" s="2" t="s">
        <v>26</v>
      </c>
      <c r="C762" s="2" t="s">
        <v>33</v>
      </c>
      <c r="D762" s="2" t="s">
        <v>28</v>
      </c>
      <c r="E762" s="2">
        <v>383.82</v>
      </c>
      <c r="F762" s="2">
        <v>17.809999999999999</v>
      </c>
      <c r="G762" s="2">
        <v>33.14</v>
      </c>
      <c r="H762" s="2">
        <v>1.3</v>
      </c>
      <c r="I762" s="2">
        <v>0</v>
      </c>
      <c r="J762" s="2">
        <v>21</v>
      </c>
      <c r="K762" s="2" t="s">
        <v>29</v>
      </c>
      <c r="L762" s="2">
        <v>6.66</v>
      </c>
      <c r="M762" s="2" t="s">
        <v>37</v>
      </c>
      <c r="N762" s="2">
        <v>80.23</v>
      </c>
      <c r="O762" s="2" t="s">
        <v>30</v>
      </c>
      <c r="P762" s="2">
        <v>3.38</v>
      </c>
      <c r="Q762" s="2">
        <v>9.9499999999999993</v>
      </c>
      <c r="R762" s="3">
        <f t="shared" si="55"/>
        <v>1297.3116</v>
      </c>
      <c r="S762" s="3">
        <f t="shared" si="56"/>
        <v>3819.0089999999996</v>
      </c>
      <c r="T762" s="3">
        <f t="shared" si="57"/>
        <v>2521.6973999999996</v>
      </c>
      <c r="U762" s="4">
        <f t="shared" si="58"/>
        <v>0.66030150753768835</v>
      </c>
      <c r="V762" s="5">
        <f t="shared" si="59"/>
        <v>25.562411999999998</v>
      </c>
    </row>
    <row r="763" spans="1:22" x14ac:dyDescent="0.25">
      <c r="A763" s="2" t="s">
        <v>797</v>
      </c>
      <c r="B763" s="2" t="s">
        <v>45</v>
      </c>
      <c r="C763" s="2" t="s">
        <v>43</v>
      </c>
      <c r="D763" s="2" t="s">
        <v>28</v>
      </c>
      <c r="E763" s="2">
        <v>471.69</v>
      </c>
      <c r="F763" s="2">
        <v>8.9700000000000006</v>
      </c>
      <c r="G763" s="2">
        <v>27.3</v>
      </c>
      <c r="H763" s="2">
        <v>1</v>
      </c>
      <c r="I763" s="2">
        <v>0.5</v>
      </c>
      <c r="J763" s="2">
        <v>16</v>
      </c>
      <c r="K763" s="2" t="s">
        <v>29</v>
      </c>
      <c r="L763" s="2">
        <v>3.58</v>
      </c>
      <c r="M763" s="2" t="s">
        <v>22</v>
      </c>
      <c r="N763" s="2">
        <v>57.86</v>
      </c>
      <c r="O763" s="2" t="s">
        <v>23</v>
      </c>
      <c r="P763" s="2">
        <v>7.82</v>
      </c>
      <c r="Q763" s="2">
        <v>8.35</v>
      </c>
      <c r="R763" s="3">
        <f t="shared" si="55"/>
        <v>3688.6158</v>
      </c>
      <c r="S763" s="3">
        <f t="shared" si="56"/>
        <v>3938.6115</v>
      </c>
      <c r="T763" s="3">
        <f t="shared" si="57"/>
        <v>249.99569999999994</v>
      </c>
      <c r="U763" s="4">
        <f t="shared" si="58"/>
        <v>6.3473053892215553E-2</v>
      </c>
      <c r="V763" s="5">
        <f t="shared" si="59"/>
        <v>16.886502</v>
      </c>
    </row>
    <row r="764" spans="1:22" x14ac:dyDescent="0.25">
      <c r="A764" s="2" t="s">
        <v>798</v>
      </c>
      <c r="B764" s="2" t="s">
        <v>32</v>
      </c>
      <c r="C764" s="2" t="s">
        <v>19</v>
      </c>
      <c r="D764" s="2" t="s">
        <v>20</v>
      </c>
      <c r="E764" s="2">
        <v>469.91</v>
      </c>
      <c r="F764" s="2">
        <v>11.03</v>
      </c>
      <c r="G764" s="2">
        <v>32.229999999999997</v>
      </c>
      <c r="H764" s="2">
        <v>0.7</v>
      </c>
      <c r="I764" s="2">
        <v>0.9</v>
      </c>
      <c r="J764" s="2">
        <v>5</v>
      </c>
      <c r="K764" s="2" t="s">
        <v>29</v>
      </c>
      <c r="L764" s="2">
        <v>9.3000000000000007</v>
      </c>
      <c r="M764" s="2" t="s">
        <v>40</v>
      </c>
      <c r="N764" s="2">
        <v>94.91</v>
      </c>
      <c r="O764" s="2" t="s">
        <v>24</v>
      </c>
      <c r="P764" s="2">
        <v>7.35</v>
      </c>
      <c r="Q764" s="2">
        <v>12.16</v>
      </c>
      <c r="R764" s="3">
        <f t="shared" si="55"/>
        <v>3453.8384999999998</v>
      </c>
      <c r="S764" s="3">
        <f t="shared" si="56"/>
        <v>5714.1056000000008</v>
      </c>
      <c r="T764" s="3">
        <f t="shared" si="57"/>
        <v>2260.2671000000009</v>
      </c>
      <c r="U764" s="4">
        <f t="shared" si="58"/>
        <v>0.39555921052631587</v>
      </c>
      <c r="V764" s="5">
        <f t="shared" si="59"/>
        <v>43.701630000000002</v>
      </c>
    </row>
    <row r="765" spans="1:22" x14ac:dyDescent="0.25">
      <c r="A765" s="2" t="s">
        <v>799</v>
      </c>
      <c r="B765" s="2" t="s">
        <v>45</v>
      </c>
      <c r="C765" s="2" t="s">
        <v>43</v>
      </c>
      <c r="D765" s="2" t="s">
        <v>20</v>
      </c>
      <c r="E765" s="2">
        <v>379.05</v>
      </c>
      <c r="F765" s="2">
        <v>14.38</v>
      </c>
      <c r="G765" s="2">
        <v>33.92</v>
      </c>
      <c r="H765" s="2">
        <v>1.2</v>
      </c>
      <c r="I765" s="2">
        <v>0.1</v>
      </c>
      <c r="J765" s="2">
        <v>12</v>
      </c>
      <c r="K765" s="2" t="s">
        <v>21</v>
      </c>
      <c r="L765" s="2">
        <v>4.83</v>
      </c>
      <c r="M765" s="2" t="s">
        <v>37</v>
      </c>
      <c r="N765" s="2">
        <v>73.260000000000005</v>
      </c>
      <c r="O765" s="2" t="s">
        <v>23</v>
      </c>
      <c r="P765" s="2">
        <v>6.09</v>
      </c>
      <c r="Q765" s="2">
        <v>10.38</v>
      </c>
      <c r="R765" s="3">
        <f t="shared" si="55"/>
        <v>2308.4144999999999</v>
      </c>
      <c r="S765" s="3">
        <f t="shared" si="56"/>
        <v>3934.5390000000002</v>
      </c>
      <c r="T765" s="3">
        <f t="shared" si="57"/>
        <v>1626.1245000000004</v>
      </c>
      <c r="U765" s="4">
        <f t="shared" si="58"/>
        <v>0.41329479768786131</v>
      </c>
      <c r="V765" s="5">
        <f t="shared" si="59"/>
        <v>18.308115000000001</v>
      </c>
    </row>
    <row r="766" spans="1:22" x14ac:dyDescent="0.25">
      <c r="A766" s="2" t="s">
        <v>800</v>
      </c>
      <c r="B766" s="2" t="s">
        <v>32</v>
      </c>
      <c r="C766" s="2" t="s">
        <v>43</v>
      </c>
      <c r="D766" s="2" t="s">
        <v>28</v>
      </c>
      <c r="E766" s="2">
        <v>538.9</v>
      </c>
      <c r="F766" s="2">
        <v>11.5</v>
      </c>
      <c r="G766" s="2">
        <v>26.85</v>
      </c>
      <c r="H766" s="2">
        <v>1</v>
      </c>
      <c r="I766" s="2">
        <v>2.6</v>
      </c>
      <c r="J766" s="2">
        <v>28</v>
      </c>
      <c r="K766" s="2" t="s">
        <v>29</v>
      </c>
      <c r="L766" s="2">
        <v>3.03</v>
      </c>
      <c r="M766" s="2" t="s">
        <v>37</v>
      </c>
      <c r="N766" s="2">
        <v>68.33</v>
      </c>
      <c r="O766" s="2" t="s">
        <v>30</v>
      </c>
      <c r="P766" s="2">
        <v>4.68</v>
      </c>
      <c r="Q766" s="2">
        <v>14.33</v>
      </c>
      <c r="R766" s="3">
        <f t="shared" si="55"/>
        <v>2522.0519999999997</v>
      </c>
      <c r="S766" s="3">
        <f t="shared" si="56"/>
        <v>7722.4369999999999</v>
      </c>
      <c r="T766" s="3">
        <f t="shared" si="57"/>
        <v>5200.3850000000002</v>
      </c>
      <c r="U766" s="4">
        <f t="shared" si="58"/>
        <v>0.67341242149337055</v>
      </c>
      <c r="V766" s="5">
        <f t="shared" si="59"/>
        <v>16.328669999999999</v>
      </c>
    </row>
    <row r="767" spans="1:22" x14ac:dyDescent="0.25">
      <c r="A767" s="2" t="s">
        <v>801</v>
      </c>
      <c r="B767" s="2" t="s">
        <v>18</v>
      </c>
      <c r="C767" s="2" t="s">
        <v>27</v>
      </c>
      <c r="D767" s="2" t="s">
        <v>28</v>
      </c>
      <c r="E767" s="2">
        <v>525.15</v>
      </c>
      <c r="F767" s="2">
        <v>17.28</v>
      </c>
      <c r="G767" s="2">
        <v>22.16</v>
      </c>
      <c r="H767" s="2">
        <v>1.1000000000000001</v>
      </c>
      <c r="I767" s="2">
        <v>0.1</v>
      </c>
      <c r="J767" s="2">
        <v>6</v>
      </c>
      <c r="K767" s="2" t="s">
        <v>21</v>
      </c>
      <c r="L767" s="2">
        <v>4.38</v>
      </c>
      <c r="M767" s="2" t="s">
        <v>40</v>
      </c>
      <c r="N767" s="2">
        <v>56.33</v>
      </c>
      <c r="O767" s="2" t="s">
        <v>23</v>
      </c>
      <c r="P767" s="2">
        <v>6.01</v>
      </c>
      <c r="Q767" s="2">
        <v>7.39</v>
      </c>
      <c r="R767" s="3">
        <f t="shared" si="55"/>
        <v>3156.1514999999999</v>
      </c>
      <c r="S767" s="3">
        <f t="shared" si="56"/>
        <v>3880.8584999999998</v>
      </c>
      <c r="T767" s="3">
        <f t="shared" si="57"/>
        <v>724.70699999999988</v>
      </c>
      <c r="U767" s="4">
        <f t="shared" si="58"/>
        <v>0.18673883626522325</v>
      </c>
      <c r="V767" s="5">
        <f t="shared" si="59"/>
        <v>23.001569999999997</v>
      </c>
    </row>
    <row r="768" spans="1:22" x14ac:dyDescent="0.25">
      <c r="A768" s="2" t="s">
        <v>802</v>
      </c>
      <c r="B768" s="2" t="s">
        <v>32</v>
      </c>
      <c r="C768" s="2" t="s">
        <v>33</v>
      </c>
      <c r="D768" s="2" t="s">
        <v>28</v>
      </c>
      <c r="E768" s="2">
        <v>480.57</v>
      </c>
      <c r="F768" s="2">
        <v>8.66</v>
      </c>
      <c r="G768" s="2">
        <v>21.39</v>
      </c>
      <c r="H768" s="2">
        <v>7.8</v>
      </c>
      <c r="I768" s="2">
        <v>2.7</v>
      </c>
      <c r="J768" s="2">
        <v>14</v>
      </c>
      <c r="K768" s="2" t="s">
        <v>34</v>
      </c>
      <c r="L768" s="2">
        <v>7.07</v>
      </c>
      <c r="M768" s="2" t="s">
        <v>22</v>
      </c>
      <c r="N768" s="2">
        <v>58.4</v>
      </c>
      <c r="O768" s="2" t="s">
        <v>30</v>
      </c>
      <c r="P768" s="2">
        <v>9.11</v>
      </c>
      <c r="Q768" s="2">
        <v>8.1</v>
      </c>
      <c r="R768" s="3">
        <f t="shared" si="55"/>
        <v>4377.9926999999998</v>
      </c>
      <c r="S768" s="3">
        <f t="shared" si="56"/>
        <v>3892.6169999999997</v>
      </c>
      <c r="T768" s="3">
        <f t="shared" si="57"/>
        <v>-485.37570000000005</v>
      </c>
      <c r="U768" s="4">
        <f t="shared" si="58"/>
        <v>-0.12469135802469138</v>
      </c>
      <c r="V768" s="5">
        <f t="shared" si="59"/>
        <v>33.976298999999997</v>
      </c>
    </row>
    <row r="769" spans="1:22" x14ac:dyDescent="0.25">
      <c r="A769" s="2" t="s">
        <v>803</v>
      </c>
      <c r="B769" s="2" t="s">
        <v>26</v>
      </c>
      <c r="C769" s="2" t="s">
        <v>19</v>
      </c>
      <c r="D769" s="2" t="s">
        <v>28</v>
      </c>
      <c r="E769" s="2">
        <v>424.42</v>
      </c>
      <c r="F769" s="2">
        <v>13.49</v>
      </c>
      <c r="G769" s="2">
        <v>31.78</v>
      </c>
      <c r="H769" s="2">
        <v>0.2</v>
      </c>
      <c r="I769" s="2">
        <v>1.2</v>
      </c>
      <c r="J769" s="2">
        <v>26</v>
      </c>
      <c r="K769" s="2" t="s">
        <v>29</v>
      </c>
      <c r="L769" s="2">
        <v>8.5399999999999991</v>
      </c>
      <c r="M769" s="2" t="s">
        <v>37</v>
      </c>
      <c r="N769" s="2">
        <v>96.02</v>
      </c>
      <c r="O769" s="2" t="s">
        <v>24</v>
      </c>
      <c r="P769" s="2">
        <v>8.86</v>
      </c>
      <c r="Q769" s="2">
        <v>8.16</v>
      </c>
      <c r="R769" s="3">
        <f t="shared" si="55"/>
        <v>3760.3611999999998</v>
      </c>
      <c r="S769" s="3">
        <f t="shared" si="56"/>
        <v>3463.2672000000002</v>
      </c>
      <c r="T769" s="3">
        <f t="shared" si="57"/>
        <v>-297.0939999999996</v>
      </c>
      <c r="U769" s="4">
        <f t="shared" si="58"/>
        <v>-8.5784313725490072E-2</v>
      </c>
      <c r="V769" s="5">
        <f t="shared" si="59"/>
        <v>36.245467999999995</v>
      </c>
    </row>
    <row r="770" spans="1:22" x14ac:dyDescent="0.25">
      <c r="A770" s="2" t="s">
        <v>804</v>
      </c>
      <c r="B770" s="2" t="s">
        <v>26</v>
      </c>
      <c r="C770" s="2" t="s">
        <v>43</v>
      </c>
      <c r="D770" s="2" t="s">
        <v>20</v>
      </c>
      <c r="E770" s="2">
        <v>604.87</v>
      </c>
      <c r="F770" s="2">
        <v>13.91</v>
      </c>
      <c r="G770" s="2">
        <v>30.41</v>
      </c>
      <c r="H770" s="2">
        <v>5.0999999999999996</v>
      </c>
      <c r="I770" s="2">
        <v>0.4</v>
      </c>
      <c r="J770" s="2">
        <v>23</v>
      </c>
      <c r="K770" s="2" t="s">
        <v>34</v>
      </c>
      <c r="L770" s="2">
        <v>3.89</v>
      </c>
      <c r="M770" s="2" t="s">
        <v>37</v>
      </c>
      <c r="N770" s="2">
        <v>72.83</v>
      </c>
      <c r="O770" s="2" t="s">
        <v>30</v>
      </c>
      <c r="P770" s="2">
        <v>9.59</v>
      </c>
      <c r="Q770" s="2">
        <v>13.06</v>
      </c>
      <c r="R770" s="3">
        <f t="shared" si="55"/>
        <v>5800.7033000000001</v>
      </c>
      <c r="S770" s="3">
        <f t="shared" si="56"/>
        <v>7899.6022000000003</v>
      </c>
      <c r="T770" s="3">
        <f t="shared" si="57"/>
        <v>2098.8989000000001</v>
      </c>
      <c r="U770" s="4">
        <f t="shared" si="58"/>
        <v>0.26569678407350689</v>
      </c>
      <c r="V770" s="5">
        <f t="shared" si="59"/>
        <v>23.529443000000001</v>
      </c>
    </row>
    <row r="771" spans="1:22" x14ac:dyDescent="0.25">
      <c r="A771" s="2" t="s">
        <v>805</v>
      </c>
      <c r="B771" s="2" t="s">
        <v>32</v>
      </c>
      <c r="C771" s="2" t="s">
        <v>43</v>
      </c>
      <c r="D771" s="2" t="s">
        <v>28</v>
      </c>
      <c r="E771" s="2">
        <v>665.54</v>
      </c>
      <c r="F771" s="2">
        <v>14.53</v>
      </c>
      <c r="G771" s="2">
        <v>34.840000000000003</v>
      </c>
      <c r="H771" s="2">
        <v>1.3</v>
      </c>
      <c r="I771" s="2">
        <v>0.5</v>
      </c>
      <c r="J771" s="2">
        <v>16</v>
      </c>
      <c r="K771" s="2" t="s">
        <v>21</v>
      </c>
      <c r="L771" s="2">
        <v>2.71</v>
      </c>
      <c r="M771" s="2" t="s">
        <v>37</v>
      </c>
      <c r="N771" s="2">
        <v>86.11</v>
      </c>
      <c r="O771" s="2" t="s">
        <v>24</v>
      </c>
      <c r="P771" s="2">
        <v>5.15</v>
      </c>
      <c r="Q771" s="2">
        <v>5.99</v>
      </c>
      <c r="R771" s="3">
        <f t="shared" ref="R771:R834" si="60">E771*P771</f>
        <v>3427.5309999999999</v>
      </c>
      <c r="S771" s="3">
        <f t="shared" ref="S771:S834" si="61">E771*Q771</f>
        <v>3986.5846000000001</v>
      </c>
      <c r="T771" s="3">
        <f t="shared" ref="T771:T834" si="62">S771-R771</f>
        <v>559.05360000000019</v>
      </c>
      <c r="U771" s="4">
        <f t="shared" ref="U771:U834" si="63">T771/S771</f>
        <v>0.14023372287145247</v>
      </c>
      <c r="V771" s="5">
        <f t="shared" ref="V771:V834" si="64">E771*L771/100</f>
        <v>18.036134000000001</v>
      </c>
    </row>
    <row r="772" spans="1:22" x14ac:dyDescent="0.25">
      <c r="A772" s="2" t="s">
        <v>806</v>
      </c>
      <c r="B772" s="2" t="s">
        <v>32</v>
      </c>
      <c r="C772" s="2" t="s">
        <v>19</v>
      </c>
      <c r="D772" s="2" t="s">
        <v>20</v>
      </c>
      <c r="E772" s="2">
        <v>451.64</v>
      </c>
      <c r="F772" s="2">
        <v>10.56</v>
      </c>
      <c r="G772" s="2">
        <v>30.19</v>
      </c>
      <c r="H772" s="2">
        <v>2</v>
      </c>
      <c r="I772" s="2">
        <v>1.4</v>
      </c>
      <c r="J772" s="2">
        <v>25</v>
      </c>
      <c r="K772" s="2" t="s">
        <v>21</v>
      </c>
      <c r="L772" s="2">
        <v>6.45</v>
      </c>
      <c r="M772" s="2" t="s">
        <v>22</v>
      </c>
      <c r="N772" s="2">
        <v>54.03</v>
      </c>
      <c r="O772" s="2" t="s">
        <v>24</v>
      </c>
      <c r="P772" s="2">
        <v>5.71</v>
      </c>
      <c r="Q772" s="2">
        <v>9.56</v>
      </c>
      <c r="R772" s="3">
        <f t="shared" si="60"/>
        <v>2578.8643999999999</v>
      </c>
      <c r="S772" s="3">
        <f t="shared" si="61"/>
        <v>4317.6783999999998</v>
      </c>
      <c r="T772" s="3">
        <f t="shared" si="62"/>
        <v>1738.8139999999999</v>
      </c>
      <c r="U772" s="4">
        <f t="shared" si="63"/>
        <v>0.40271966527196651</v>
      </c>
      <c r="V772" s="5">
        <f t="shared" si="64"/>
        <v>29.130780000000001</v>
      </c>
    </row>
    <row r="773" spans="1:22" x14ac:dyDescent="0.25">
      <c r="A773" s="2" t="s">
        <v>807</v>
      </c>
      <c r="B773" s="2" t="s">
        <v>32</v>
      </c>
      <c r="C773" s="2" t="s">
        <v>43</v>
      </c>
      <c r="D773" s="2" t="s">
        <v>20</v>
      </c>
      <c r="E773" s="2">
        <v>438.78</v>
      </c>
      <c r="F773" s="2">
        <v>11.65</v>
      </c>
      <c r="G773" s="2">
        <v>28.45</v>
      </c>
      <c r="H773" s="2">
        <v>3.5</v>
      </c>
      <c r="I773" s="2">
        <v>0.9</v>
      </c>
      <c r="J773" s="2">
        <v>7</v>
      </c>
      <c r="K773" s="2" t="s">
        <v>29</v>
      </c>
      <c r="L773" s="2">
        <v>9.25</v>
      </c>
      <c r="M773" s="2" t="s">
        <v>37</v>
      </c>
      <c r="N773" s="2">
        <v>82.17</v>
      </c>
      <c r="O773" s="2" t="s">
        <v>30</v>
      </c>
      <c r="P773" s="2">
        <v>3.13</v>
      </c>
      <c r="Q773" s="2">
        <v>9.2799999999999994</v>
      </c>
      <c r="R773" s="3">
        <f t="shared" si="60"/>
        <v>1373.3813999999998</v>
      </c>
      <c r="S773" s="3">
        <f t="shared" si="61"/>
        <v>4071.8783999999996</v>
      </c>
      <c r="T773" s="3">
        <f t="shared" si="62"/>
        <v>2698.4969999999998</v>
      </c>
      <c r="U773" s="4">
        <f t="shared" si="63"/>
        <v>0.66271551724137934</v>
      </c>
      <c r="V773" s="5">
        <f t="shared" si="64"/>
        <v>40.587149999999994</v>
      </c>
    </row>
    <row r="774" spans="1:22" x14ac:dyDescent="0.25">
      <c r="A774" s="2" t="s">
        <v>808</v>
      </c>
      <c r="B774" s="2" t="s">
        <v>32</v>
      </c>
      <c r="C774" s="2" t="s">
        <v>27</v>
      </c>
      <c r="D774" s="2" t="s">
        <v>20</v>
      </c>
      <c r="E774" s="2">
        <v>549.12</v>
      </c>
      <c r="F774" s="2">
        <v>16.440000000000001</v>
      </c>
      <c r="G774" s="2">
        <v>27.96</v>
      </c>
      <c r="H774" s="2">
        <v>0.9</v>
      </c>
      <c r="I774" s="2">
        <v>1.1000000000000001</v>
      </c>
      <c r="J774" s="2">
        <v>2</v>
      </c>
      <c r="K774" s="2" t="s">
        <v>29</v>
      </c>
      <c r="L774" s="2">
        <v>2.2400000000000002</v>
      </c>
      <c r="M774" s="2" t="s">
        <v>40</v>
      </c>
      <c r="N774" s="2">
        <v>96.08</v>
      </c>
      <c r="O774" s="2" t="s">
        <v>24</v>
      </c>
      <c r="P774" s="2">
        <v>9.6</v>
      </c>
      <c r="Q774" s="2">
        <v>5.73</v>
      </c>
      <c r="R774" s="3">
        <f t="shared" si="60"/>
        <v>5271.5519999999997</v>
      </c>
      <c r="S774" s="3">
        <f t="shared" si="61"/>
        <v>3146.4576000000002</v>
      </c>
      <c r="T774" s="3">
        <f t="shared" si="62"/>
        <v>-2125.0943999999995</v>
      </c>
      <c r="U774" s="4">
        <f t="shared" si="63"/>
        <v>-0.67539267015706783</v>
      </c>
      <c r="V774" s="5">
        <f t="shared" si="64"/>
        <v>12.300288</v>
      </c>
    </row>
    <row r="775" spans="1:22" x14ac:dyDescent="0.25">
      <c r="A775" s="2" t="s">
        <v>809</v>
      </c>
      <c r="B775" s="2" t="s">
        <v>26</v>
      </c>
      <c r="C775" s="2" t="s">
        <v>27</v>
      </c>
      <c r="D775" s="2" t="s">
        <v>28</v>
      </c>
      <c r="E775" s="2">
        <v>464.2</v>
      </c>
      <c r="F775" s="2">
        <v>9.9499999999999993</v>
      </c>
      <c r="G775" s="2">
        <v>20.53</v>
      </c>
      <c r="H775" s="2">
        <v>1.1000000000000001</v>
      </c>
      <c r="I775" s="2">
        <v>0.5</v>
      </c>
      <c r="J775" s="2">
        <v>6</v>
      </c>
      <c r="K775" s="2" t="s">
        <v>21</v>
      </c>
      <c r="L775" s="2">
        <v>8.1300000000000008</v>
      </c>
      <c r="M775" s="2" t="s">
        <v>22</v>
      </c>
      <c r="N775" s="2">
        <v>65</v>
      </c>
      <c r="O775" s="2" t="s">
        <v>30</v>
      </c>
      <c r="P775" s="2">
        <v>5.31</v>
      </c>
      <c r="Q775" s="2">
        <v>9.11</v>
      </c>
      <c r="R775" s="3">
        <f t="shared" si="60"/>
        <v>2464.9019999999996</v>
      </c>
      <c r="S775" s="3">
        <f t="shared" si="61"/>
        <v>4228.8620000000001</v>
      </c>
      <c r="T775" s="3">
        <f t="shared" si="62"/>
        <v>1763.9600000000005</v>
      </c>
      <c r="U775" s="4">
        <f t="shared" si="63"/>
        <v>0.41712403951701438</v>
      </c>
      <c r="V775" s="5">
        <f t="shared" si="64"/>
        <v>37.739460000000001</v>
      </c>
    </row>
    <row r="776" spans="1:22" x14ac:dyDescent="0.25">
      <c r="A776" s="2" t="s">
        <v>810</v>
      </c>
      <c r="B776" s="2" t="s">
        <v>45</v>
      </c>
      <c r="C776" s="2" t="s">
        <v>27</v>
      </c>
      <c r="D776" s="2" t="s">
        <v>28</v>
      </c>
      <c r="E776" s="2">
        <v>486.06</v>
      </c>
      <c r="F776" s="2">
        <v>16.27</v>
      </c>
      <c r="G776" s="2">
        <v>26.71</v>
      </c>
      <c r="H776" s="2">
        <v>1.1000000000000001</v>
      </c>
      <c r="I776" s="2">
        <v>0.7</v>
      </c>
      <c r="J776" s="2">
        <v>9</v>
      </c>
      <c r="K776" s="2" t="s">
        <v>29</v>
      </c>
      <c r="L776" s="2">
        <v>5.03</v>
      </c>
      <c r="M776" s="2" t="s">
        <v>37</v>
      </c>
      <c r="N776" s="2">
        <v>78.959999999999994</v>
      </c>
      <c r="O776" s="2" t="s">
        <v>23</v>
      </c>
      <c r="P776" s="2">
        <v>5.83</v>
      </c>
      <c r="Q776" s="2">
        <v>10.130000000000001</v>
      </c>
      <c r="R776" s="3">
        <f t="shared" si="60"/>
        <v>2833.7298000000001</v>
      </c>
      <c r="S776" s="3">
        <f t="shared" si="61"/>
        <v>4923.7878000000001</v>
      </c>
      <c r="T776" s="3">
        <f t="shared" si="62"/>
        <v>2090.058</v>
      </c>
      <c r="U776" s="4">
        <f t="shared" si="63"/>
        <v>0.42448173741362288</v>
      </c>
      <c r="V776" s="5">
        <f t="shared" si="64"/>
        <v>24.448818000000003</v>
      </c>
    </row>
    <row r="777" spans="1:22" x14ac:dyDescent="0.25">
      <c r="A777" s="2" t="s">
        <v>811</v>
      </c>
      <c r="B777" s="2" t="s">
        <v>32</v>
      </c>
      <c r="C777" s="2" t="s">
        <v>27</v>
      </c>
      <c r="D777" s="2" t="s">
        <v>20</v>
      </c>
      <c r="E777" s="2">
        <v>573.97</v>
      </c>
      <c r="F777" s="2">
        <v>13.63</v>
      </c>
      <c r="G777" s="2">
        <v>39.520000000000003</v>
      </c>
      <c r="H777" s="2">
        <v>0.9</v>
      </c>
      <c r="I777" s="2">
        <v>4.5999999999999996</v>
      </c>
      <c r="J777" s="2">
        <v>7</v>
      </c>
      <c r="K777" s="2" t="s">
        <v>29</v>
      </c>
      <c r="L777" s="2">
        <v>8.1</v>
      </c>
      <c r="M777" s="2" t="s">
        <v>40</v>
      </c>
      <c r="N777" s="2">
        <v>97.01</v>
      </c>
      <c r="O777" s="2" t="s">
        <v>24</v>
      </c>
      <c r="P777" s="2">
        <v>9.35</v>
      </c>
      <c r="Q777" s="2">
        <v>5.65</v>
      </c>
      <c r="R777" s="3">
        <f t="shared" si="60"/>
        <v>5366.6194999999998</v>
      </c>
      <c r="S777" s="3">
        <f t="shared" si="61"/>
        <v>3242.9305000000004</v>
      </c>
      <c r="T777" s="3">
        <f t="shared" si="62"/>
        <v>-2123.6889999999994</v>
      </c>
      <c r="U777" s="4">
        <f t="shared" si="63"/>
        <v>-0.65486725663716783</v>
      </c>
      <c r="V777" s="5">
        <f t="shared" si="64"/>
        <v>46.491570000000003</v>
      </c>
    </row>
    <row r="778" spans="1:22" x14ac:dyDescent="0.25">
      <c r="A778" s="2" t="s">
        <v>812</v>
      </c>
      <c r="B778" s="2" t="s">
        <v>32</v>
      </c>
      <c r="C778" s="2" t="s">
        <v>43</v>
      </c>
      <c r="D778" s="2" t="s">
        <v>20</v>
      </c>
      <c r="E778" s="2">
        <v>309.06</v>
      </c>
      <c r="F778" s="2">
        <v>15.62</v>
      </c>
      <c r="G778" s="2">
        <v>37.47</v>
      </c>
      <c r="H778" s="2">
        <v>5.2</v>
      </c>
      <c r="I778" s="2">
        <v>0.2</v>
      </c>
      <c r="J778" s="2">
        <v>2</v>
      </c>
      <c r="K778" s="2" t="s">
        <v>34</v>
      </c>
      <c r="L778" s="2">
        <v>5.3</v>
      </c>
      <c r="M778" s="2" t="s">
        <v>40</v>
      </c>
      <c r="N778" s="2">
        <v>85.97</v>
      </c>
      <c r="O778" s="2" t="s">
        <v>23</v>
      </c>
      <c r="P778" s="2">
        <v>6.69</v>
      </c>
      <c r="Q778" s="2">
        <v>10.1</v>
      </c>
      <c r="R778" s="3">
        <f t="shared" si="60"/>
        <v>2067.6114000000002</v>
      </c>
      <c r="S778" s="3">
        <f t="shared" si="61"/>
        <v>3121.5059999999999</v>
      </c>
      <c r="T778" s="3">
        <f t="shared" si="62"/>
        <v>1053.8945999999996</v>
      </c>
      <c r="U778" s="4">
        <f t="shared" si="63"/>
        <v>0.33762376237623754</v>
      </c>
      <c r="V778" s="5">
        <f t="shared" si="64"/>
        <v>16.380179999999999</v>
      </c>
    </row>
    <row r="779" spans="1:22" x14ac:dyDescent="0.25">
      <c r="A779" s="2" t="s">
        <v>813</v>
      </c>
      <c r="B779" s="2" t="s">
        <v>26</v>
      </c>
      <c r="C779" s="2" t="s">
        <v>19</v>
      </c>
      <c r="D779" s="2" t="s">
        <v>20</v>
      </c>
      <c r="E779" s="2">
        <v>631.83000000000004</v>
      </c>
      <c r="F779" s="2">
        <v>15.14</v>
      </c>
      <c r="G779" s="2">
        <v>26.59</v>
      </c>
      <c r="H779" s="2">
        <v>3.5</v>
      </c>
      <c r="I779" s="2">
        <v>0.5</v>
      </c>
      <c r="J779" s="2">
        <v>19</v>
      </c>
      <c r="K779" s="2" t="s">
        <v>21</v>
      </c>
      <c r="L779" s="2">
        <v>4.08</v>
      </c>
      <c r="M779" s="2" t="s">
        <v>22</v>
      </c>
      <c r="N779" s="2">
        <v>53.12</v>
      </c>
      <c r="O779" s="2" t="s">
        <v>23</v>
      </c>
      <c r="P779" s="2">
        <v>6.96</v>
      </c>
      <c r="Q779" s="2">
        <v>14.59</v>
      </c>
      <c r="R779" s="3">
        <f t="shared" si="60"/>
        <v>4397.5367999999999</v>
      </c>
      <c r="S779" s="3">
        <f t="shared" si="61"/>
        <v>9218.3996999999999</v>
      </c>
      <c r="T779" s="3">
        <f t="shared" si="62"/>
        <v>4820.8629000000001</v>
      </c>
      <c r="U779" s="4">
        <f t="shared" si="63"/>
        <v>0.52296093214530504</v>
      </c>
      <c r="V779" s="5">
        <f t="shared" si="64"/>
        <v>25.778664000000003</v>
      </c>
    </row>
    <row r="780" spans="1:22" x14ac:dyDescent="0.25">
      <c r="A780" s="2" t="s">
        <v>814</v>
      </c>
      <c r="B780" s="2" t="s">
        <v>26</v>
      </c>
      <c r="C780" s="2" t="s">
        <v>19</v>
      </c>
      <c r="D780" s="2" t="s">
        <v>28</v>
      </c>
      <c r="E780" s="2">
        <v>507.27</v>
      </c>
      <c r="F780" s="2">
        <v>10.08</v>
      </c>
      <c r="G780" s="2">
        <v>31.76</v>
      </c>
      <c r="H780" s="2">
        <v>0.2</v>
      </c>
      <c r="I780" s="2">
        <v>0.3</v>
      </c>
      <c r="J780" s="2">
        <v>8</v>
      </c>
      <c r="K780" s="2" t="s">
        <v>34</v>
      </c>
      <c r="L780" s="2">
        <v>7.12</v>
      </c>
      <c r="M780" s="2" t="s">
        <v>40</v>
      </c>
      <c r="N780" s="2">
        <v>68.94</v>
      </c>
      <c r="O780" s="2" t="s">
        <v>30</v>
      </c>
      <c r="P780" s="2">
        <v>4.2300000000000004</v>
      </c>
      <c r="Q780" s="2">
        <v>14.79</v>
      </c>
      <c r="R780" s="3">
        <f t="shared" si="60"/>
        <v>2145.7521000000002</v>
      </c>
      <c r="S780" s="3">
        <f t="shared" si="61"/>
        <v>7502.5232999999989</v>
      </c>
      <c r="T780" s="3">
        <f t="shared" si="62"/>
        <v>5356.7711999999992</v>
      </c>
      <c r="U780" s="4">
        <f t="shared" si="63"/>
        <v>0.71399594320486814</v>
      </c>
      <c r="V780" s="5">
        <f t="shared" si="64"/>
        <v>36.117623999999999</v>
      </c>
    </row>
    <row r="781" spans="1:22" x14ac:dyDescent="0.25">
      <c r="A781" s="2" t="s">
        <v>815</v>
      </c>
      <c r="B781" s="2" t="s">
        <v>18</v>
      </c>
      <c r="C781" s="2" t="s">
        <v>19</v>
      </c>
      <c r="D781" s="2" t="s">
        <v>20</v>
      </c>
      <c r="E781" s="2">
        <v>458.85</v>
      </c>
      <c r="F781" s="2">
        <v>13.69</v>
      </c>
      <c r="G781" s="2">
        <v>36.950000000000003</v>
      </c>
      <c r="H781" s="2">
        <v>0.2</v>
      </c>
      <c r="I781" s="2">
        <v>1.4</v>
      </c>
      <c r="J781" s="2">
        <v>11</v>
      </c>
      <c r="K781" s="2" t="s">
        <v>29</v>
      </c>
      <c r="L781" s="2">
        <v>9.06</v>
      </c>
      <c r="M781" s="2" t="s">
        <v>22</v>
      </c>
      <c r="N781" s="2">
        <v>54.29</v>
      </c>
      <c r="O781" s="2" t="s">
        <v>30</v>
      </c>
      <c r="P781" s="2">
        <v>6.49</v>
      </c>
      <c r="Q781" s="2">
        <v>10.32</v>
      </c>
      <c r="R781" s="3">
        <f t="shared" si="60"/>
        <v>2977.9365000000003</v>
      </c>
      <c r="S781" s="3">
        <f t="shared" si="61"/>
        <v>4735.3320000000003</v>
      </c>
      <c r="T781" s="3">
        <f t="shared" si="62"/>
        <v>1757.3955000000001</v>
      </c>
      <c r="U781" s="4">
        <f t="shared" si="63"/>
        <v>0.37112403100775193</v>
      </c>
      <c r="V781" s="5">
        <f t="shared" si="64"/>
        <v>41.571810000000006</v>
      </c>
    </row>
    <row r="782" spans="1:22" x14ac:dyDescent="0.25">
      <c r="A782" s="2" t="s">
        <v>816</v>
      </c>
      <c r="B782" s="2" t="s">
        <v>32</v>
      </c>
      <c r="C782" s="2" t="s">
        <v>19</v>
      </c>
      <c r="D782" s="2" t="s">
        <v>28</v>
      </c>
      <c r="E782" s="2">
        <v>491.08</v>
      </c>
      <c r="F782" s="2">
        <v>16.68</v>
      </c>
      <c r="G782" s="2">
        <v>28.83</v>
      </c>
      <c r="H782" s="2">
        <v>1.1000000000000001</v>
      </c>
      <c r="I782" s="2">
        <v>1.4</v>
      </c>
      <c r="J782" s="2">
        <v>25</v>
      </c>
      <c r="K782" s="2" t="s">
        <v>34</v>
      </c>
      <c r="L782" s="2">
        <v>3.54</v>
      </c>
      <c r="M782" s="2" t="s">
        <v>22</v>
      </c>
      <c r="N782" s="2">
        <v>93.07</v>
      </c>
      <c r="O782" s="2" t="s">
        <v>24</v>
      </c>
      <c r="P782" s="2">
        <v>9.43</v>
      </c>
      <c r="Q782" s="2">
        <v>10.15</v>
      </c>
      <c r="R782" s="3">
        <f t="shared" si="60"/>
        <v>4630.8843999999999</v>
      </c>
      <c r="S782" s="3">
        <f t="shared" si="61"/>
        <v>4984.4620000000004</v>
      </c>
      <c r="T782" s="3">
        <f t="shared" si="62"/>
        <v>353.57760000000053</v>
      </c>
      <c r="U782" s="4">
        <f t="shared" si="63"/>
        <v>7.0935960591133107E-2</v>
      </c>
      <c r="V782" s="5">
        <f t="shared" si="64"/>
        <v>17.384232000000001</v>
      </c>
    </row>
    <row r="783" spans="1:22" x14ac:dyDescent="0.25">
      <c r="A783" s="2" t="s">
        <v>817</v>
      </c>
      <c r="B783" s="2" t="s">
        <v>18</v>
      </c>
      <c r="C783" s="2" t="s">
        <v>33</v>
      </c>
      <c r="D783" s="2" t="s">
        <v>20</v>
      </c>
      <c r="E783" s="2">
        <v>496.24</v>
      </c>
      <c r="F783" s="2">
        <v>12.32</v>
      </c>
      <c r="G783" s="2">
        <v>20.36</v>
      </c>
      <c r="H783" s="2">
        <v>0.2</v>
      </c>
      <c r="I783" s="2">
        <v>0.3</v>
      </c>
      <c r="J783" s="2">
        <v>4</v>
      </c>
      <c r="K783" s="2" t="s">
        <v>21</v>
      </c>
      <c r="L783" s="2">
        <v>4.88</v>
      </c>
      <c r="M783" s="2" t="s">
        <v>22</v>
      </c>
      <c r="N783" s="2">
        <v>81.08</v>
      </c>
      <c r="O783" s="2" t="s">
        <v>30</v>
      </c>
      <c r="P783" s="2">
        <v>6.91</v>
      </c>
      <c r="Q783" s="2">
        <v>7.86</v>
      </c>
      <c r="R783" s="3">
        <f t="shared" si="60"/>
        <v>3429.0183999999999</v>
      </c>
      <c r="S783" s="3">
        <f t="shared" si="61"/>
        <v>3900.4464000000003</v>
      </c>
      <c r="T783" s="3">
        <f t="shared" si="62"/>
        <v>471.42800000000034</v>
      </c>
      <c r="U783" s="4">
        <f t="shared" si="63"/>
        <v>0.1208651399491095</v>
      </c>
      <c r="V783" s="5">
        <f t="shared" si="64"/>
        <v>24.216511999999998</v>
      </c>
    </row>
    <row r="784" spans="1:22" x14ac:dyDescent="0.25">
      <c r="A784" s="2" t="s">
        <v>818</v>
      </c>
      <c r="B784" s="2" t="s">
        <v>26</v>
      </c>
      <c r="C784" s="2" t="s">
        <v>19</v>
      </c>
      <c r="D784" s="2" t="s">
        <v>20</v>
      </c>
      <c r="E784" s="2">
        <v>326.88</v>
      </c>
      <c r="F784" s="2">
        <v>17.670000000000002</v>
      </c>
      <c r="G784" s="2">
        <v>21.49</v>
      </c>
      <c r="H784" s="2">
        <v>1.9</v>
      </c>
      <c r="I784" s="2">
        <v>0.1</v>
      </c>
      <c r="J784" s="2">
        <v>16</v>
      </c>
      <c r="K784" s="2" t="s">
        <v>34</v>
      </c>
      <c r="L784" s="2">
        <v>2.68</v>
      </c>
      <c r="M784" s="2" t="s">
        <v>40</v>
      </c>
      <c r="N784" s="2">
        <v>97.82</v>
      </c>
      <c r="O784" s="2" t="s">
        <v>23</v>
      </c>
      <c r="P784" s="2">
        <v>4.79</v>
      </c>
      <c r="Q784" s="2">
        <v>14.97</v>
      </c>
      <c r="R784" s="3">
        <f t="shared" si="60"/>
        <v>1565.7552000000001</v>
      </c>
      <c r="S784" s="3">
        <f t="shared" si="61"/>
        <v>4893.3936000000003</v>
      </c>
      <c r="T784" s="3">
        <f t="shared" si="62"/>
        <v>3327.6384000000003</v>
      </c>
      <c r="U784" s="4">
        <f t="shared" si="63"/>
        <v>0.68002672010688048</v>
      </c>
      <c r="V784" s="5">
        <f t="shared" si="64"/>
        <v>8.7603840000000002</v>
      </c>
    </row>
    <row r="785" spans="1:22" x14ac:dyDescent="0.25">
      <c r="A785" s="2" t="s">
        <v>819</v>
      </c>
      <c r="B785" s="2" t="s">
        <v>26</v>
      </c>
      <c r="C785" s="2" t="s">
        <v>33</v>
      </c>
      <c r="D785" s="2" t="s">
        <v>20</v>
      </c>
      <c r="E785" s="2">
        <v>649.49</v>
      </c>
      <c r="F785" s="2">
        <v>12.52</v>
      </c>
      <c r="G785" s="2">
        <v>30.21</v>
      </c>
      <c r="H785" s="2">
        <v>0.3</v>
      </c>
      <c r="I785" s="2">
        <v>0</v>
      </c>
      <c r="J785" s="2">
        <v>25</v>
      </c>
      <c r="K785" s="2" t="s">
        <v>34</v>
      </c>
      <c r="L785" s="2">
        <v>2.2400000000000002</v>
      </c>
      <c r="M785" s="2" t="s">
        <v>22</v>
      </c>
      <c r="N785" s="2">
        <v>50.99</v>
      </c>
      <c r="O785" s="2" t="s">
        <v>23</v>
      </c>
      <c r="P785" s="2">
        <v>3.22</v>
      </c>
      <c r="Q785" s="2">
        <v>7.74</v>
      </c>
      <c r="R785" s="3">
        <f t="shared" si="60"/>
        <v>2091.3578000000002</v>
      </c>
      <c r="S785" s="3">
        <f t="shared" si="61"/>
        <v>5027.0526</v>
      </c>
      <c r="T785" s="3">
        <f t="shared" si="62"/>
        <v>2935.6947999999998</v>
      </c>
      <c r="U785" s="4">
        <f t="shared" si="63"/>
        <v>0.58397932816537468</v>
      </c>
      <c r="V785" s="5">
        <f t="shared" si="64"/>
        <v>14.548576000000001</v>
      </c>
    </row>
    <row r="786" spans="1:22" x14ac:dyDescent="0.25">
      <c r="A786" s="2" t="s">
        <v>820</v>
      </c>
      <c r="B786" s="2" t="s">
        <v>45</v>
      </c>
      <c r="C786" s="2" t="s">
        <v>33</v>
      </c>
      <c r="D786" s="2" t="s">
        <v>28</v>
      </c>
      <c r="E786" s="2">
        <v>504.13</v>
      </c>
      <c r="F786" s="2">
        <v>9.43</v>
      </c>
      <c r="G786" s="2">
        <v>39.39</v>
      </c>
      <c r="H786" s="2">
        <v>1.5</v>
      </c>
      <c r="I786" s="2">
        <v>0.6</v>
      </c>
      <c r="J786" s="2">
        <v>18</v>
      </c>
      <c r="K786" s="2" t="s">
        <v>29</v>
      </c>
      <c r="L786" s="2">
        <v>7.89</v>
      </c>
      <c r="M786" s="2" t="s">
        <v>22</v>
      </c>
      <c r="N786" s="2">
        <v>71.150000000000006</v>
      </c>
      <c r="O786" s="2" t="s">
        <v>23</v>
      </c>
      <c r="P786" s="2">
        <v>5.35</v>
      </c>
      <c r="Q786" s="2">
        <v>9.5299999999999994</v>
      </c>
      <c r="R786" s="3">
        <f t="shared" si="60"/>
        <v>2697.0954999999999</v>
      </c>
      <c r="S786" s="3">
        <f t="shared" si="61"/>
        <v>4804.3588999999993</v>
      </c>
      <c r="T786" s="3">
        <f t="shared" si="62"/>
        <v>2107.2633999999994</v>
      </c>
      <c r="U786" s="4">
        <f t="shared" si="63"/>
        <v>0.43861490031479533</v>
      </c>
      <c r="V786" s="5">
        <f t="shared" si="64"/>
        <v>39.775856999999995</v>
      </c>
    </row>
    <row r="787" spans="1:22" x14ac:dyDescent="0.25">
      <c r="A787" s="2" t="s">
        <v>821</v>
      </c>
      <c r="B787" s="2" t="s">
        <v>32</v>
      </c>
      <c r="C787" s="2" t="s">
        <v>27</v>
      </c>
      <c r="D787" s="2" t="s">
        <v>28</v>
      </c>
      <c r="E787" s="2">
        <v>544.29999999999995</v>
      </c>
      <c r="F787" s="2">
        <v>11.89</v>
      </c>
      <c r="G787" s="2">
        <v>33.86</v>
      </c>
      <c r="H787" s="2">
        <v>0</v>
      </c>
      <c r="I787" s="2">
        <v>0.5</v>
      </c>
      <c r="J787" s="2">
        <v>13</v>
      </c>
      <c r="K787" s="2" t="s">
        <v>21</v>
      </c>
      <c r="L787" s="2">
        <v>2.41</v>
      </c>
      <c r="M787" s="2" t="s">
        <v>40</v>
      </c>
      <c r="N787" s="2">
        <v>55.22</v>
      </c>
      <c r="O787" s="2" t="s">
        <v>24</v>
      </c>
      <c r="P787" s="2">
        <v>7.01</v>
      </c>
      <c r="Q787" s="2">
        <v>5.03</v>
      </c>
      <c r="R787" s="3">
        <f t="shared" si="60"/>
        <v>3815.5429999999997</v>
      </c>
      <c r="S787" s="3">
        <f t="shared" si="61"/>
        <v>2737.8289999999997</v>
      </c>
      <c r="T787" s="3">
        <f t="shared" si="62"/>
        <v>-1077.7139999999999</v>
      </c>
      <c r="U787" s="4">
        <f t="shared" si="63"/>
        <v>-0.3936381709741551</v>
      </c>
      <c r="V787" s="5">
        <f t="shared" si="64"/>
        <v>13.117629999999998</v>
      </c>
    </row>
    <row r="788" spans="1:22" x14ac:dyDescent="0.25">
      <c r="A788" s="2" t="s">
        <v>822</v>
      </c>
      <c r="B788" s="2" t="s">
        <v>18</v>
      </c>
      <c r="C788" s="2" t="s">
        <v>33</v>
      </c>
      <c r="D788" s="2" t="s">
        <v>20</v>
      </c>
      <c r="E788" s="2">
        <v>595.15</v>
      </c>
      <c r="F788" s="2">
        <v>17.52</v>
      </c>
      <c r="G788" s="2">
        <v>21.42</v>
      </c>
      <c r="H788" s="2">
        <v>0.8</v>
      </c>
      <c r="I788" s="2">
        <v>4.5</v>
      </c>
      <c r="J788" s="2">
        <v>27</v>
      </c>
      <c r="K788" s="2" t="s">
        <v>29</v>
      </c>
      <c r="L788" s="2">
        <v>8.0399999999999991</v>
      </c>
      <c r="M788" s="2" t="s">
        <v>22</v>
      </c>
      <c r="N788" s="2">
        <v>67.52</v>
      </c>
      <c r="O788" s="2" t="s">
        <v>30</v>
      </c>
      <c r="P788" s="2">
        <v>3.3</v>
      </c>
      <c r="Q788" s="2">
        <v>8.49</v>
      </c>
      <c r="R788" s="3">
        <f t="shared" si="60"/>
        <v>1963.9949999999999</v>
      </c>
      <c r="S788" s="3">
        <f t="shared" si="61"/>
        <v>5052.8234999999995</v>
      </c>
      <c r="T788" s="3">
        <f t="shared" si="62"/>
        <v>3088.8284999999996</v>
      </c>
      <c r="U788" s="4">
        <f t="shared" si="63"/>
        <v>0.61130742049469966</v>
      </c>
      <c r="V788" s="5">
        <f t="shared" si="64"/>
        <v>47.850059999999992</v>
      </c>
    </row>
    <row r="789" spans="1:22" x14ac:dyDescent="0.25">
      <c r="A789" s="2" t="s">
        <v>823</v>
      </c>
      <c r="B789" s="2" t="s">
        <v>26</v>
      </c>
      <c r="C789" s="2" t="s">
        <v>43</v>
      </c>
      <c r="D789" s="2" t="s">
        <v>28</v>
      </c>
      <c r="E789" s="2">
        <v>397.88</v>
      </c>
      <c r="F789" s="2">
        <v>11.2</v>
      </c>
      <c r="G789" s="2">
        <v>23.79</v>
      </c>
      <c r="H789" s="2">
        <v>2.2999999999999998</v>
      </c>
      <c r="I789" s="2">
        <v>0.6</v>
      </c>
      <c r="J789" s="2">
        <v>5</v>
      </c>
      <c r="K789" s="2" t="s">
        <v>29</v>
      </c>
      <c r="L789" s="2">
        <v>4.58</v>
      </c>
      <c r="M789" s="2" t="s">
        <v>37</v>
      </c>
      <c r="N789" s="2">
        <v>58.09</v>
      </c>
      <c r="O789" s="2" t="s">
        <v>23</v>
      </c>
      <c r="P789" s="2">
        <v>7.27</v>
      </c>
      <c r="Q789" s="2">
        <v>5.71</v>
      </c>
      <c r="R789" s="3">
        <f t="shared" si="60"/>
        <v>2892.5875999999998</v>
      </c>
      <c r="S789" s="3">
        <f t="shared" si="61"/>
        <v>2271.8948</v>
      </c>
      <c r="T789" s="3">
        <f t="shared" si="62"/>
        <v>-620.69279999999981</v>
      </c>
      <c r="U789" s="4">
        <f t="shared" si="63"/>
        <v>-0.27320490367775824</v>
      </c>
      <c r="V789" s="5">
        <f t="shared" si="64"/>
        <v>18.222904</v>
      </c>
    </row>
    <row r="790" spans="1:22" x14ac:dyDescent="0.25">
      <c r="A790" s="2" t="s">
        <v>824</v>
      </c>
      <c r="B790" s="2" t="s">
        <v>26</v>
      </c>
      <c r="C790" s="2" t="s">
        <v>33</v>
      </c>
      <c r="D790" s="2" t="s">
        <v>20</v>
      </c>
      <c r="E790" s="2">
        <v>547.35</v>
      </c>
      <c r="F790" s="2">
        <v>16.68</v>
      </c>
      <c r="G790" s="2">
        <v>35.43</v>
      </c>
      <c r="H790" s="2">
        <v>1.3</v>
      </c>
      <c r="I790" s="2">
        <v>0.3</v>
      </c>
      <c r="J790" s="2">
        <v>27</v>
      </c>
      <c r="K790" s="2" t="s">
        <v>21</v>
      </c>
      <c r="L790" s="2">
        <v>9.9499999999999993</v>
      </c>
      <c r="M790" s="2" t="s">
        <v>40</v>
      </c>
      <c r="N790" s="2">
        <v>66.44</v>
      </c>
      <c r="O790" s="2" t="s">
        <v>24</v>
      </c>
      <c r="P790" s="2">
        <v>6.66</v>
      </c>
      <c r="Q790" s="2">
        <v>12.44</v>
      </c>
      <c r="R790" s="3">
        <f t="shared" si="60"/>
        <v>3645.3510000000001</v>
      </c>
      <c r="S790" s="3">
        <f t="shared" si="61"/>
        <v>6809.0339999999997</v>
      </c>
      <c r="T790" s="3">
        <f t="shared" si="62"/>
        <v>3163.6829999999995</v>
      </c>
      <c r="U790" s="4">
        <f t="shared" si="63"/>
        <v>0.46463022508038582</v>
      </c>
      <c r="V790" s="5">
        <f t="shared" si="64"/>
        <v>54.461324999999995</v>
      </c>
    </row>
    <row r="791" spans="1:22" x14ac:dyDescent="0.25">
      <c r="A791" s="2" t="s">
        <v>825</v>
      </c>
      <c r="B791" s="2" t="s">
        <v>18</v>
      </c>
      <c r="C791" s="2" t="s">
        <v>27</v>
      </c>
      <c r="D791" s="2" t="s">
        <v>28</v>
      </c>
      <c r="E791" s="2">
        <v>473.24</v>
      </c>
      <c r="F791" s="2">
        <v>16.809999999999999</v>
      </c>
      <c r="G791" s="2">
        <v>36.83</v>
      </c>
      <c r="H791" s="2">
        <v>7.7</v>
      </c>
      <c r="I791" s="2">
        <v>2.2000000000000002</v>
      </c>
      <c r="J791" s="2">
        <v>2</v>
      </c>
      <c r="K791" s="2" t="s">
        <v>34</v>
      </c>
      <c r="L791" s="2">
        <v>2.37</v>
      </c>
      <c r="M791" s="2" t="s">
        <v>40</v>
      </c>
      <c r="N791" s="2">
        <v>90.96</v>
      </c>
      <c r="O791" s="2" t="s">
        <v>30</v>
      </c>
      <c r="P791" s="2">
        <v>8.48</v>
      </c>
      <c r="Q791" s="2">
        <v>10.61</v>
      </c>
      <c r="R791" s="3">
        <f t="shared" si="60"/>
        <v>4013.0752000000002</v>
      </c>
      <c r="S791" s="3">
        <f t="shared" si="61"/>
        <v>5021.0763999999999</v>
      </c>
      <c r="T791" s="3">
        <f t="shared" si="62"/>
        <v>1008.0011999999997</v>
      </c>
      <c r="U791" s="4">
        <f t="shared" si="63"/>
        <v>0.20075400565504237</v>
      </c>
      <c r="V791" s="5">
        <f t="shared" si="64"/>
        <v>11.215788</v>
      </c>
    </row>
    <row r="792" spans="1:22" x14ac:dyDescent="0.25">
      <c r="A792" s="2" t="s">
        <v>826</v>
      </c>
      <c r="B792" s="2" t="s">
        <v>45</v>
      </c>
      <c r="C792" s="2" t="s">
        <v>33</v>
      </c>
      <c r="D792" s="2" t="s">
        <v>28</v>
      </c>
      <c r="E792" s="2">
        <v>584.67999999999995</v>
      </c>
      <c r="F792" s="2">
        <v>11.5</v>
      </c>
      <c r="G792" s="2">
        <v>32.35</v>
      </c>
      <c r="H792" s="2">
        <v>4.0999999999999996</v>
      </c>
      <c r="I792" s="2">
        <v>0.7</v>
      </c>
      <c r="J792" s="2">
        <v>11</v>
      </c>
      <c r="K792" s="2" t="s">
        <v>29</v>
      </c>
      <c r="L792" s="2">
        <v>1.38</v>
      </c>
      <c r="M792" s="2" t="s">
        <v>40</v>
      </c>
      <c r="N792" s="2">
        <v>58.03</v>
      </c>
      <c r="O792" s="2" t="s">
        <v>30</v>
      </c>
      <c r="P792" s="2">
        <v>3.2</v>
      </c>
      <c r="Q792" s="2">
        <v>10.72</v>
      </c>
      <c r="R792" s="3">
        <f t="shared" si="60"/>
        <v>1870.9759999999999</v>
      </c>
      <c r="S792" s="3">
        <f t="shared" si="61"/>
        <v>6267.7695999999996</v>
      </c>
      <c r="T792" s="3">
        <f t="shared" si="62"/>
        <v>4396.7936</v>
      </c>
      <c r="U792" s="4">
        <f t="shared" si="63"/>
        <v>0.70149253731343286</v>
      </c>
      <c r="V792" s="5">
        <f t="shared" si="64"/>
        <v>8.0685839999999978</v>
      </c>
    </row>
    <row r="793" spans="1:22" x14ac:dyDescent="0.25">
      <c r="A793" s="2" t="s">
        <v>827</v>
      </c>
      <c r="B793" s="2" t="s">
        <v>26</v>
      </c>
      <c r="C793" s="2" t="s">
        <v>43</v>
      </c>
      <c r="D793" s="2" t="s">
        <v>28</v>
      </c>
      <c r="E793" s="2">
        <v>287.27999999999997</v>
      </c>
      <c r="F793" s="2">
        <v>8.83</v>
      </c>
      <c r="G793" s="2">
        <v>32.89</v>
      </c>
      <c r="H793" s="2">
        <v>0.9</v>
      </c>
      <c r="I793" s="2">
        <v>0.9</v>
      </c>
      <c r="J793" s="2">
        <v>1</v>
      </c>
      <c r="K793" s="2" t="s">
        <v>34</v>
      </c>
      <c r="L793" s="2">
        <v>1.22</v>
      </c>
      <c r="M793" s="2" t="s">
        <v>37</v>
      </c>
      <c r="N793" s="2">
        <v>73.680000000000007</v>
      </c>
      <c r="O793" s="2" t="s">
        <v>23</v>
      </c>
      <c r="P793" s="2">
        <v>8.4700000000000006</v>
      </c>
      <c r="Q793" s="2">
        <v>7.87</v>
      </c>
      <c r="R793" s="3">
        <f t="shared" si="60"/>
        <v>2433.2615999999998</v>
      </c>
      <c r="S793" s="3">
        <f t="shared" si="61"/>
        <v>2260.8935999999999</v>
      </c>
      <c r="T793" s="3">
        <f t="shared" si="62"/>
        <v>-172.36799999999994</v>
      </c>
      <c r="U793" s="4">
        <f t="shared" si="63"/>
        <v>-7.6238881829733138E-2</v>
      </c>
      <c r="V793" s="5">
        <f t="shared" si="64"/>
        <v>3.5048159999999995</v>
      </c>
    </row>
    <row r="794" spans="1:22" x14ac:dyDescent="0.25">
      <c r="A794" s="2" t="s">
        <v>828</v>
      </c>
      <c r="B794" s="2" t="s">
        <v>32</v>
      </c>
      <c r="C794" s="2" t="s">
        <v>43</v>
      </c>
      <c r="D794" s="2" t="s">
        <v>20</v>
      </c>
      <c r="E794" s="2">
        <v>490.09</v>
      </c>
      <c r="F794" s="2">
        <v>15.25</v>
      </c>
      <c r="G794" s="2">
        <v>20.57</v>
      </c>
      <c r="H794" s="2">
        <v>0.1</v>
      </c>
      <c r="I794" s="2">
        <v>0.1</v>
      </c>
      <c r="J794" s="2">
        <v>13</v>
      </c>
      <c r="K794" s="2" t="s">
        <v>21</v>
      </c>
      <c r="L794" s="2">
        <v>8.44</v>
      </c>
      <c r="M794" s="2" t="s">
        <v>22</v>
      </c>
      <c r="N794" s="2">
        <v>96.08</v>
      </c>
      <c r="O794" s="2" t="s">
        <v>24</v>
      </c>
      <c r="P794" s="2">
        <v>6.65</v>
      </c>
      <c r="Q794" s="2">
        <v>13.15</v>
      </c>
      <c r="R794" s="3">
        <f t="shared" si="60"/>
        <v>3259.0985000000001</v>
      </c>
      <c r="S794" s="3">
        <f t="shared" si="61"/>
        <v>6444.6835000000001</v>
      </c>
      <c r="T794" s="3">
        <f t="shared" si="62"/>
        <v>3185.585</v>
      </c>
      <c r="U794" s="4">
        <f t="shared" si="63"/>
        <v>0.49429657794676807</v>
      </c>
      <c r="V794" s="5">
        <f t="shared" si="64"/>
        <v>41.363596000000001</v>
      </c>
    </row>
    <row r="795" spans="1:22" x14ac:dyDescent="0.25">
      <c r="A795" s="2" t="s">
        <v>829</v>
      </c>
      <c r="B795" s="2" t="s">
        <v>26</v>
      </c>
      <c r="C795" s="2" t="s">
        <v>43</v>
      </c>
      <c r="D795" s="2" t="s">
        <v>28</v>
      </c>
      <c r="E795" s="2">
        <v>439.72</v>
      </c>
      <c r="F795" s="2">
        <v>11.12</v>
      </c>
      <c r="G795" s="2">
        <v>36.57</v>
      </c>
      <c r="H795" s="2">
        <v>3.7</v>
      </c>
      <c r="I795" s="2">
        <v>0.5</v>
      </c>
      <c r="J795" s="2">
        <v>5</v>
      </c>
      <c r="K795" s="2" t="s">
        <v>29</v>
      </c>
      <c r="L795" s="2">
        <v>4.66</v>
      </c>
      <c r="M795" s="2" t="s">
        <v>40</v>
      </c>
      <c r="N795" s="2">
        <v>99.94</v>
      </c>
      <c r="O795" s="2" t="s">
        <v>23</v>
      </c>
      <c r="P795" s="2">
        <v>5.59</v>
      </c>
      <c r="Q795" s="2">
        <v>5.03</v>
      </c>
      <c r="R795" s="3">
        <f t="shared" si="60"/>
        <v>2458.0347999999999</v>
      </c>
      <c r="S795" s="3">
        <f t="shared" si="61"/>
        <v>2211.7916000000005</v>
      </c>
      <c r="T795" s="3">
        <f t="shared" si="62"/>
        <v>-246.24319999999943</v>
      </c>
      <c r="U795" s="4">
        <f t="shared" si="63"/>
        <v>-0.111332007952286</v>
      </c>
      <c r="V795" s="5">
        <f t="shared" si="64"/>
        <v>20.490952000000004</v>
      </c>
    </row>
    <row r="796" spans="1:22" x14ac:dyDescent="0.25">
      <c r="A796" s="2" t="s">
        <v>830</v>
      </c>
      <c r="B796" s="2" t="s">
        <v>32</v>
      </c>
      <c r="C796" s="2" t="s">
        <v>27</v>
      </c>
      <c r="D796" s="2" t="s">
        <v>28</v>
      </c>
      <c r="E796" s="2">
        <v>543.23</v>
      </c>
      <c r="F796" s="2">
        <v>15.83</v>
      </c>
      <c r="G796" s="2">
        <v>35.770000000000003</v>
      </c>
      <c r="H796" s="2">
        <v>4.8</v>
      </c>
      <c r="I796" s="2">
        <v>2.9</v>
      </c>
      <c r="J796" s="2">
        <v>18</v>
      </c>
      <c r="K796" s="2" t="s">
        <v>34</v>
      </c>
      <c r="L796" s="2">
        <v>0.53</v>
      </c>
      <c r="M796" s="2" t="s">
        <v>40</v>
      </c>
      <c r="N796" s="2">
        <v>62.53</v>
      </c>
      <c r="O796" s="2" t="s">
        <v>23</v>
      </c>
      <c r="P796" s="2">
        <v>9.76</v>
      </c>
      <c r="Q796" s="2">
        <v>8.34</v>
      </c>
      <c r="R796" s="3">
        <f t="shared" si="60"/>
        <v>5301.9247999999998</v>
      </c>
      <c r="S796" s="3">
        <f t="shared" si="61"/>
        <v>4530.5382</v>
      </c>
      <c r="T796" s="3">
        <f t="shared" si="62"/>
        <v>-771.38659999999982</v>
      </c>
      <c r="U796" s="4">
        <f t="shared" si="63"/>
        <v>-0.17026378896882491</v>
      </c>
      <c r="V796" s="5">
        <f t="shared" si="64"/>
        <v>2.8791190000000002</v>
      </c>
    </row>
    <row r="797" spans="1:22" x14ac:dyDescent="0.25">
      <c r="A797" s="2" t="s">
        <v>831</v>
      </c>
      <c r="B797" s="2" t="s">
        <v>18</v>
      </c>
      <c r="C797" s="2" t="s">
        <v>27</v>
      </c>
      <c r="D797" s="2" t="s">
        <v>20</v>
      </c>
      <c r="E797" s="2">
        <v>547</v>
      </c>
      <c r="F797" s="2">
        <v>12.43</v>
      </c>
      <c r="G797" s="2">
        <v>25.18</v>
      </c>
      <c r="H797" s="2">
        <v>3.4</v>
      </c>
      <c r="I797" s="2">
        <v>0.9</v>
      </c>
      <c r="J797" s="2">
        <v>14</v>
      </c>
      <c r="K797" s="2" t="s">
        <v>34</v>
      </c>
      <c r="L797" s="2">
        <v>8.81</v>
      </c>
      <c r="M797" s="2" t="s">
        <v>40</v>
      </c>
      <c r="N797" s="2">
        <v>96.78</v>
      </c>
      <c r="O797" s="2" t="s">
        <v>24</v>
      </c>
      <c r="P797" s="2">
        <v>4.12</v>
      </c>
      <c r="Q797" s="2">
        <v>11.59</v>
      </c>
      <c r="R797" s="3">
        <f t="shared" si="60"/>
        <v>2253.64</v>
      </c>
      <c r="S797" s="3">
        <f t="shared" si="61"/>
        <v>6339.73</v>
      </c>
      <c r="T797" s="3">
        <f t="shared" si="62"/>
        <v>4086.0899999999997</v>
      </c>
      <c r="U797" s="4">
        <f t="shared" si="63"/>
        <v>0.6445211389128559</v>
      </c>
      <c r="V797" s="5">
        <f t="shared" si="64"/>
        <v>48.190700000000007</v>
      </c>
    </row>
    <row r="798" spans="1:22" x14ac:dyDescent="0.25">
      <c r="A798" s="2" t="s">
        <v>832</v>
      </c>
      <c r="B798" s="2" t="s">
        <v>32</v>
      </c>
      <c r="C798" s="2" t="s">
        <v>19</v>
      </c>
      <c r="D798" s="2" t="s">
        <v>20</v>
      </c>
      <c r="E798" s="2">
        <v>429.24</v>
      </c>
      <c r="F798" s="2">
        <v>12.85</v>
      </c>
      <c r="G798" s="2">
        <v>34.17</v>
      </c>
      <c r="H798" s="2">
        <v>0.3</v>
      </c>
      <c r="I798" s="2">
        <v>0.4</v>
      </c>
      <c r="J798" s="2">
        <v>13</v>
      </c>
      <c r="K798" s="2" t="s">
        <v>29</v>
      </c>
      <c r="L798" s="2">
        <v>8.83</v>
      </c>
      <c r="M798" s="2" t="s">
        <v>37</v>
      </c>
      <c r="N798" s="2">
        <v>63.07</v>
      </c>
      <c r="O798" s="2" t="s">
        <v>23</v>
      </c>
      <c r="P798" s="2">
        <v>6.79</v>
      </c>
      <c r="Q798" s="2">
        <v>14.08</v>
      </c>
      <c r="R798" s="3">
        <f t="shared" si="60"/>
        <v>2914.5396000000001</v>
      </c>
      <c r="S798" s="3">
        <f t="shared" si="61"/>
        <v>6043.6992</v>
      </c>
      <c r="T798" s="3">
        <f t="shared" si="62"/>
        <v>3129.1596</v>
      </c>
      <c r="U798" s="4">
        <f t="shared" si="63"/>
        <v>0.51775568181818177</v>
      </c>
      <c r="V798" s="5">
        <f t="shared" si="64"/>
        <v>37.901892000000004</v>
      </c>
    </row>
    <row r="799" spans="1:22" x14ac:dyDescent="0.25">
      <c r="A799" s="2" t="s">
        <v>833</v>
      </c>
      <c r="B799" s="2" t="s">
        <v>18</v>
      </c>
      <c r="C799" s="2" t="s">
        <v>27</v>
      </c>
      <c r="D799" s="2" t="s">
        <v>20</v>
      </c>
      <c r="E799" s="2">
        <v>428.78</v>
      </c>
      <c r="F799" s="2">
        <v>15.78</v>
      </c>
      <c r="G799" s="2">
        <v>24.3</v>
      </c>
      <c r="H799" s="2">
        <v>12.3</v>
      </c>
      <c r="I799" s="2">
        <v>1</v>
      </c>
      <c r="J799" s="2">
        <v>7</v>
      </c>
      <c r="K799" s="2" t="s">
        <v>21</v>
      </c>
      <c r="L799" s="2">
        <v>8.16</v>
      </c>
      <c r="M799" s="2" t="s">
        <v>37</v>
      </c>
      <c r="N799" s="2">
        <v>70.680000000000007</v>
      </c>
      <c r="O799" s="2" t="s">
        <v>24</v>
      </c>
      <c r="P799" s="2">
        <v>5.25</v>
      </c>
      <c r="Q799" s="2">
        <v>7.35</v>
      </c>
      <c r="R799" s="3">
        <f t="shared" si="60"/>
        <v>2251.0949999999998</v>
      </c>
      <c r="S799" s="3">
        <f t="shared" si="61"/>
        <v>3151.5329999999994</v>
      </c>
      <c r="T799" s="3">
        <f t="shared" si="62"/>
        <v>900.43799999999965</v>
      </c>
      <c r="U799" s="4">
        <f t="shared" si="63"/>
        <v>0.28571428571428564</v>
      </c>
      <c r="V799" s="5">
        <f t="shared" si="64"/>
        <v>34.988447999999998</v>
      </c>
    </row>
    <row r="800" spans="1:22" x14ac:dyDescent="0.25">
      <c r="A800" s="2" t="s">
        <v>834</v>
      </c>
      <c r="B800" s="2" t="s">
        <v>32</v>
      </c>
      <c r="C800" s="2" t="s">
        <v>43</v>
      </c>
      <c r="D800" s="2" t="s">
        <v>20</v>
      </c>
      <c r="E800" s="2">
        <v>488.93</v>
      </c>
      <c r="F800" s="2">
        <v>11.82</v>
      </c>
      <c r="G800" s="2">
        <v>20.81</v>
      </c>
      <c r="H800" s="2">
        <v>0.6</v>
      </c>
      <c r="I800" s="2">
        <v>2.4</v>
      </c>
      <c r="J800" s="2">
        <v>8</v>
      </c>
      <c r="K800" s="2" t="s">
        <v>34</v>
      </c>
      <c r="L800" s="2">
        <v>2.86</v>
      </c>
      <c r="M800" s="2" t="s">
        <v>37</v>
      </c>
      <c r="N800" s="2">
        <v>93.9</v>
      </c>
      <c r="O800" s="2" t="s">
        <v>24</v>
      </c>
      <c r="P800" s="2">
        <v>6.69</v>
      </c>
      <c r="Q800" s="2">
        <v>10.41</v>
      </c>
      <c r="R800" s="3">
        <f t="shared" si="60"/>
        <v>3270.9417000000003</v>
      </c>
      <c r="S800" s="3">
        <f t="shared" si="61"/>
        <v>5089.7613000000001</v>
      </c>
      <c r="T800" s="3">
        <f t="shared" si="62"/>
        <v>1818.8195999999998</v>
      </c>
      <c r="U800" s="4">
        <f t="shared" si="63"/>
        <v>0.35734870317002876</v>
      </c>
      <c r="V800" s="5">
        <f t="shared" si="64"/>
        <v>13.983397999999999</v>
      </c>
    </row>
    <row r="801" spans="1:22" x14ac:dyDescent="0.25">
      <c r="A801" s="2" t="s">
        <v>835</v>
      </c>
      <c r="B801" s="2" t="s">
        <v>18</v>
      </c>
      <c r="C801" s="2" t="s">
        <v>43</v>
      </c>
      <c r="D801" s="2" t="s">
        <v>28</v>
      </c>
      <c r="E801" s="2">
        <v>410.34</v>
      </c>
      <c r="F801" s="2">
        <v>12.43</v>
      </c>
      <c r="G801" s="2">
        <v>24.02</v>
      </c>
      <c r="H801" s="2">
        <v>2.6</v>
      </c>
      <c r="I801" s="2">
        <v>0.3</v>
      </c>
      <c r="J801" s="2">
        <v>18</v>
      </c>
      <c r="K801" s="2" t="s">
        <v>21</v>
      </c>
      <c r="L801" s="2">
        <v>4.04</v>
      </c>
      <c r="M801" s="2" t="s">
        <v>22</v>
      </c>
      <c r="N801" s="2">
        <v>89.31</v>
      </c>
      <c r="O801" s="2" t="s">
        <v>23</v>
      </c>
      <c r="P801" s="2">
        <v>6.87</v>
      </c>
      <c r="Q801" s="2">
        <v>10.38</v>
      </c>
      <c r="R801" s="3">
        <f t="shared" si="60"/>
        <v>2819.0357999999997</v>
      </c>
      <c r="S801" s="3">
        <f t="shared" si="61"/>
        <v>4259.3292000000001</v>
      </c>
      <c r="T801" s="3">
        <f t="shared" si="62"/>
        <v>1440.2934000000005</v>
      </c>
      <c r="U801" s="4">
        <f t="shared" si="63"/>
        <v>0.33815028901734112</v>
      </c>
      <c r="V801" s="5">
        <f t="shared" si="64"/>
        <v>16.577736000000002</v>
      </c>
    </row>
    <row r="802" spans="1:22" x14ac:dyDescent="0.25">
      <c r="A802" s="2" t="s">
        <v>836</v>
      </c>
      <c r="B802" s="2" t="s">
        <v>32</v>
      </c>
      <c r="C802" s="2" t="s">
        <v>27</v>
      </c>
      <c r="D802" s="2" t="s">
        <v>28</v>
      </c>
      <c r="E802" s="2">
        <v>584.20000000000005</v>
      </c>
      <c r="F802" s="2">
        <v>11.76</v>
      </c>
      <c r="G802" s="2">
        <v>23.57</v>
      </c>
      <c r="H802" s="2">
        <v>4.8</v>
      </c>
      <c r="I802" s="2">
        <v>0.7</v>
      </c>
      <c r="J802" s="2">
        <v>7</v>
      </c>
      <c r="K802" s="2" t="s">
        <v>29</v>
      </c>
      <c r="L802" s="2">
        <v>7.58</v>
      </c>
      <c r="M802" s="2" t="s">
        <v>22</v>
      </c>
      <c r="N802" s="2">
        <v>92.87</v>
      </c>
      <c r="O802" s="2" t="s">
        <v>23</v>
      </c>
      <c r="P802" s="2">
        <v>3.63</v>
      </c>
      <c r="Q802" s="2">
        <v>13.74</v>
      </c>
      <c r="R802" s="3">
        <f t="shared" si="60"/>
        <v>2120.6460000000002</v>
      </c>
      <c r="S802" s="3">
        <f t="shared" si="61"/>
        <v>8026.9080000000004</v>
      </c>
      <c r="T802" s="3">
        <f t="shared" si="62"/>
        <v>5906.2620000000006</v>
      </c>
      <c r="U802" s="4">
        <f t="shared" si="63"/>
        <v>0.73580786026200873</v>
      </c>
      <c r="V802" s="5">
        <f t="shared" si="64"/>
        <v>44.282360000000011</v>
      </c>
    </row>
    <row r="803" spans="1:22" x14ac:dyDescent="0.25">
      <c r="A803" s="2" t="s">
        <v>837</v>
      </c>
      <c r="B803" s="2" t="s">
        <v>45</v>
      </c>
      <c r="C803" s="2" t="s">
        <v>33</v>
      </c>
      <c r="D803" s="2" t="s">
        <v>28</v>
      </c>
      <c r="E803" s="2">
        <v>463.08</v>
      </c>
      <c r="F803" s="2">
        <v>11.67</v>
      </c>
      <c r="G803" s="2">
        <v>26.75</v>
      </c>
      <c r="H803" s="2">
        <v>0.5</v>
      </c>
      <c r="I803" s="2">
        <v>3.2</v>
      </c>
      <c r="J803" s="2">
        <v>20</v>
      </c>
      <c r="K803" s="2" t="s">
        <v>34</v>
      </c>
      <c r="L803" s="2">
        <v>5.15</v>
      </c>
      <c r="M803" s="2" t="s">
        <v>37</v>
      </c>
      <c r="N803" s="2">
        <v>90.01</v>
      </c>
      <c r="O803" s="2" t="s">
        <v>30</v>
      </c>
      <c r="P803" s="2">
        <v>7.63</v>
      </c>
      <c r="Q803" s="2">
        <v>5.51</v>
      </c>
      <c r="R803" s="3">
        <f t="shared" si="60"/>
        <v>3533.3003999999996</v>
      </c>
      <c r="S803" s="3">
        <f t="shared" si="61"/>
        <v>2551.5708</v>
      </c>
      <c r="T803" s="3">
        <f t="shared" si="62"/>
        <v>-981.72959999999966</v>
      </c>
      <c r="U803" s="4">
        <f t="shared" si="63"/>
        <v>-0.38475499092558973</v>
      </c>
      <c r="V803" s="5">
        <f t="shared" si="64"/>
        <v>23.84862</v>
      </c>
    </row>
    <row r="804" spans="1:22" x14ac:dyDescent="0.25">
      <c r="A804" s="2" t="s">
        <v>838</v>
      </c>
      <c r="B804" s="2" t="s">
        <v>32</v>
      </c>
      <c r="C804" s="2" t="s">
        <v>27</v>
      </c>
      <c r="D804" s="2" t="s">
        <v>28</v>
      </c>
      <c r="E804" s="2">
        <v>209.3</v>
      </c>
      <c r="F804" s="2">
        <v>13.26</v>
      </c>
      <c r="G804" s="2">
        <v>28.37</v>
      </c>
      <c r="H804" s="2">
        <v>4.8</v>
      </c>
      <c r="I804" s="2">
        <v>0.2</v>
      </c>
      <c r="J804" s="2">
        <v>17</v>
      </c>
      <c r="K804" s="2" t="s">
        <v>34</v>
      </c>
      <c r="L804" s="2">
        <v>1.96</v>
      </c>
      <c r="M804" s="2" t="s">
        <v>22</v>
      </c>
      <c r="N804" s="2">
        <v>61.75</v>
      </c>
      <c r="O804" s="2" t="s">
        <v>30</v>
      </c>
      <c r="P804" s="2">
        <v>7.44</v>
      </c>
      <c r="Q804" s="2">
        <v>9.24</v>
      </c>
      <c r="R804" s="3">
        <f t="shared" si="60"/>
        <v>1557.1920000000002</v>
      </c>
      <c r="S804" s="3">
        <f t="shared" si="61"/>
        <v>1933.9320000000002</v>
      </c>
      <c r="T804" s="3">
        <f t="shared" si="62"/>
        <v>376.74</v>
      </c>
      <c r="U804" s="4">
        <f t="shared" si="63"/>
        <v>0.19480519480519479</v>
      </c>
      <c r="V804" s="5">
        <f t="shared" si="64"/>
        <v>4.1022800000000004</v>
      </c>
    </row>
    <row r="805" spans="1:22" x14ac:dyDescent="0.25">
      <c r="A805" s="2" t="s">
        <v>839</v>
      </c>
      <c r="B805" s="2" t="s">
        <v>32</v>
      </c>
      <c r="C805" s="2" t="s">
        <v>27</v>
      </c>
      <c r="D805" s="2" t="s">
        <v>28</v>
      </c>
      <c r="E805" s="2">
        <v>462.52</v>
      </c>
      <c r="F805" s="2">
        <v>16.09</v>
      </c>
      <c r="G805" s="2">
        <v>30.17</v>
      </c>
      <c r="H805" s="2">
        <v>0.7</v>
      </c>
      <c r="I805" s="2">
        <v>1.3</v>
      </c>
      <c r="J805" s="2">
        <v>16</v>
      </c>
      <c r="K805" s="2" t="s">
        <v>34</v>
      </c>
      <c r="L805" s="2">
        <v>2.81</v>
      </c>
      <c r="M805" s="2" t="s">
        <v>37</v>
      </c>
      <c r="N805" s="2">
        <v>77.94</v>
      </c>
      <c r="O805" s="2" t="s">
        <v>24</v>
      </c>
      <c r="P805" s="2">
        <v>8.39</v>
      </c>
      <c r="Q805" s="2">
        <v>6.82</v>
      </c>
      <c r="R805" s="3">
        <f t="shared" si="60"/>
        <v>3880.5428000000002</v>
      </c>
      <c r="S805" s="3">
        <f t="shared" si="61"/>
        <v>3154.3863999999999</v>
      </c>
      <c r="T805" s="3">
        <f t="shared" si="62"/>
        <v>-726.1564000000003</v>
      </c>
      <c r="U805" s="4">
        <f t="shared" si="63"/>
        <v>-0.23020527859237547</v>
      </c>
      <c r="V805" s="5">
        <f t="shared" si="64"/>
        <v>12.996812</v>
      </c>
    </row>
    <row r="806" spans="1:22" x14ac:dyDescent="0.25">
      <c r="A806" s="2" t="s">
        <v>840</v>
      </c>
      <c r="B806" s="2" t="s">
        <v>45</v>
      </c>
      <c r="C806" s="2" t="s">
        <v>43</v>
      </c>
      <c r="D806" s="2" t="s">
        <v>20</v>
      </c>
      <c r="E806" s="2">
        <v>396.15</v>
      </c>
      <c r="F806" s="2">
        <v>11.62</v>
      </c>
      <c r="G806" s="2">
        <v>29.54</v>
      </c>
      <c r="H806" s="2">
        <v>7.5</v>
      </c>
      <c r="I806" s="2">
        <v>1</v>
      </c>
      <c r="J806" s="2">
        <v>11</v>
      </c>
      <c r="K806" s="2" t="s">
        <v>21</v>
      </c>
      <c r="L806" s="2">
        <v>9.74</v>
      </c>
      <c r="M806" s="2" t="s">
        <v>22</v>
      </c>
      <c r="N806" s="2">
        <v>69.260000000000005</v>
      </c>
      <c r="O806" s="2" t="s">
        <v>24</v>
      </c>
      <c r="P806" s="2">
        <v>3.63</v>
      </c>
      <c r="Q806" s="2">
        <v>5.22</v>
      </c>
      <c r="R806" s="3">
        <f t="shared" si="60"/>
        <v>1438.0244999999998</v>
      </c>
      <c r="S806" s="3">
        <f t="shared" si="61"/>
        <v>2067.9029999999998</v>
      </c>
      <c r="T806" s="3">
        <f t="shared" si="62"/>
        <v>629.87850000000003</v>
      </c>
      <c r="U806" s="4">
        <f t="shared" si="63"/>
        <v>0.30459770114942536</v>
      </c>
      <c r="V806" s="5">
        <f t="shared" si="64"/>
        <v>38.585009999999997</v>
      </c>
    </row>
    <row r="807" spans="1:22" x14ac:dyDescent="0.25">
      <c r="A807" s="2" t="s">
        <v>841</v>
      </c>
      <c r="B807" s="2" t="s">
        <v>26</v>
      </c>
      <c r="C807" s="2" t="s">
        <v>19</v>
      </c>
      <c r="D807" s="2" t="s">
        <v>28</v>
      </c>
      <c r="E807" s="2">
        <v>336.87</v>
      </c>
      <c r="F807" s="2">
        <v>13.24</v>
      </c>
      <c r="G807" s="2">
        <v>25.41</v>
      </c>
      <c r="H807" s="2">
        <v>0.7</v>
      </c>
      <c r="I807" s="2">
        <v>1.1000000000000001</v>
      </c>
      <c r="J807" s="2">
        <v>19</v>
      </c>
      <c r="K807" s="2" t="s">
        <v>34</v>
      </c>
      <c r="L807" s="2">
        <v>1.93</v>
      </c>
      <c r="M807" s="2" t="s">
        <v>22</v>
      </c>
      <c r="N807" s="2">
        <v>72.989999999999995</v>
      </c>
      <c r="O807" s="2" t="s">
        <v>24</v>
      </c>
      <c r="P807" s="2">
        <v>5.08</v>
      </c>
      <c r="Q807" s="2">
        <v>6.47</v>
      </c>
      <c r="R807" s="3">
        <f t="shared" si="60"/>
        <v>1711.2996000000001</v>
      </c>
      <c r="S807" s="3">
        <f t="shared" si="61"/>
        <v>2179.5488999999998</v>
      </c>
      <c r="T807" s="3">
        <f t="shared" si="62"/>
        <v>468.24929999999972</v>
      </c>
      <c r="U807" s="4">
        <f t="shared" si="63"/>
        <v>0.21483771251931982</v>
      </c>
      <c r="V807" s="5">
        <f t="shared" si="64"/>
        <v>6.5015909999999995</v>
      </c>
    </row>
    <row r="808" spans="1:22" x14ac:dyDescent="0.25">
      <c r="A808" s="2" t="s">
        <v>842</v>
      </c>
      <c r="B808" s="2" t="s">
        <v>26</v>
      </c>
      <c r="C808" s="2" t="s">
        <v>43</v>
      </c>
      <c r="D808" s="2" t="s">
        <v>28</v>
      </c>
      <c r="E808" s="2">
        <v>376.26</v>
      </c>
      <c r="F808" s="2">
        <v>14.71</v>
      </c>
      <c r="G808" s="2">
        <v>20.58</v>
      </c>
      <c r="H808" s="2">
        <v>6.1</v>
      </c>
      <c r="I808" s="2">
        <v>0.4</v>
      </c>
      <c r="J808" s="2">
        <v>27</v>
      </c>
      <c r="K808" s="2" t="s">
        <v>34</v>
      </c>
      <c r="L808" s="2">
        <v>7.4</v>
      </c>
      <c r="M808" s="2" t="s">
        <v>37</v>
      </c>
      <c r="N808" s="2">
        <v>57.7</v>
      </c>
      <c r="O808" s="2" t="s">
        <v>30</v>
      </c>
      <c r="P808" s="2">
        <v>7.55</v>
      </c>
      <c r="Q808" s="2">
        <v>14.76</v>
      </c>
      <c r="R808" s="3">
        <f t="shared" si="60"/>
        <v>2840.7629999999999</v>
      </c>
      <c r="S808" s="3">
        <f t="shared" si="61"/>
        <v>5553.5976000000001</v>
      </c>
      <c r="T808" s="3">
        <f t="shared" si="62"/>
        <v>2712.8346000000001</v>
      </c>
      <c r="U808" s="4">
        <f t="shared" si="63"/>
        <v>0.48848238482384826</v>
      </c>
      <c r="V808" s="5">
        <f t="shared" si="64"/>
        <v>27.843240000000002</v>
      </c>
    </row>
    <row r="809" spans="1:22" x14ac:dyDescent="0.25">
      <c r="A809" s="2" t="s">
        <v>843</v>
      </c>
      <c r="B809" s="2" t="s">
        <v>32</v>
      </c>
      <c r="C809" s="2" t="s">
        <v>19</v>
      </c>
      <c r="D809" s="2" t="s">
        <v>28</v>
      </c>
      <c r="E809" s="2">
        <v>510.94</v>
      </c>
      <c r="F809" s="2">
        <v>10.69</v>
      </c>
      <c r="G809" s="2">
        <v>32.1</v>
      </c>
      <c r="H809" s="2">
        <v>0.1</v>
      </c>
      <c r="I809" s="2">
        <v>0.4</v>
      </c>
      <c r="J809" s="2">
        <v>28</v>
      </c>
      <c r="K809" s="2" t="s">
        <v>29</v>
      </c>
      <c r="L809" s="2">
        <v>5.04</v>
      </c>
      <c r="M809" s="2" t="s">
        <v>40</v>
      </c>
      <c r="N809" s="2">
        <v>65.790000000000006</v>
      </c>
      <c r="O809" s="2" t="s">
        <v>23</v>
      </c>
      <c r="P809" s="2">
        <v>3.96</v>
      </c>
      <c r="Q809" s="2">
        <v>7.15</v>
      </c>
      <c r="R809" s="3">
        <f t="shared" si="60"/>
        <v>2023.3224</v>
      </c>
      <c r="S809" s="3">
        <f t="shared" si="61"/>
        <v>3653.221</v>
      </c>
      <c r="T809" s="3">
        <f t="shared" si="62"/>
        <v>1629.8986</v>
      </c>
      <c r="U809" s="4">
        <f t="shared" si="63"/>
        <v>0.44615384615384612</v>
      </c>
      <c r="V809" s="5">
        <f t="shared" si="64"/>
        <v>25.751376</v>
      </c>
    </row>
    <row r="810" spans="1:22" x14ac:dyDescent="0.25">
      <c r="A810" s="2" t="s">
        <v>844</v>
      </c>
      <c r="B810" s="2" t="s">
        <v>45</v>
      </c>
      <c r="C810" s="2" t="s">
        <v>43</v>
      </c>
      <c r="D810" s="2" t="s">
        <v>20</v>
      </c>
      <c r="E810" s="2">
        <v>632.86</v>
      </c>
      <c r="F810" s="2">
        <v>10.78</v>
      </c>
      <c r="G810" s="2">
        <v>27.91</v>
      </c>
      <c r="H810" s="2">
        <v>2.5</v>
      </c>
      <c r="I810" s="2">
        <v>1.2</v>
      </c>
      <c r="J810" s="2">
        <v>1</v>
      </c>
      <c r="K810" s="2" t="s">
        <v>34</v>
      </c>
      <c r="L810" s="2">
        <v>7.61</v>
      </c>
      <c r="M810" s="2" t="s">
        <v>40</v>
      </c>
      <c r="N810" s="2">
        <v>92.88</v>
      </c>
      <c r="O810" s="2" t="s">
        <v>23</v>
      </c>
      <c r="P810" s="2">
        <v>7.74</v>
      </c>
      <c r="Q810" s="2">
        <v>14.35</v>
      </c>
      <c r="R810" s="3">
        <f t="shared" si="60"/>
        <v>4898.3364000000001</v>
      </c>
      <c r="S810" s="3">
        <f t="shared" si="61"/>
        <v>9081.5409999999993</v>
      </c>
      <c r="T810" s="3">
        <f t="shared" si="62"/>
        <v>4183.2045999999991</v>
      </c>
      <c r="U810" s="4">
        <f t="shared" si="63"/>
        <v>0.46062717770034839</v>
      </c>
      <c r="V810" s="5">
        <f t="shared" si="64"/>
        <v>48.160646000000007</v>
      </c>
    </row>
    <row r="811" spans="1:22" x14ac:dyDescent="0.25">
      <c r="A811" s="2" t="s">
        <v>845</v>
      </c>
      <c r="B811" s="2" t="s">
        <v>32</v>
      </c>
      <c r="C811" s="2" t="s">
        <v>27</v>
      </c>
      <c r="D811" s="2" t="s">
        <v>20</v>
      </c>
      <c r="E811" s="2">
        <v>531.32000000000005</v>
      </c>
      <c r="F811" s="2">
        <v>17.329999999999998</v>
      </c>
      <c r="G811" s="2">
        <v>25.97</v>
      </c>
      <c r="H811" s="2">
        <v>1.5</v>
      </c>
      <c r="I811" s="2">
        <v>0.2</v>
      </c>
      <c r="J811" s="2">
        <v>21</v>
      </c>
      <c r="K811" s="2" t="s">
        <v>21</v>
      </c>
      <c r="L811" s="2">
        <v>6.78</v>
      </c>
      <c r="M811" s="2" t="s">
        <v>22</v>
      </c>
      <c r="N811" s="2">
        <v>94.88</v>
      </c>
      <c r="O811" s="2" t="s">
        <v>30</v>
      </c>
      <c r="P811" s="2">
        <v>3.41</v>
      </c>
      <c r="Q811" s="2">
        <v>7.05</v>
      </c>
      <c r="R811" s="3">
        <f t="shared" si="60"/>
        <v>1811.8012000000003</v>
      </c>
      <c r="S811" s="3">
        <f t="shared" si="61"/>
        <v>3745.806</v>
      </c>
      <c r="T811" s="3">
        <f t="shared" si="62"/>
        <v>1934.0047999999997</v>
      </c>
      <c r="U811" s="4">
        <f t="shared" si="63"/>
        <v>0.51631205673758862</v>
      </c>
      <c r="V811" s="5">
        <f t="shared" si="64"/>
        <v>36.023496000000002</v>
      </c>
    </row>
    <row r="812" spans="1:22" x14ac:dyDescent="0.25">
      <c r="A812" s="2" t="s">
        <v>846</v>
      </c>
      <c r="B812" s="2" t="s">
        <v>18</v>
      </c>
      <c r="C812" s="2" t="s">
        <v>43</v>
      </c>
      <c r="D812" s="2" t="s">
        <v>28</v>
      </c>
      <c r="E812" s="2">
        <v>439.35</v>
      </c>
      <c r="F812" s="2">
        <v>15.24</v>
      </c>
      <c r="G812" s="2">
        <v>37.340000000000003</v>
      </c>
      <c r="H812" s="2">
        <v>1.3</v>
      </c>
      <c r="I812" s="2">
        <v>0.5</v>
      </c>
      <c r="J812" s="2">
        <v>29</v>
      </c>
      <c r="K812" s="2" t="s">
        <v>29</v>
      </c>
      <c r="L812" s="2">
        <v>4.67</v>
      </c>
      <c r="M812" s="2" t="s">
        <v>22</v>
      </c>
      <c r="N812" s="2">
        <v>80.510000000000005</v>
      </c>
      <c r="O812" s="2" t="s">
        <v>23</v>
      </c>
      <c r="P812" s="2">
        <v>5.34</v>
      </c>
      <c r="Q812" s="2">
        <v>14.31</v>
      </c>
      <c r="R812" s="3">
        <f t="shared" si="60"/>
        <v>2346.1289999999999</v>
      </c>
      <c r="S812" s="3">
        <f t="shared" si="61"/>
        <v>6287.098500000001</v>
      </c>
      <c r="T812" s="3">
        <f t="shared" si="62"/>
        <v>3940.9695000000011</v>
      </c>
      <c r="U812" s="4">
        <f t="shared" si="63"/>
        <v>0.62683438155136273</v>
      </c>
      <c r="V812" s="5">
        <f t="shared" si="64"/>
        <v>20.517645000000002</v>
      </c>
    </row>
    <row r="813" spans="1:22" x14ac:dyDescent="0.25">
      <c r="A813" s="2" t="s">
        <v>847</v>
      </c>
      <c r="B813" s="2" t="s">
        <v>18</v>
      </c>
      <c r="C813" s="2" t="s">
        <v>43</v>
      </c>
      <c r="D813" s="2" t="s">
        <v>20</v>
      </c>
      <c r="E813" s="2">
        <v>545.59</v>
      </c>
      <c r="F813" s="2">
        <v>13.77</v>
      </c>
      <c r="G813" s="2">
        <v>34.93</v>
      </c>
      <c r="H813" s="2">
        <v>0.5</v>
      </c>
      <c r="I813" s="2">
        <v>0.2</v>
      </c>
      <c r="J813" s="2">
        <v>8</v>
      </c>
      <c r="K813" s="2" t="s">
        <v>29</v>
      </c>
      <c r="L813" s="2">
        <v>3.86</v>
      </c>
      <c r="M813" s="2" t="s">
        <v>22</v>
      </c>
      <c r="N813" s="2">
        <v>74.91</v>
      </c>
      <c r="O813" s="2" t="s">
        <v>23</v>
      </c>
      <c r="P813" s="2">
        <v>8.93</v>
      </c>
      <c r="Q813" s="2">
        <v>11.55</v>
      </c>
      <c r="R813" s="3">
        <f t="shared" si="60"/>
        <v>4872.1187</v>
      </c>
      <c r="S813" s="3">
        <f t="shared" si="61"/>
        <v>6301.5645000000004</v>
      </c>
      <c r="T813" s="3">
        <f t="shared" si="62"/>
        <v>1429.4458000000004</v>
      </c>
      <c r="U813" s="4">
        <f t="shared" si="63"/>
        <v>0.2268398268398269</v>
      </c>
      <c r="V813" s="5">
        <f t="shared" si="64"/>
        <v>21.059774000000001</v>
      </c>
    </row>
    <row r="814" spans="1:22" x14ac:dyDescent="0.25">
      <c r="A814" s="2" t="s">
        <v>848</v>
      </c>
      <c r="B814" s="2" t="s">
        <v>32</v>
      </c>
      <c r="C814" s="2" t="s">
        <v>43</v>
      </c>
      <c r="D814" s="2" t="s">
        <v>20</v>
      </c>
      <c r="E814" s="2">
        <v>454.09</v>
      </c>
      <c r="F814" s="2">
        <v>14.48</v>
      </c>
      <c r="G814" s="2">
        <v>37.159999999999997</v>
      </c>
      <c r="H814" s="2">
        <v>2.4</v>
      </c>
      <c r="I814" s="2">
        <v>0</v>
      </c>
      <c r="J814" s="2">
        <v>1</v>
      </c>
      <c r="K814" s="2" t="s">
        <v>34</v>
      </c>
      <c r="L814" s="2">
        <v>7.67</v>
      </c>
      <c r="M814" s="2" t="s">
        <v>22</v>
      </c>
      <c r="N814" s="2">
        <v>85.64</v>
      </c>
      <c r="O814" s="2" t="s">
        <v>23</v>
      </c>
      <c r="P814" s="2">
        <v>8.42</v>
      </c>
      <c r="Q814" s="2">
        <v>6.13</v>
      </c>
      <c r="R814" s="3">
        <f t="shared" si="60"/>
        <v>3823.4377999999997</v>
      </c>
      <c r="S814" s="3">
        <f t="shared" si="61"/>
        <v>2783.5717</v>
      </c>
      <c r="T814" s="3">
        <f t="shared" si="62"/>
        <v>-1039.8660999999997</v>
      </c>
      <c r="U814" s="4">
        <f t="shared" si="63"/>
        <v>-0.37357259380097868</v>
      </c>
      <c r="V814" s="5">
        <f t="shared" si="64"/>
        <v>34.828702999999997</v>
      </c>
    </row>
    <row r="815" spans="1:22" x14ac:dyDescent="0.25">
      <c r="A815" s="2" t="s">
        <v>849</v>
      </c>
      <c r="B815" s="2" t="s">
        <v>26</v>
      </c>
      <c r="C815" s="2" t="s">
        <v>27</v>
      </c>
      <c r="D815" s="2" t="s">
        <v>20</v>
      </c>
      <c r="E815" s="2">
        <v>430.54</v>
      </c>
      <c r="F815" s="2">
        <v>8.2899999999999991</v>
      </c>
      <c r="G815" s="2">
        <v>29.9</v>
      </c>
      <c r="H815" s="2">
        <v>0.4</v>
      </c>
      <c r="I815" s="2">
        <v>3.5</v>
      </c>
      <c r="J815" s="2">
        <v>9</v>
      </c>
      <c r="K815" s="2" t="s">
        <v>29</v>
      </c>
      <c r="L815" s="2">
        <v>3.57</v>
      </c>
      <c r="M815" s="2" t="s">
        <v>22</v>
      </c>
      <c r="N815" s="2">
        <v>80.44</v>
      </c>
      <c r="O815" s="2" t="s">
        <v>30</v>
      </c>
      <c r="P815" s="2">
        <v>7.51</v>
      </c>
      <c r="Q815" s="2">
        <v>10.82</v>
      </c>
      <c r="R815" s="3">
        <f t="shared" si="60"/>
        <v>3233.3553999999999</v>
      </c>
      <c r="S815" s="3">
        <f t="shared" si="61"/>
        <v>4658.4428000000007</v>
      </c>
      <c r="T815" s="3">
        <f t="shared" si="62"/>
        <v>1425.0874000000008</v>
      </c>
      <c r="U815" s="4">
        <f t="shared" si="63"/>
        <v>0.30591497227356756</v>
      </c>
      <c r="V815" s="5">
        <f t="shared" si="64"/>
        <v>15.370278000000001</v>
      </c>
    </row>
    <row r="816" spans="1:22" x14ac:dyDescent="0.25">
      <c r="A816" s="2" t="s">
        <v>850</v>
      </c>
      <c r="B816" s="2" t="s">
        <v>26</v>
      </c>
      <c r="C816" s="2" t="s">
        <v>27</v>
      </c>
      <c r="D816" s="2" t="s">
        <v>20</v>
      </c>
      <c r="E816" s="2">
        <v>384.56</v>
      </c>
      <c r="F816" s="2">
        <v>14.18</v>
      </c>
      <c r="G816" s="2">
        <v>22.62</v>
      </c>
      <c r="H816" s="2">
        <v>1.6</v>
      </c>
      <c r="I816" s="2">
        <v>0.6</v>
      </c>
      <c r="J816" s="2">
        <v>19</v>
      </c>
      <c r="K816" s="2" t="s">
        <v>34</v>
      </c>
      <c r="L816" s="2">
        <v>7.98</v>
      </c>
      <c r="M816" s="2" t="s">
        <v>22</v>
      </c>
      <c r="N816" s="2">
        <v>99.18</v>
      </c>
      <c r="O816" s="2" t="s">
        <v>24</v>
      </c>
      <c r="P816" s="2">
        <v>9.09</v>
      </c>
      <c r="Q816" s="2">
        <v>8.19</v>
      </c>
      <c r="R816" s="3">
        <f t="shared" si="60"/>
        <v>3495.6504</v>
      </c>
      <c r="S816" s="3">
        <f t="shared" si="61"/>
        <v>3149.5463999999997</v>
      </c>
      <c r="T816" s="3">
        <f t="shared" si="62"/>
        <v>-346.10400000000027</v>
      </c>
      <c r="U816" s="4">
        <f t="shared" si="63"/>
        <v>-0.10989010989010999</v>
      </c>
      <c r="V816" s="5">
        <f t="shared" si="64"/>
        <v>30.687888000000001</v>
      </c>
    </row>
    <row r="817" spans="1:22" x14ac:dyDescent="0.25">
      <c r="A817" s="2" t="s">
        <v>851</v>
      </c>
      <c r="B817" s="2" t="s">
        <v>32</v>
      </c>
      <c r="C817" s="2" t="s">
        <v>27</v>
      </c>
      <c r="D817" s="2" t="s">
        <v>20</v>
      </c>
      <c r="E817" s="2">
        <v>324.82</v>
      </c>
      <c r="F817" s="2">
        <v>13.1</v>
      </c>
      <c r="G817" s="2">
        <v>33.92</v>
      </c>
      <c r="H817" s="2">
        <v>0.6</v>
      </c>
      <c r="I817" s="2">
        <v>3.5</v>
      </c>
      <c r="J817" s="2">
        <v>21</v>
      </c>
      <c r="K817" s="2" t="s">
        <v>29</v>
      </c>
      <c r="L817" s="2">
        <v>6.96</v>
      </c>
      <c r="M817" s="2" t="s">
        <v>37</v>
      </c>
      <c r="N817" s="2">
        <v>59.5</v>
      </c>
      <c r="O817" s="2" t="s">
        <v>23</v>
      </c>
      <c r="P817" s="2">
        <v>7.96</v>
      </c>
      <c r="Q817" s="2">
        <v>8.83</v>
      </c>
      <c r="R817" s="3">
        <f t="shared" si="60"/>
        <v>2585.5672</v>
      </c>
      <c r="S817" s="3">
        <f t="shared" si="61"/>
        <v>2868.1606000000002</v>
      </c>
      <c r="T817" s="3">
        <f t="shared" si="62"/>
        <v>282.5934000000002</v>
      </c>
      <c r="U817" s="4">
        <f t="shared" si="63"/>
        <v>9.8527746319365866E-2</v>
      </c>
      <c r="V817" s="5">
        <f t="shared" si="64"/>
        <v>22.607471999999998</v>
      </c>
    </row>
    <row r="818" spans="1:22" x14ac:dyDescent="0.25">
      <c r="A818" s="2" t="s">
        <v>852</v>
      </c>
      <c r="B818" s="2" t="s">
        <v>32</v>
      </c>
      <c r="C818" s="2" t="s">
        <v>27</v>
      </c>
      <c r="D818" s="2" t="s">
        <v>20</v>
      </c>
      <c r="E818" s="2">
        <v>461.01</v>
      </c>
      <c r="F818" s="2">
        <v>13.46</v>
      </c>
      <c r="G818" s="2">
        <v>24.12</v>
      </c>
      <c r="H818" s="2">
        <v>6.2</v>
      </c>
      <c r="I818" s="2">
        <v>0.2</v>
      </c>
      <c r="J818" s="2">
        <v>9</v>
      </c>
      <c r="K818" s="2" t="s">
        <v>21</v>
      </c>
      <c r="L818" s="2">
        <v>5.99</v>
      </c>
      <c r="M818" s="2" t="s">
        <v>40</v>
      </c>
      <c r="N818" s="2">
        <v>72.45</v>
      </c>
      <c r="O818" s="2" t="s">
        <v>23</v>
      </c>
      <c r="P818" s="2">
        <v>6.64</v>
      </c>
      <c r="Q818" s="2">
        <v>9.4</v>
      </c>
      <c r="R818" s="3">
        <f t="shared" si="60"/>
        <v>3061.1063999999997</v>
      </c>
      <c r="S818" s="3">
        <f t="shared" si="61"/>
        <v>4333.4939999999997</v>
      </c>
      <c r="T818" s="3">
        <f t="shared" si="62"/>
        <v>1272.3876</v>
      </c>
      <c r="U818" s="4">
        <f t="shared" si="63"/>
        <v>0.29361702127659578</v>
      </c>
      <c r="V818" s="5">
        <f t="shared" si="64"/>
        <v>27.614499000000002</v>
      </c>
    </row>
    <row r="819" spans="1:22" x14ac:dyDescent="0.25">
      <c r="A819" s="2" t="s">
        <v>853</v>
      </c>
      <c r="B819" s="2" t="s">
        <v>18</v>
      </c>
      <c r="C819" s="2" t="s">
        <v>19</v>
      </c>
      <c r="D819" s="2" t="s">
        <v>20</v>
      </c>
      <c r="E819" s="2">
        <v>515.80999999999995</v>
      </c>
      <c r="F819" s="2">
        <v>11.59</v>
      </c>
      <c r="G819" s="2">
        <v>28.82</v>
      </c>
      <c r="H819" s="2">
        <v>0.1</v>
      </c>
      <c r="I819" s="2">
        <v>0.9</v>
      </c>
      <c r="J819" s="2">
        <v>21</v>
      </c>
      <c r="K819" s="2" t="s">
        <v>34</v>
      </c>
      <c r="L819" s="2">
        <v>4</v>
      </c>
      <c r="M819" s="2" t="s">
        <v>40</v>
      </c>
      <c r="N819" s="2">
        <v>95.91</v>
      </c>
      <c r="O819" s="2" t="s">
        <v>24</v>
      </c>
      <c r="P819" s="2">
        <v>9.86</v>
      </c>
      <c r="Q819" s="2">
        <v>9.23</v>
      </c>
      <c r="R819" s="3">
        <f t="shared" si="60"/>
        <v>5085.8865999999989</v>
      </c>
      <c r="S819" s="3">
        <f t="shared" si="61"/>
        <v>4760.9263000000001</v>
      </c>
      <c r="T819" s="3">
        <f t="shared" si="62"/>
        <v>-324.96029999999882</v>
      </c>
      <c r="U819" s="4">
        <f t="shared" si="63"/>
        <v>-6.8255687973997586E-2</v>
      </c>
      <c r="V819" s="5">
        <f t="shared" si="64"/>
        <v>20.632399999999997</v>
      </c>
    </row>
    <row r="820" spans="1:22" x14ac:dyDescent="0.25">
      <c r="A820" s="2" t="s">
        <v>854</v>
      </c>
      <c r="B820" s="2" t="s">
        <v>26</v>
      </c>
      <c r="C820" s="2" t="s">
        <v>19</v>
      </c>
      <c r="D820" s="2" t="s">
        <v>28</v>
      </c>
      <c r="E820" s="2">
        <v>490.34</v>
      </c>
      <c r="F820" s="2">
        <v>8.81</v>
      </c>
      <c r="G820" s="2">
        <v>21.3</v>
      </c>
      <c r="H820" s="2">
        <v>0.4</v>
      </c>
      <c r="I820" s="2">
        <v>0.2</v>
      </c>
      <c r="J820" s="2">
        <v>25</v>
      </c>
      <c r="K820" s="2" t="s">
        <v>21</v>
      </c>
      <c r="L820" s="2">
        <v>2.4500000000000002</v>
      </c>
      <c r="M820" s="2" t="s">
        <v>37</v>
      </c>
      <c r="N820" s="2">
        <v>95.74</v>
      </c>
      <c r="O820" s="2" t="s">
        <v>23</v>
      </c>
      <c r="P820" s="2">
        <v>7.86</v>
      </c>
      <c r="Q820" s="2">
        <v>11.64</v>
      </c>
      <c r="R820" s="3">
        <f t="shared" si="60"/>
        <v>3854.0724</v>
      </c>
      <c r="S820" s="3">
        <f t="shared" si="61"/>
        <v>5707.5576000000001</v>
      </c>
      <c r="T820" s="3">
        <f t="shared" si="62"/>
        <v>1853.4852000000001</v>
      </c>
      <c r="U820" s="4">
        <f t="shared" si="63"/>
        <v>0.32474226804123713</v>
      </c>
      <c r="V820" s="5">
        <f t="shared" si="64"/>
        <v>12.013330000000002</v>
      </c>
    </row>
    <row r="821" spans="1:22" x14ac:dyDescent="0.25">
      <c r="A821" s="2" t="s">
        <v>855</v>
      </c>
      <c r="B821" s="2" t="s">
        <v>32</v>
      </c>
      <c r="C821" s="2" t="s">
        <v>33</v>
      </c>
      <c r="D821" s="2" t="s">
        <v>28</v>
      </c>
      <c r="E821" s="2">
        <v>458.4</v>
      </c>
      <c r="F821" s="2">
        <v>9.93</v>
      </c>
      <c r="G821" s="2">
        <v>36.51</v>
      </c>
      <c r="H821" s="2">
        <v>0.6</v>
      </c>
      <c r="I821" s="2">
        <v>1.6</v>
      </c>
      <c r="J821" s="2">
        <v>10</v>
      </c>
      <c r="K821" s="2" t="s">
        <v>34</v>
      </c>
      <c r="L821" s="2">
        <v>7.25</v>
      </c>
      <c r="M821" s="2" t="s">
        <v>37</v>
      </c>
      <c r="N821" s="2">
        <v>74.77</v>
      </c>
      <c r="O821" s="2" t="s">
        <v>23</v>
      </c>
      <c r="P821" s="2">
        <v>7.21</v>
      </c>
      <c r="Q821" s="2">
        <v>12.68</v>
      </c>
      <c r="R821" s="3">
        <f t="shared" si="60"/>
        <v>3305.0639999999999</v>
      </c>
      <c r="S821" s="3">
        <f t="shared" si="61"/>
        <v>5812.5119999999997</v>
      </c>
      <c r="T821" s="3">
        <f t="shared" si="62"/>
        <v>2507.4479999999999</v>
      </c>
      <c r="U821" s="4">
        <f t="shared" si="63"/>
        <v>0.43138801261829651</v>
      </c>
      <c r="V821" s="5">
        <f t="shared" si="64"/>
        <v>33.233999999999995</v>
      </c>
    </row>
    <row r="822" spans="1:22" x14ac:dyDescent="0.25">
      <c r="A822" s="2" t="s">
        <v>856</v>
      </c>
      <c r="B822" s="2" t="s">
        <v>18</v>
      </c>
      <c r="C822" s="2" t="s">
        <v>27</v>
      </c>
      <c r="D822" s="2" t="s">
        <v>20</v>
      </c>
      <c r="E822" s="2">
        <v>405.43</v>
      </c>
      <c r="F822" s="2">
        <v>17.510000000000002</v>
      </c>
      <c r="G822" s="2">
        <v>22.52</v>
      </c>
      <c r="H822" s="2">
        <v>1.1000000000000001</v>
      </c>
      <c r="I822" s="2">
        <v>1.5</v>
      </c>
      <c r="J822" s="2">
        <v>24</v>
      </c>
      <c r="K822" s="2" t="s">
        <v>21</v>
      </c>
      <c r="L822" s="2">
        <v>1.37</v>
      </c>
      <c r="M822" s="2" t="s">
        <v>40</v>
      </c>
      <c r="N822" s="2">
        <v>56.74</v>
      </c>
      <c r="O822" s="2" t="s">
        <v>24</v>
      </c>
      <c r="P822" s="2">
        <v>5.86</v>
      </c>
      <c r="Q822" s="2">
        <v>8.2899999999999991</v>
      </c>
      <c r="R822" s="3">
        <f t="shared" si="60"/>
        <v>2375.8198000000002</v>
      </c>
      <c r="S822" s="3">
        <f t="shared" si="61"/>
        <v>3361.0146999999997</v>
      </c>
      <c r="T822" s="3">
        <f t="shared" si="62"/>
        <v>985.19489999999951</v>
      </c>
      <c r="U822" s="4">
        <f t="shared" si="63"/>
        <v>0.29312424607961385</v>
      </c>
      <c r="V822" s="5">
        <f t="shared" si="64"/>
        <v>5.5543910000000007</v>
      </c>
    </row>
    <row r="823" spans="1:22" x14ac:dyDescent="0.25">
      <c r="A823" s="2" t="s">
        <v>857</v>
      </c>
      <c r="B823" s="2" t="s">
        <v>26</v>
      </c>
      <c r="C823" s="2" t="s">
        <v>19</v>
      </c>
      <c r="D823" s="2" t="s">
        <v>28</v>
      </c>
      <c r="E823" s="2">
        <v>560.82000000000005</v>
      </c>
      <c r="F823" s="2">
        <v>12.09</v>
      </c>
      <c r="G823" s="2">
        <v>38.06</v>
      </c>
      <c r="H823" s="2">
        <v>0.5</v>
      </c>
      <c r="I823" s="2">
        <v>0.1</v>
      </c>
      <c r="J823" s="2">
        <v>23</v>
      </c>
      <c r="K823" s="2" t="s">
        <v>21</v>
      </c>
      <c r="L823" s="2">
        <v>9.7200000000000006</v>
      </c>
      <c r="M823" s="2" t="s">
        <v>40</v>
      </c>
      <c r="N823" s="2">
        <v>90.75</v>
      </c>
      <c r="O823" s="2" t="s">
        <v>30</v>
      </c>
      <c r="P823" s="2">
        <v>9.32</v>
      </c>
      <c r="Q823" s="2">
        <v>14.24</v>
      </c>
      <c r="R823" s="3">
        <f t="shared" si="60"/>
        <v>5226.8424000000005</v>
      </c>
      <c r="S823" s="3">
        <f t="shared" si="61"/>
        <v>7986.0768000000007</v>
      </c>
      <c r="T823" s="3">
        <f t="shared" si="62"/>
        <v>2759.2344000000003</v>
      </c>
      <c r="U823" s="4">
        <f t="shared" si="63"/>
        <v>0.3455056179775281</v>
      </c>
      <c r="V823" s="5">
        <f t="shared" si="64"/>
        <v>54.511704000000009</v>
      </c>
    </row>
    <row r="824" spans="1:22" x14ac:dyDescent="0.25">
      <c r="A824" s="2" t="s">
        <v>858</v>
      </c>
      <c r="B824" s="2" t="s">
        <v>45</v>
      </c>
      <c r="C824" s="2" t="s">
        <v>43</v>
      </c>
      <c r="D824" s="2" t="s">
        <v>28</v>
      </c>
      <c r="E824" s="2">
        <v>368.29</v>
      </c>
      <c r="F824" s="2">
        <v>12.67</v>
      </c>
      <c r="G824" s="2">
        <v>37.28</v>
      </c>
      <c r="H824" s="2">
        <v>1.4</v>
      </c>
      <c r="I824" s="2">
        <v>2.4</v>
      </c>
      <c r="J824" s="2">
        <v>11</v>
      </c>
      <c r="K824" s="2" t="s">
        <v>29</v>
      </c>
      <c r="L824" s="2">
        <v>9.8000000000000007</v>
      </c>
      <c r="M824" s="2" t="s">
        <v>22</v>
      </c>
      <c r="N824" s="2">
        <v>79.260000000000005</v>
      </c>
      <c r="O824" s="2" t="s">
        <v>30</v>
      </c>
      <c r="P824" s="2">
        <v>5.07</v>
      </c>
      <c r="Q824" s="2">
        <v>14.38</v>
      </c>
      <c r="R824" s="3">
        <f t="shared" si="60"/>
        <v>1867.2303000000002</v>
      </c>
      <c r="S824" s="3">
        <f t="shared" si="61"/>
        <v>5296.0102000000006</v>
      </c>
      <c r="T824" s="3">
        <f t="shared" si="62"/>
        <v>3428.7799000000005</v>
      </c>
      <c r="U824" s="4">
        <f t="shared" si="63"/>
        <v>0.64742698191933246</v>
      </c>
      <c r="V824" s="5">
        <f t="shared" si="64"/>
        <v>36.092420000000004</v>
      </c>
    </row>
    <row r="825" spans="1:22" x14ac:dyDescent="0.25">
      <c r="A825" s="2" t="s">
        <v>859</v>
      </c>
      <c r="B825" s="2" t="s">
        <v>18</v>
      </c>
      <c r="C825" s="2" t="s">
        <v>27</v>
      </c>
      <c r="D825" s="2" t="s">
        <v>20</v>
      </c>
      <c r="E825" s="2">
        <v>577.6</v>
      </c>
      <c r="F825" s="2">
        <v>8.5299999999999994</v>
      </c>
      <c r="G825" s="2">
        <v>29.29</v>
      </c>
      <c r="H825" s="2">
        <v>4.0999999999999996</v>
      </c>
      <c r="I825" s="2">
        <v>0.2</v>
      </c>
      <c r="J825" s="2">
        <v>1</v>
      </c>
      <c r="K825" s="2" t="s">
        <v>34</v>
      </c>
      <c r="L825" s="2">
        <v>1.74</v>
      </c>
      <c r="M825" s="2" t="s">
        <v>40</v>
      </c>
      <c r="N825" s="2">
        <v>88.66</v>
      </c>
      <c r="O825" s="2" t="s">
        <v>23</v>
      </c>
      <c r="P825" s="2">
        <v>3.06</v>
      </c>
      <c r="Q825" s="2">
        <v>5.41</v>
      </c>
      <c r="R825" s="3">
        <f t="shared" si="60"/>
        <v>1767.4560000000001</v>
      </c>
      <c r="S825" s="3">
        <f t="shared" si="61"/>
        <v>3124.8160000000003</v>
      </c>
      <c r="T825" s="3">
        <f t="shared" si="62"/>
        <v>1357.3600000000001</v>
      </c>
      <c r="U825" s="4">
        <f t="shared" si="63"/>
        <v>0.43438077634011091</v>
      </c>
      <c r="V825" s="5">
        <f t="shared" si="64"/>
        <v>10.050240000000001</v>
      </c>
    </row>
    <row r="826" spans="1:22" x14ac:dyDescent="0.25">
      <c r="A826" s="2" t="s">
        <v>860</v>
      </c>
      <c r="B826" s="2" t="s">
        <v>26</v>
      </c>
      <c r="C826" s="2" t="s">
        <v>33</v>
      </c>
      <c r="D826" s="2" t="s">
        <v>28</v>
      </c>
      <c r="E826" s="2">
        <v>399.78</v>
      </c>
      <c r="F826" s="2">
        <v>8.3800000000000008</v>
      </c>
      <c r="G826" s="2">
        <v>34.89</v>
      </c>
      <c r="H826" s="2">
        <v>2.5</v>
      </c>
      <c r="I826" s="2">
        <v>0.9</v>
      </c>
      <c r="J826" s="2">
        <v>20</v>
      </c>
      <c r="K826" s="2" t="s">
        <v>29</v>
      </c>
      <c r="L826" s="2">
        <v>1.49</v>
      </c>
      <c r="M826" s="2" t="s">
        <v>22</v>
      </c>
      <c r="N826" s="2">
        <v>73.13</v>
      </c>
      <c r="O826" s="2" t="s">
        <v>23</v>
      </c>
      <c r="P826" s="2">
        <v>4.38</v>
      </c>
      <c r="Q826" s="2">
        <v>5.15</v>
      </c>
      <c r="R826" s="3">
        <f t="shared" si="60"/>
        <v>1751.0363999999997</v>
      </c>
      <c r="S826" s="3">
        <f t="shared" si="61"/>
        <v>2058.8670000000002</v>
      </c>
      <c r="T826" s="3">
        <f t="shared" si="62"/>
        <v>307.83060000000046</v>
      </c>
      <c r="U826" s="4">
        <f t="shared" si="63"/>
        <v>0.14951456310679634</v>
      </c>
      <c r="V826" s="5">
        <f t="shared" si="64"/>
        <v>5.9567220000000001</v>
      </c>
    </row>
    <row r="827" spans="1:22" x14ac:dyDescent="0.25">
      <c r="A827" s="2" t="s">
        <v>861</v>
      </c>
      <c r="B827" s="2" t="s">
        <v>26</v>
      </c>
      <c r="C827" s="2" t="s">
        <v>33</v>
      </c>
      <c r="D827" s="2" t="s">
        <v>20</v>
      </c>
      <c r="E827" s="2">
        <v>424.76</v>
      </c>
      <c r="F827" s="2">
        <v>15.17</v>
      </c>
      <c r="G827" s="2">
        <v>32.39</v>
      </c>
      <c r="H827" s="2">
        <v>1.7</v>
      </c>
      <c r="I827" s="2">
        <v>4.2</v>
      </c>
      <c r="J827" s="2">
        <v>25</v>
      </c>
      <c r="K827" s="2" t="s">
        <v>21</v>
      </c>
      <c r="L827" s="2">
        <v>4.42</v>
      </c>
      <c r="M827" s="2" t="s">
        <v>22</v>
      </c>
      <c r="N827" s="2">
        <v>60.19</v>
      </c>
      <c r="O827" s="2" t="s">
        <v>24</v>
      </c>
      <c r="P827" s="2">
        <v>3.77</v>
      </c>
      <c r="Q827" s="2">
        <v>9.25</v>
      </c>
      <c r="R827" s="3">
        <f t="shared" si="60"/>
        <v>1601.3452</v>
      </c>
      <c r="S827" s="3">
        <f t="shared" si="61"/>
        <v>3929.0299999999997</v>
      </c>
      <c r="T827" s="3">
        <f t="shared" si="62"/>
        <v>2327.6848</v>
      </c>
      <c r="U827" s="4">
        <f t="shared" si="63"/>
        <v>0.59243243243243249</v>
      </c>
      <c r="V827" s="5">
        <f t="shared" si="64"/>
        <v>18.774391999999999</v>
      </c>
    </row>
    <row r="828" spans="1:22" x14ac:dyDescent="0.25">
      <c r="A828" s="2" t="s">
        <v>862</v>
      </c>
      <c r="B828" s="2" t="s">
        <v>18</v>
      </c>
      <c r="C828" s="2" t="s">
        <v>33</v>
      </c>
      <c r="D828" s="2" t="s">
        <v>20</v>
      </c>
      <c r="E828" s="2">
        <v>353.32</v>
      </c>
      <c r="F828" s="2">
        <v>13.38</v>
      </c>
      <c r="G828" s="2">
        <v>36.06</v>
      </c>
      <c r="H828" s="2">
        <v>0.2</v>
      </c>
      <c r="I828" s="2">
        <v>2.1</v>
      </c>
      <c r="J828" s="2">
        <v>26</v>
      </c>
      <c r="K828" s="2" t="s">
        <v>34</v>
      </c>
      <c r="L828" s="2">
        <v>9.65</v>
      </c>
      <c r="M828" s="2" t="s">
        <v>40</v>
      </c>
      <c r="N828" s="2">
        <v>51.2</v>
      </c>
      <c r="O828" s="2" t="s">
        <v>24</v>
      </c>
      <c r="P828" s="2">
        <v>5.23</v>
      </c>
      <c r="Q828" s="2">
        <v>10.91</v>
      </c>
      <c r="R828" s="3">
        <f t="shared" si="60"/>
        <v>1847.8636000000001</v>
      </c>
      <c r="S828" s="3">
        <f t="shared" si="61"/>
        <v>3854.7212</v>
      </c>
      <c r="T828" s="3">
        <f t="shared" si="62"/>
        <v>2006.8575999999998</v>
      </c>
      <c r="U828" s="4">
        <f t="shared" si="63"/>
        <v>0.52062328139321723</v>
      </c>
      <c r="V828" s="5">
        <f t="shared" si="64"/>
        <v>34.095379999999999</v>
      </c>
    </row>
    <row r="829" spans="1:22" x14ac:dyDescent="0.25">
      <c r="A829" s="2" t="s">
        <v>863</v>
      </c>
      <c r="B829" s="2" t="s">
        <v>45</v>
      </c>
      <c r="C829" s="2" t="s">
        <v>43</v>
      </c>
      <c r="D829" s="2" t="s">
        <v>20</v>
      </c>
      <c r="E829" s="2">
        <v>449.86</v>
      </c>
      <c r="F829" s="2">
        <v>13.09</v>
      </c>
      <c r="G829" s="2">
        <v>28.64</v>
      </c>
      <c r="H829" s="2">
        <v>2.4</v>
      </c>
      <c r="I829" s="2">
        <v>3.1</v>
      </c>
      <c r="J829" s="2">
        <v>8</v>
      </c>
      <c r="K829" s="2" t="s">
        <v>21</v>
      </c>
      <c r="L829" s="2">
        <v>4.3</v>
      </c>
      <c r="M829" s="2" t="s">
        <v>22</v>
      </c>
      <c r="N829" s="2">
        <v>77.959999999999994</v>
      </c>
      <c r="O829" s="2" t="s">
        <v>23</v>
      </c>
      <c r="P829" s="2">
        <v>8.7799999999999994</v>
      </c>
      <c r="Q829" s="2">
        <v>7.78</v>
      </c>
      <c r="R829" s="3">
        <f t="shared" si="60"/>
        <v>3949.7707999999998</v>
      </c>
      <c r="S829" s="3">
        <f t="shared" si="61"/>
        <v>3499.9108000000001</v>
      </c>
      <c r="T829" s="3">
        <f t="shared" si="62"/>
        <v>-449.85999999999967</v>
      </c>
      <c r="U829" s="4">
        <f t="shared" si="63"/>
        <v>-0.12853470437017986</v>
      </c>
      <c r="V829" s="5">
        <f t="shared" si="64"/>
        <v>19.343979999999998</v>
      </c>
    </row>
    <row r="830" spans="1:22" x14ac:dyDescent="0.25">
      <c r="A830" s="2" t="s">
        <v>864</v>
      </c>
      <c r="B830" s="2" t="s">
        <v>18</v>
      </c>
      <c r="C830" s="2" t="s">
        <v>19</v>
      </c>
      <c r="D830" s="2" t="s">
        <v>28</v>
      </c>
      <c r="E830" s="2">
        <v>597.53</v>
      </c>
      <c r="F830" s="2">
        <v>10.43</v>
      </c>
      <c r="G830" s="2">
        <v>35.72</v>
      </c>
      <c r="H830" s="2">
        <v>0.4</v>
      </c>
      <c r="I830" s="2">
        <v>0.4</v>
      </c>
      <c r="J830" s="2">
        <v>20</v>
      </c>
      <c r="K830" s="2" t="s">
        <v>21</v>
      </c>
      <c r="L830" s="2">
        <v>3.96</v>
      </c>
      <c r="M830" s="2" t="s">
        <v>22</v>
      </c>
      <c r="N830" s="2">
        <v>58.05</v>
      </c>
      <c r="O830" s="2" t="s">
        <v>23</v>
      </c>
      <c r="P830" s="2">
        <v>7.56</v>
      </c>
      <c r="Q830" s="2">
        <v>7.59</v>
      </c>
      <c r="R830" s="3">
        <f t="shared" si="60"/>
        <v>4517.3267999999998</v>
      </c>
      <c r="S830" s="3">
        <f t="shared" si="61"/>
        <v>4535.2527</v>
      </c>
      <c r="T830" s="3">
        <f t="shared" si="62"/>
        <v>17.925900000000183</v>
      </c>
      <c r="U830" s="4">
        <f t="shared" si="63"/>
        <v>3.9525691699605148E-3</v>
      </c>
      <c r="V830" s="5">
        <f t="shared" si="64"/>
        <v>23.662187999999997</v>
      </c>
    </row>
    <row r="831" spans="1:22" x14ac:dyDescent="0.25">
      <c r="A831" s="2" t="s">
        <v>865</v>
      </c>
      <c r="B831" s="2" t="s">
        <v>26</v>
      </c>
      <c r="C831" s="2" t="s">
        <v>43</v>
      </c>
      <c r="D831" s="2" t="s">
        <v>28</v>
      </c>
      <c r="E831" s="2">
        <v>551.55999999999995</v>
      </c>
      <c r="F831" s="2">
        <v>15.45</v>
      </c>
      <c r="G831" s="2">
        <v>29.25</v>
      </c>
      <c r="H831" s="2">
        <v>3.1</v>
      </c>
      <c r="I831" s="2">
        <v>0.1</v>
      </c>
      <c r="J831" s="2">
        <v>12</v>
      </c>
      <c r="K831" s="2" t="s">
        <v>21</v>
      </c>
      <c r="L831" s="2">
        <v>7.18</v>
      </c>
      <c r="M831" s="2" t="s">
        <v>37</v>
      </c>
      <c r="N831" s="2">
        <v>59.36</v>
      </c>
      <c r="O831" s="2" t="s">
        <v>30</v>
      </c>
      <c r="P831" s="2">
        <v>4.18</v>
      </c>
      <c r="Q831" s="2">
        <v>11.78</v>
      </c>
      <c r="R831" s="3">
        <f t="shared" si="60"/>
        <v>2305.5207999999998</v>
      </c>
      <c r="S831" s="3">
        <f t="shared" si="61"/>
        <v>6497.3767999999991</v>
      </c>
      <c r="T831" s="3">
        <f t="shared" si="62"/>
        <v>4191.8559999999998</v>
      </c>
      <c r="U831" s="4">
        <f t="shared" si="63"/>
        <v>0.64516129032258074</v>
      </c>
      <c r="V831" s="5">
        <f t="shared" si="64"/>
        <v>39.602007999999998</v>
      </c>
    </row>
    <row r="832" spans="1:22" x14ac:dyDescent="0.25">
      <c r="A832" s="2" t="s">
        <v>866</v>
      </c>
      <c r="B832" s="2" t="s">
        <v>32</v>
      </c>
      <c r="C832" s="2" t="s">
        <v>27</v>
      </c>
      <c r="D832" s="2" t="s">
        <v>28</v>
      </c>
      <c r="E832" s="2">
        <v>597.84</v>
      </c>
      <c r="F832" s="2">
        <v>9.68</v>
      </c>
      <c r="G832" s="2">
        <v>38.82</v>
      </c>
      <c r="H832" s="2">
        <v>0.6</v>
      </c>
      <c r="I832" s="2">
        <v>0.2</v>
      </c>
      <c r="J832" s="2">
        <v>1</v>
      </c>
      <c r="K832" s="2" t="s">
        <v>21</v>
      </c>
      <c r="L832" s="2">
        <v>2.2000000000000002</v>
      </c>
      <c r="M832" s="2" t="s">
        <v>40</v>
      </c>
      <c r="N832" s="2">
        <v>71.819999999999993</v>
      </c>
      <c r="O832" s="2" t="s">
        <v>30</v>
      </c>
      <c r="P832" s="2">
        <v>8.52</v>
      </c>
      <c r="Q832" s="2">
        <v>11.02</v>
      </c>
      <c r="R832" s="3">
        <f t="shared" si="60"/>
        <v>5093.5968000000003</v>
      </c>
      <c r="S832" s="3">
        <f t="shared" si="61"/>
        <v>6588.1967999999997</v>
      </c>
      <c r="T832" s="3">
        <f t="shared" si="62"/>
        <v>1494.5999999999995</v>
      </c>
      <c r="U832" s="4">
        <f t="shared" si="63"/>
        <v>0.22686025408348451</v>
      </c>
      <c r="V832" s="5">
        <f t="shared" si="64"/>
        <v>13.152480000000002</v>
      </c>
    </row>
    <row r="833" spans="1:22" x14ac:dyDescent="0.25">
      <c r="A833" s="2" t="s">
        <v>867</v>
      </c>
      <c r="B833" s="2" t="s">
        <v>32</v>
      </c>
      <c r="C833" s="2" t="s">
        <v>33</v>
      </c>
      <c r="D833" s="2" t="s">
        <v>28</v>
      </c>
      <c r="E833" s="2">
        <v>552.21</v>
      </c>
      <c r="F833" s="2">
        <v>9.9</v>
      </c>
      <c r="G833" s="2">
        <v>29.73</v>
      </c>
      <c r="H833" s="2">
        <v>1.1000000000000001</v>
      </c>
      <c r="I833" s="2">
        <v>0.7</v>
      </c>
      <c r="J833" s="2">
        <v>10</v>
      </c>
      <c r="K833" s="2" t="s">
        <v>29</v>
      </c>
      <c r="L833" s="2">
        <v>3.95</v>
      </c>
      <c r="M833" s="2" t="s">
        <v>37</v>
      </c>
      <c r="N833" s="2">
        <v>72.099999999999994</v>
      </c>
      <c r="O833" s="2" t="s">
        <v>30</v>
      </c>
      <c r="P833" s="2">
        <v>6.53</v>
      </c>
      <c r="Q833" s="2">
        <v>6.67</v>
      </c>
      <c r="R833" s="3">
        <f t="shared" si="60"/>
        <v>3605.9313000000002</v>
      </c>
      <c r="S833" s="3">
        <f t="shared" si="61"/>
        <v>3683.2407000000003</v>
      </c>
      <c r="T833" s="3">
        <f t="shared" si="62"/>
        <v>77.309400000000096</v>
      </c>
      <c r="U833" s="4">
        <f t="shared" si="63"/>
        <v>2.0989505247376337E-2</v>
      </c>
      <c r="V833" s="5">
        <f t="shared" si="64"/>
        <v>21.812295000000002</v>
      </c>
    </row>
    <row r="834" spans="1:22" x14ac:dyDescent="0.25">
      <c r="A834" s="2" t="s">
        <v>868</v>
      </c>
      <c r="B834" s="2" t="s">
        <v>18</v>
      </c>
      <c r="C834" s="2" t="s">
        <v>43</v>
      </c>
      <c r="D834" s="2" t="s">
        <v>20</v>
      </c>
      <c r="E834" s="2">
        <v>389.63</v>
      </c>
      <c r="F834" s="2">
        <v>12.61</v>
      </c>
      <c r="G834" s="2">
        <v>29.25</v>
      </c>
      <c r="H834" s="2">
        <v>0.9</v>
      </c>
      <c r="I834" s="2">
        <v>1.6</v>
      </c>
      <c r="J834" s="2">
        <v>4</v>
      </c>
      <c r="K834" s="2" t="s">
        <v>21</v>
      </c>
      <c r="L834" s="2">
        <v>3.27</v>
      </c>
      <c r="M834" s="2" t="s">
        <v>22</v>
      </c>
      <c r="N834" s="2">
        <v>63.72</v>
      </c>
      <c r="O834" s="2" t="s">
        <v>30</v>
      </c>
      <c r="P834" s="2">
        <v>6.59</v>
      </c>
      <c r="Q834" s="2">
        <v>13.85</v>
      </c>
      <c r="R834" s="3">
        <f t="shared" si="60"/>
        <v>2567.6617000000001</v>
      </c>
      <c r="S834" s="3">
        <f t="shared" si="61"/>
        <v>5396.3755000000001</v>
      </c>
      <c r="T834" s="3">
        <f t="shared" si="62"/>
        <v>2828.7138</v>
      </c>
      <c r="U834" s="4">
        <f t="shared" si="63"/>
        <v>0.52418772563176896</v>
      </c>
      <c r="V834" s="5">
        <f t="shared" si="64"/>
        <v>12.740900999999999</v>
      </c>
    </row>
    <row r="835" spans="1:22" x14ac:dyDescent="0.25">
      <c r="A835" s="2" t="s">
        <v>869</v>
      </c>
      <c r="B835" s="2" t="s">
        <v>26</v>
      </c>
      <c r="C835" s="2" t="s">
        <v>43</v>
      </c>
      <c r="D835" s="2" t="s">
        <v>20</v>
      </c>
      <c r="E835" s="2">
        <v>466.92</v>
      </c>
      <c r="F835" s="2">
        <v>10.86</v>
      </c>
      <c r="G835" s="2">
        <v>35.700000000000003</v>
      </c>
      <c r="H835" s="2">
        <v>3.9</v>
      </c>
      <c r="I835" s="2">
        <v>0.2</v>
      </c>
      <c r="J835" s="2">
        <v>15</v>
      </c>
      <c r="K835" s="2" t="s">
        <v>29</v>
      </c>
      <c r="L835" s="2">
        <v>6.21</v>
      </c>
      <c r="M835" s="2" t="s">
        <v>22</v>
      </c>
      <c r="N835" s="2">
        <v>56.6</v>
      </c>
      <c r="O835" s="2" t="s">
        <v>24</v>
      </c>
      <c r="P835" s="2">
        <v>5.53</v>
      </c>
      <c r="Q835" s="2">
        <v>11.8</v>
      </c>
      <c r="R835" s="3">
        <f t="shared" ref="R835:R898" si="65">E835*P835</f>
        <v>2582.0676000000003</v>
      </c>
      <c r="S835" s="3">
        <f t="shared" ref="S835:S898" si="66">E835*Q835</f>
        <v>5509.6560000000009</v>
      </c>
      <c r="T835" s="3">
        <f t="shared" ref="T835:T898" si="67">S835-R835</f>
        <v>2927.5884000000005</v>
      </c>
      <c r="U835" s="4">
        <f t="shared" ref="U835:U898" si="68">T835/S835</f>
        <v>0.53135593220338984</v>
      </c>
      <c r="V835" s="5">
        <f t="shared" ref="V835:V898" si="69">E835*L835/100</f>
        <v>28.995732000000004</v>
      </c>
    </row>
    <row r="836" spans="1:22" x14ac:dyDescent="0.25">
      <c r="A836" s="2" t="s">
        <v>870</v>
      </c>
      <c r="B836" s="2" t="s">
        <v>32</v>
      </c>
      <c r="C836" s="2" t="s">
        <v>19</v>
      </c>
      <c r="D836" s="2" t="s">
        <v>28</v>
      </c>
      <c r="E836" s="2">
        <v>421.98</v>
      </c>
      <c r="F836" s="2">
        <v>10.47</v>
      </c>
      <c r="G836" s="2">
        <v>36.43</v>
      </c>
      <c r="H836" s="2">
        <v>0.3</v>
      </c>
      <c r="I836" s="2">
        <v>1.1000000000000001</v>
      </c>
      <c r="J836" s="2">
        <v>19</v>
      </c>
      <c r="K836" s="2" t="s">
        <v>21</v>
      </c>
      <c r="L836" s="2">
        <v>2.0499999999999998</v>
      </c>
      <c r="M836" s="2" t="s">
        <v>37</v>
      </c>
      <c r="N836" s="2">
        <v>97.25</v>
      </c>
      <c r="O836" s="2" t="s">
        <v>30</v>
      </c>
      <c r="P836" s="2">
        <v>9.0500000000000007</v>
      </c>
      <c r="Q836" s="2">
        <v>8.6300000000000008</v>
      </c>
      <c r="R836" s="3">
        <f t="shared" si="65"/>
        <v>3818.9190000000003</v>
      </c>
      <c r="S836" s="3">
        <f t="shared" si="66"/>
        <v>3641.6874000000007</v>
      </c>
      <c r="T836" s="3">
        <f t="shared" si="67"/>
        <v>-177.23159999999962</v>
      </c>
      <c r="U836" s="4">
        <f t="shared" si="68"/>
        <v>-4.8667439165700925E-2</v>
      </c>
      <c r="V836" s="5">
        <f t="shared" si="69"/>
        <v>8.6505899999999993</v>
      </c>
    </row>
    <row r="837" spans="1:22" x14ac:dyDescent="0.25">
      <c r="A837" s="2" t="s">
        <v>871</v>
      </c>
      <c r="B837" s="2" t="s">
        <v>26</v>
      </c>
      <c r="C837" s="2" t="s">
        <v>19</v>
      </c>
      <c r="D837" s="2" t="s">
        <v>20</v>
      </c>
      <c r="E837" s="2">
        <v>633.05999999999995</v>
      </c>
      <c r="F837" s="2">
        <v>14.45</v>
      </c>
      <c r="G837" s="2">
        <v>31.09</v>
      </c>
      <c r="H837" s="2">
        <v>1.7</v>
      </c>
      <c r="I837" s="2">
        <v>0.4</v>
      </c>
      <c r="J837" s="2">
        <v>6</v>
      </c>
      <c r="K837" s="2" t="s">
        <v>34</v>
      </c>
      <c r="L837" s="2">
        <v>5.71</v>
      </c>
      <c r="M837" s="2" t="s">
        <v>37</v>
      </c>
      <c r="N837" s="2">
        <v>56.58</v>
      </c>
      <c r="O837" s="2" t="s">
        <v>30</v>
      </c>
      <c r="P837" s="2">
        <v>5.23</v>
      </c>
      <c r="Q837" s="2">
        <v>11.84</v>
      </c>
      <c r="R837" s="3">
        <f t="shared" si="65"/>
        <v>3310.9038</v>
      </c>
      <c r="S837" s="3">
        <f t="shared" si="66"/>
        <v>7495.4303999999993</v>
      </c>
      <c r="T837" s="3">
        <f t="shared" si="67"/>
        <v>4184.5265999999992</v>
      </c>
      <c r="U837" s="4">
        <f t="shared" si="68"/>
        <v>0.55827702702702697</v>
      </c>
      <c r="V837" s="5">
        <f t="shared" si="69"/>
        <v>36.147725999999999</v>
      </c>
    </row>
    <row r="838" spans="1:22" x14ac:dyDescent="0.25">
      <c r="A838" s="2" t="s">
        <v>872</v>
      </c>
      <c r="B838" s="2" t="s">
        <v>18</v>
      </c>
      <c r="C838" s="2" t="s">
        <v>33</v>
      </c>
      <c r="D838" s="2" t="s">
        <v>20</v>
      </c>
      <c r="E838" s="2">
        <v>380.32</v>
      </c>
      <c r="F838" s="2">
        <v>14.51</v>
      </c>
      <c r="G838" s="2">
        <v>23.6</v>
      </c>
      <c r="H838" s="2">
        <v>0.3</v>
      </c>
      <c r="I838" s="2">
        <v>0.4</v>
      </c>
      <c r="J838" s="2">
        <v>27</v>
      </c>
      <c r="K838" s="2" t="s">
        <v>21</v>
      </c>
      <c r="L838" s="2">
        <v>8.65</v>
      </c>
      <c r="M838" s="2" t="s">
        <v>37</v>
      </c>
      <c r="N838" s="2">
        <v>67.540000000000006</v>
      </c>
      <c r="O838" s="2" t="s">
        <v>23</v>
      </c>
      <c r="P838" s="2">
        <v>3.66</v>
      </c>
      <c r="Q838" s="2">
        <v>6.13</v>
      </c>
      <c r="R838" s="3">
        <f t="shared" si="65"/>
        <v>1391.9712</v>
      </c>
      <c r="S838" s="3">
        <f t="shared" si="66"/>
        <v>2331.3615999999997</v>
      </c>
      <c r="T838" s="3">
        <f t="shared" si="67"/>
        <v>939.39039999999977</v>
      </c>
      <c r="U838" s="4">
        <f t="shared" si="68"/>
        <v>0.40293637846655789</v>
      </c>
      <c r="V838" s="5">
        <f t="shared" si="69"/>
        <v>32.897680000000001</v>
      </c>
    </row>
    <row r="839" spans="1:22" x14ac:dyDescent="0.25">
      <c r="A839" s="2" t="s">
        <v>873</v>
      </c>
      <c r="B839" s="2" t="s">
        <v>32</v>
      </c>
      <c r="C839" s="2" t="s">
        <v>43</v>
      </c>
      <c r="D839" s="2" t="s">
        <v>28</v>
      </c>
      <c r="E839" s="2">
        <v>589.37</v>
      </c>
      <c r="F839" s="2">
        <v>16.25</v>
      </c>
      <c r="G839" s="2">
        <v>29.36</v>
      </c>
      <c r="H839" s="2">
        <v>2.4</v>
      </c>
      <c r="I839" s="2">
        <v>1.1000000000000001</v>
      </c>
      <c r="J839" s="2">
        <v>5</v>
      </c>
      <c r="K839" s="2" t="s">
        <v>21</v>
      </c>
      <c r="L839" s="2">
        <v>5.38</v>
      </c>
      <c r="M839" s="2" t="s">
        <v>22</v>
      </c>
      <c r="N839" s="2">
        <v>65.239999999999995</v>
      </c>
      <c r="O839" s="2" t="s">
        <v>30</v>
      </c>
      <c r="P839" s="2">
        <v>5.12</v>
      </c>
      <c r="Q839" s="2">
        <v>9.68</v>
      </c>
      <c r="R839" s="3">
        <f t="shared" si="65"/>
        <v>3017.5744</v>
      </c>
      <c r="S839" s="3">
        <f t="shared" si="66"/>
        <v>5705.1016</v>
      </c>
      <c r="T839" s="3">
        <f t="shared" si="67"/>
        <v>2687.5272</v>
      </c>
      <c r="U839" s="4">
        <f t="shared" si="68"/>
        <v>0.47107438016528924</v>
      </c>
      <c r="V839" s="5">
        <f t="shared" si="69"/>
        <v>31.708105999999997</v>
      </c>
    </row>
    <row r="840" spans="1:22" x14ac:dyDescent="0.25">
      <c r="A840" s="2" t="s">
        <v>874</v>
      </c>
      <c r="B840" s="2" t="s">
        <v>26</v>
      </c>
      <c r="C840" s="2" t="s">
        <v>43</v>
      </c>
      <c r="D840" s="2" t="s">
        <v>20</v>
      </c>
      <c r="E840" s="2">
        <v>589.29999999999995</v>
      </c>
      <c r="F840" s="2">
        <v>12.18</v>
      </c>
      <c r="G840" s="2">
        <v>39.36</v>
      </c>
      <c r="H840" s="2">
        <v>4.7</v>
      </c>
      <c r="I840" s="2">
        <v>0.6</v>
      </c>
      <c r="J840" s="2">
        <v>5</v>
      </c>
      <c r="K840" s="2" t="s">
        <v>34</v>
      </c>
      <c r="L840" s="2">
        <v>6.99</v>
      </c>
      <c r="M840" s="2" t="s">
        <v>40</v>
      </c>
      <c r="N840" s="2">
        <v>93.32</v>
      </c>
      <c r="O840" s="2" t="s">
        <v>23</v>
      </c>
      <c r="P840" s="2">
        <v>8.01</v>
      </c>
      <c r="Q840" s="2">
        <v>6.69</v>
      </c>
      <c r="R840" s="3">
        <f t="shared" si="65"/>
        <v>4720.2929999999997</v>
      </c>
      <c r="S840" s="3">
        <f t="shared" si="66"/>
        <v>3942.4169999999999</v>
      </c>
      <c r="T840" s="3">
        <f t="shared" si="67"/>
        <v>-777.87599999999975</v>
      </c>
      <c r="U840" s="4">
        <f t="shared" si="68"/>
        <v>-0.19730941704035868</v>
      </c>
      <c r="V840" s="5">
        <f t="shared" si="69"/>
        <v>41.192069999999994</v>
      </c>
    </row>
    <row r="841" spans="1:22" x14ac:dyDescent="0.25">
      <c r="A841" s="2" t="s">
        <v>875</v>
      </c>
      <c r="B841" s="2" t="s">
        <v>32</v>
      </c>
      <c r="C841" s="2" t="s">
        <v>19</v>
      </c>
      <c r="D841" s="2" t="s">
        <v>28</v>
      </c>
      <c r="E841" s="2">
        <v>682.96</v>
      </c>
      <c r="F841" s="2">
        <v>8.73</v>
      </c>
      <c r="G841" s="2">
        <v>35.06</v>
      </c>
      <c r="H841" s="2">
        <v>1.1000000000000001</v>
      </c>
      <c r="I841" s="2">
        <v>1.7</v>
      </c>
      <c r="J841" s="2">
        <v>18</v>
      </c>
      <c r="K841" s="2" t="s">
        <v>34</v>
      </c>
      <c r="L841" s="2">
        <v>1.21</v>
      </c>
      <c r="M841" s="2" t="s">
        <v>22</v>
      </c>
      <c r="N841" s="2">
        <v>70.5</v>
      </c>
      <c r="O841" s="2" t="s">
        <v>23</v>
      </c>
      <c r="P841" s="2">
        <v>7.6</v>
      </c>
      <c r="Q841" s="2">
        <v>5.41</v>
      </c>
      <c r="R841" s="3">
        <f t="shared" si="65"/>
        <v>5190.4960000000001</v>
      </c>
      <c r="S841" s="3">
        <f t="shared" si="66"/>
        <v>3694.8136000000004</v>
      </c>
      <c r="T841" s="3">
        <f t="shared" si="67"/>
        <v>-1495.6823999999997</v>
      </c>
      <c r="U841" s="4">
        <f t="shared" si="68"/>
        <v>-0.40480591497227342</v>
      </c>
      <c r="V841" s="5">
        <f t="shared" si="69"/>
        <v>8.2638160000000003</v>
      </c>
    </row>
    <row r="842" spans="1:22" x14ac:dyDescent="0.25">
      <c r="A842" s="2" t="s">
        <v>876</v>
      </c>
      <c r="B842" s="2" t="s">
        <v>18</v>
      </c>
      <c r="C842" s="2" t="s">
        <v>43</v>
      </c>
      <c r="D842" s="2" t="s">
        <v>20</v>
      </c>
      <c r="E842" s="2">
        <v>459.03</v>
      </c>
      <c r="F842" s="2">
        <v>10.74</v>
      </c>
      <c r="G842" s="2">
        <v>36.22</v>
      </c>
      <c r="H842" s="2">
        <v>1.3</v>
      </c>
      <c r="I842" s="2">
        <v>0.2</v>
      </c>
      <c r="J842" s="2">
        <v>28</v>
      </c>
      <c r="K842" s="2" t="s">
        <v>21</v>
      </c>
      <c r="L842" s="2">
        <v>4.7699999999999996</v>
      </c>
      <c r="M842" s="2" t="s">
        <v>37</v>
      </c>
      <c r="N842" s="2">
        <v>56.2</v>
      </c>
      <c r="O842" s="2" t="s">
        <v>30</v>
      </c>
      <c r="P842" s="2">
        <v>4.32</v>
      </c>
      <c r="Q842" s="2">
        <v>8.3800000000000008</v>
      </c>
      <c r="R842" s="3">
        <f t="shared" si="65"/>
        <v>1983.0096000000001</v>
      </c>
      <c r="S842" s="3">
        <f t="shared" si="66"/>
        <v>3846.6714000000002</v>
      </c>
      <c r="T842" s="3">
        <f t="shared" si="67"/>
        <v>1863.6618000000001</v>
      </c>
      <c r="U842" s="4">
        <f t="shared" si="68"/>
        <v>0.48448687350835323</v>
      </c>
      <c r="V842" s="5">
        <f t="shared" si="69"/>
        <v>21.895730999999998</v>
      </c>
    </row>
    <row r="843" spans="1:22" x14ac:dyDescent="0.25">
      <c r="A843" s="2" t="s">
        <v>877</v>
      </c>
      <c r="B843" s="2" t="s">
        <v>26</v>
      </c>
      <c r="C843" s="2" t="s">
        <v>43</v>
      </c>
      <c r="D843" s="2" t="s">
        <v>28</v>
      </c>
      <c r="E843" s="2">
        <v>571.23</v>
      </c>
      <c r="F843" s="2">
        <v>17.8</v>
      </c>
      <c r="G843" s="2">
        <v>20.66</v>
      </c>
      <c r="H843" s="2">
        <v>5.2</v>
      </c>
      <c r="I843" s="2">
        <v>1.6</v>
      </c>
      <c r="J843" s="2">
        <v>3</v>
      </c>
      <c r="K843" s="2" t="s">
        <v>21</v>
      </c>
      <c r="L843" s="2">
        <v>1.4</v>
      </c>
      <c r="M843" s="2" t="s">
        <v>40</v>
      </c>
      <c r="N843" s="2">
        <v>50.51</v>
      </c>
      <c r="O843" s="2" t="s">
        <v>30</v>
      </c>
      <c r="P843" s="2">
        <v>3.78</v>
      </c>
      <c r="Q843" s="2">
        <v>6.51</v>
      </c>
      <c r="R843" s="3">
        <f t="shared" si="65"/>
        <v>2159.2494000000002</v>
      </c>
      <c r="S843" s="3">
        <f t="shared" si="66"/>
        <v>3718.7073</v>
      </c>
      <c r="T843" s="3">
        <f t="shared" si="67"/>
        <v>1559.4578999999999</v>
      </c>
      <c r="U843" s="4">
        <f t="shared" si="68"/>
        <v>0.41935483870967738</v>
      </c>
      <c r="V843" s="5">
        <f t="shared" si="69"/>
        <v>7.9972199999999996</v>
      </c>
    </row>
    <row r="844" spans="1:22" x14ac:dyDescent="0.25">
      <c r="A844" s="2" t="s">
        <v>878</v>
      </c>
      <c r="B844" s="2" t="s">
        <v>32</v>
      </c>
      <c r="C844" s="2" t="s">
        <v>43</v>
      </c>
      <c r="D844" s="2" t="s">
        <v>20</v>
      </c>
      <c r="E844" s="2">
        <v>728.17</v>
      </c>
      <c r="F844" s="2">
        <v>13.96</v>
      </c>
      <c r="G844" s="2">
        <v>29.36</v>
      </c>
      <c r="H844" s="2">
        <v>1.5</v>
      </c>
      <c r="I844" s="2">
        <v>0.1</v>
      </c>
      <c r="J844" s="2">
        <v>27</v>
      </c>
      <c r="K844" s="2" t="s">
        <v>29</v>
      </c>
      <c r="L844" s="2">
        <v>6.19</v>
      </c>
      <c r="M844" s="2" t="s">
        <v>37</v>
      </c>
      <c r="N844" s="2">
        <v>86.1</v>
      </c>
      <c r="O844" s="2" t="s">
        <v>23</v>
      </c>
      <c r="P844" s="2">
        <v>7.63</v>
      </c>
      <c r="Q844" s="2">
        <v>11.34</v>
      </c>
      <c r="R844" s="3">
        <f t="shared" si="65"/>
        <v>5555.9370999999992</v>
      </c>
      <c r="S844" s="3">
        <f t="shared" si="66"/>
        <v>8257.4477999999999</v>
      </c>
      <c r="T844" s="3">
        <f t="shared" si="67"/>
        <v>2701.5107000000007</v>
      </c>
      <c r="U844" s="4">
        <f t="shared" si="68"/>
        <v>0.32716049382716056</v>
      </c>
      <c r="V844" s="5">
        <f t="shared" si="69"/>
        <v>45.073723000000001</v>
      </c>
    </row>
    <row r="845" spans="1:22" x14ac:dyDescent="0.25">
      <c r="A845" s="2" t="s">
        <v>879</v>
      </c>
      <c r="B845" s="2" t="s">
        <v>18</v>
      </c>
      <c r="C845" s="2" t="s">
        <v>19</v>
      </c>
      <c r="D845" s="2" t="s">
        <v>20</v>
      </c>
      <c r="E845" s="2">
        <v>438.24</v>
      </c>
      <c r="F845" s="2">
        <v>15.1</v>
      </c>
      <c r="G845" s="2">
        <v>32.93</v>
      </c>
      <c r="H845" s="2">
        <v>1.3</v>
      </c>
      <c r="I845" s="2">
        <v>0.2</v>
      </c>
      <c r="J845" s="2">
        <v>22</v>
      </c>
      <c r="K845" s="2" t="s">
        <v>34</v>
      </c>
      <c r="L845" s="2">
        <v>3.17</v>
      </c>
      <c r="M845" s="2" t="s">
        <v>22</v>
      </c>
      <c r="N845" s="2">
        <v>85.73</v>
      </c>
      <c r="O845" s="2" t="s">
        <v>24</v>
      </c>
      <c r="P845" s="2">
        <v>7.73</v>
      </c>
      <c r="Q845" s="2">
        <v>11.74</v>
      </c>
      <c r="R845" s="3">
        <f t="shared" si="65"/>
        <v>3387.5952000000002</v>
      </c>
      <c r="S845" s="3">
        <f t="shared" si="66"/>
        <v>5144.9376000000002</v>
      </c>
      <c r="T845" s="3">
        <f t="shared" si="67"/>
        <v>1757.3424</v>
      </c>
      <c r="U845" s="4">
        <f t="shared" si="68"/>
        <v>0.34156729131175467</v>
      </c>
      <c r="V845" s="5">
        <f t="shared" si="69"/>
        <v>13.892208</v>
      </c>
    </row>
    <row r="846" spans="1:22" x14ac:dyDescent="0.25">
      <c r="A846" s="2" t="s">
        <v>880</v>
      </c>
      <c r="B846" s="2" t="s">
        <v>32</v>
      </c>
      <c r="C846" s="2" t="s">
        <v>33</v>
      </c>
      <c r="D846" s="2" t="s">
        <v>28</v>
      </c>
      <c r="E846" s="2">
        <v>346.5</v>
      </c>
      <c r="F846" s="2">
        <v>8.07</v>
      </c>
      <c r="G846" s="2">
        <v>36.6</v>
      </c>
      <c r="H846" s="2">
        <v>1.7</v>
      </c>
      <c r="I846" s="2">
        <v>1.1000000000000001</v>
      </c>
      <c r="J846" s="2">
        <v>2</v>
      </c>
      <c r="K846" s="2" t="s">
        <v>34</v>
      </c>
      <c r="L846" s="2">
        <v>3.23</v>
      </c>
      <c r="M846" s="2" t="s">
        <v>40</v>
      </c>
      <c r="N846" s="2">
        <v>70.89</v>
      </c>
      <c r="O846" s="2" t="s">
        <v>23</v>
      </c>
      <c r="P846" s="2">
        <v>5.56</v>
      </c>
      <c r="Q846" s="2">
        <v>6.49</v>
      </c>
      <c r="R846" s="3">
        <f t="shared" si="65"/>
        <v>1926.54</v>
      </c>
      <c r="S846" s="3">
        <f t="shared" si="66"/>
        <v>2248.7849999999999</v>
      </c>
      <c r="T846" s="3">
        <f t="shared" si="67"/>
        <v>322.24499999999989</v>
      </c>
      <c r="U846" s="4">
        <f t="shared" si="68"/>
        <v>0.14329738058551614</v>
      </c>
      <c r="V846" s="5">
        <f t="shared" si="69"/>
        <v>11.191949999999999</v>
      </c>
    </row>
    <row r="847" spans="1:22" x14ac:dyDescent="0.25">
      <c r="A847" s="2" t="s">
        <v>881</v>
      </c>
      <c r="B847" s="2" t="s">
        <v>32</v>
      </c>
      <c r="C847" s="2" t="s">
        <v>27</v>
      </c>
      <c r="D847" s="2" t="s">
        <v>28</v>
      </c>
      <c r="E847" s="2">
        <v>312</v>
      </c>
      <c r="F847" s="2">
        <v>13.18</v>
      </c>
      <c r="G847" s="2">
        <v>20.99</v>
      </c>
      <c r="H847" s="2">
        <v>2.2999999999999998</v>
      </c>
      <c r="I847" s="2">
        <v>1.9</v>
      </c>
      <c r="J847" s="2">
        <v>4</v>
      </c>
      <c r="K847" s="2" t="s">
        <v>29</v>
      </c>
      <c r="L847" s="2">
        <v>1.23</v>
      </c>
      <c r="M847" s="2" t="s">
        <v>40</v>
      </c>
      <c r="N847" s="2">
        <v>56.32</v>
      </c>
      <c r="O847" s="2" t="s">
        <v>24</v>
      </c>
      <c r="P847" s="2">
        <v>8.9</v>
      </c>
      <c r="Q847" s="2">
        <v>5.25</v>
      </c>
      <c r="R847" s="3">
        <f t="shared" si="65"/>
        <v>2776.8</v>
      </c>
      <c r="S847" s="3">
        <f t="shared" si="66"/>
        <v>1638</v>
      </c>
      <c r="T847" s="3">
        <f t="shared" si="67"/>
        <v>-1138.8000000000002</v>
      </c>
      <c r="U847" s="4">
        <f t="shared" si="68"/>
        <v>-0.69523809523809532</v>
      </c>
      <c r="V847" s="5">
        <f t="shared" si="69"/>
        <v>3.8376000000000001</v>
      </c>
    </row>
    <row r="848" spans="1:22" x14ac:dyDescent="0.25">
      <c r="A848" s="2" t="s">
        <v>882</v>
      </c>
      <c r="B848" s="2" t="s">
        <v>45</v>
      </c>
      <c r="C848" s="2" t="s">
        <v>33</v>
      </c>
      <c r="D848" s="2" t="s">
        <v>28</v>
      </c>
      <c r="E848" s="2">
        <v>571.27</v>
      </c>
      <c r="F848" s="2">
        <v>8.3800000000000008</v>
      </c>
      <c r="G848" s="2">
        <v>37.049999999999997</v>
      </c>
      <c r="H848" s="2">
        <v>0.2</v>
      </c>
      <c r="I848" s="2">
        <v>0.3</v>
      </c>
      <c r="J848" s="2">
        <v>18</v>
      </c>
      <c r="K848" s="2" t="s">
        <v>21</v>
      </c>
      <c r="L848" s="2">
        <v>3.45</v>
      </c>
      <c r="M848" s="2" t="s">
        <v>22</v>
      </c>
      <c r="N848" s="2">
        <v>68.58</v>
      </c>
      <c r="O848" s="2" t="s">
        <v>24</v>
      </c>
      <c r="P848" s="2">
        <v>9.85</v>
      </c>
      <c r="Q848" s="2">
        <v>12.93</v>
      </c>
      <c r="R848" s="3">
        <f t="shared" si="65"/>
        <v>5627.0094999999992</v>
      </c>
      <c r="S848" s="3">
        <f t="shared" si="66"/>
        <v>7386.5210999999999</v>
      </c>
      <c r="T848" s="3">
        <f t="shared" si="67"/>
        <v>1759.5116000000007</v>
      </c>
      <c r="U848" s="4">
        <f t="shared" si="68"/>
        <v>0.23820572312451674</v>
      </c>
      <c r="V848" s="5">
        <f t="shared" si="69"/>
        <v>19.708815000000001</v>
      </c>
    </row>
    <row r="849" spans="1:22" x14ac:dyDescent="0.25">
      <c r="A849" s="2" t="s">
        <v>883</v>
      </c>
      <c r="B849" s="2" t="s">
        <v>45</v>
      </c>
      <c r="C849" s="2" t="s">
        <v>27</v>
      </c>
      <c r="D849" s="2" t="s">
        <v>28</v>
      </c>
      <c r="E849" s="2">
        <v>311.68</v>
      </c>
      <c r="F849" s="2">
        <v>13.69</v>
      </c>
      <c r="G849" s="2">
        <v>30.97</v>
      </c>
      <c r="H849" s="2">
        <v>3.4</v>
      </c>
      <c r="I849" s="2">
        <v>0.4</v>
      </c>
      <c r="J849" s="2">
        <v>9</v>
      </c>
      <c r="K849" s="2" t="s">
        <v>21</v>
      </c>
      <c r="L849" s="2">
        <v>5.31</v>
      </c>
      <c r="M849" s="2" t="s">
        <v>37</v>
      </c>
      <c r="N849" s="2">
        <v>79.489999999999995</v>
      </c>
      <c r="O849" s="2" t="s">
        <v>30</v>
      </c>
      <c r="P849" s="2">
        <v>4.4400000000000004</v>
      </c>
      <c r="Q849" s="2">
        <v>5.0199999999999996</v>
      </c>
      <c r="R849" s="3">
        <f t="shared" si="65"/>
        <v>1383.8592000000001</v>
      </c>
      <c r="S849" s="3">
        <f t="shared" si="66"/>
        <v>1564.6335999999999</v>
      </c>
      <c r="T849" s="3">
        <f t="shared" si="67"/>
        <v>180.77439999999979</v>
      </c>
      <c r="U849" s="4">
        <f t="shared" si="68"/>
        <v>0.11553784860557756</v>
      </c>
      <c r="V849" s="5">
        <f t="shared" si="69"/>
        <v>16.550208000000001</v>
      </c>
    </row>
    <row r="850" spans="1:22" x14ac:dyDescent="0.25">
      <c r="A850" s="2" t="s">
        <v>884</v>
      </c>
      <c r="B850" s="2" t="s">
        <v>18</v>
      </c>
      <c r="C850" s="2" t="s">
        <v>43</v>
      </c>
      <c r="D850" s="2" t="s">
        <v>20</v>
      </c>
      <c r="E850" s="2">
        <v>462.77</v>
      </c>
      <c r="F850" s="2">
        <v>17.21</v>
      </c>
      <c r="G850" s="2">
        <v>23.95</v>
      </c>
      <c r="H850" s="2">
        <v>1.1000000000000001</v>
      </c>
      <c r="I850" s="2">
        <v>0.8</v>
      </c>
      <c r="J850" s="2">
        <v>19</v>
      </c>
      <c r="K850" s="2" t="s">
        <v>34</v>
      </c>
      <c r="L850" s="2">
        <v>6.05</v>
      </c>
      <c r="M850" s="2" t="s">
        <v>37</v>
      </c>
      <c r="N850" s="2">
        <v>85.2</v>
      </c>
      <c r="O850" s="2" t="s">
        <v>30</v>
      </c>
      <c r="P850" s="2">
        <v>7.04</v>
      </c>
      <c r="Q850" s="2">
        <v>8.44</v>
      </c>
      <c r="R850" s="3">
        <f t="shared" si="65"/>
        <v>3257.9007999999999</v>
      </c>
      <c r="S850" s="3">
        <f t="shared" si="66"/>
        <v>3905.7787999999996</v>
      </c>
      <c r="T850" s="3">
        <f t="shared" si="67"/>
        <v>647.8779999999997</v>
      </c>
      <c r="U850" s="4">
        <f t="shared" si="68"/>
        <v>0.16587677725118477</v>
      </c>
      <c r="V850" s="5">
        <f t="shared" si="69"/>
        <v>27.997585000000001</v>
      </c>
    </row>
    <row r="851" spans="1:22" x14ac:dyDescent="0.25">
      <c r="A851" s="2" t="s">
        <v>885</v>
      </c>
      <c r="B851" s="2" t="s">
        <v>45</v>
      </c>
      <c r="C851" s="2" t="s">
        <v>33</v>
      </c>
      <c r="D851" s="2" t="s">
        <v>20</v>
      </c>
      <c r="E851" s="2">
        <v>543.73</v>
      </c>
      <c r="F851" s="2">
        <v>17.68</v>
      </c>
      <c r="G851" s="2">
        <v>26.35</v>
      </c>
      <c r="H851" s="2">
        <v>0.2</v>
      </c>
      <c r="I851" s="2">
        <v>0.2</v>
      </c>
      <c r="J851" s="2">
        <v>26</v>
      </c>
      <c r="K851" s="2" t="s">
        <v>29</v>
      </c>
      <c r="L851" s="2">
        <v>1.1299999999999999</v>
      </c>
      <c r="M851" s="2" t="s">
        <v>37</v>
      </c>
      <c r="N851" s="2">
        <v>53.91</v>
      </c>
      <c r="O851" s="2" t="s">
        <v>30</v>
      </c>
      <c r="P851" s="2">
        <v>3.04</v>
      </c>
      <c r="Q851" s="2">
        <v>9.9499999999999993</v>
      </c>
      <c r="R851" s="3">
        <f t="shared" si="65"/>
        <v>1652.9392</v>
      </c>
      <c r="S851" s="3">
        <f t="shared" si="66"/>
        <v>5410.1134999999995</v>
      </c>
      <c r="T851" s="3">
        <f t="shared" si="67"/>
        <v>3757.1742999999997</v>
      </c>
      <c r="U851" s="4">
        <f t="shared" si="68"/>
        <v>0.69447236180904526</v>
      </c>
      <c r="V851" s="5">
        <f t="shared" si="69"/>
        <v>6.1441489999999996</v>
      </c>
    </row>
    <row r="852" spans="1:22" x14ac:dyDescent="0.25">
      <c r="A852" s="2" t="s">
        <v>886</v>
      </c>
      <c r="B852" s="2" t="s">
        <v>18</v>
      </c>
      <c r="C852" s="2" t="s">
        <v>27</v>
      </c>
      <c r="D852" s="2" t="s">
        <v>28</v>
      </c>
      <c r="E852" s="2">
        <v>518.52</v>
      </c>
      <c r="F852" s="2">
        <v>13.41</v>
      </c>
      <c r="G852" s="2">
        <v>25.64</v>
      </c>
      <c r="H852" s="2">
        <v>3.1</v>
      </c>
      <c r="I852" s="2">
        <v>1.7</v>
      </c>
      <c r="J852" s="2">
        <v>10</v>
      </c>
      <c r="K852" s="2" t="s">
        <v>21</v>
      </c>
      <c r="L852" s="2">
        <v>6.69</v>
      </c>
      <c r="M852" s="2" t="s">
        <v>22</v>
      </c>
      <c r="N852" s="2">
        <v>77.819999999999993</v>
      </c>
      <c r="O852" s="2" t="s">
        <v>30</v>
      </c>
      <c r="P852" s="2">
        <v>7.99</v>
      </c>
      <c r="Q852" s="2">
        <v>13.19</v>
      </c>
      <c r="R852" s="3">
        <f t="shared" si="65"/>
        <v>4142.9748</v>
      </c>
      <c r="S852" s="3">
        <f t="shared" si="66"/>
        <v>6839.2787999999991</v>
      </c>
      <c r="T852" s="3">
        <f t="shared" si="67"/>
        <v>2696.3039999999992</v>
      </c>
      <c r="U852" s="4">
        <f t="shared" si="68"/>
        <v>0.39423805913570881</v>
      </c>
      <c r="V852" s="5">
        <f t="shared" si="69"/>
        <v>34.688988000000002</v>
      </c>
    </row>
    <row r="853" spans="1:22" x14ac:dyDescent="0.25">
      <c r="A853" s="2" t="s">
        <v>887</v>
      </c>
      <c r="B853" s="2" t="s">
        <v>45</v>
      </c>
      <c r="C853" s="2" t="s">
        <v>19</v>
      </c>
      <c r="D853" s="2" t="s">
        <v>20</v>
      </c>
      <c r="E853" s="2">
        <v>542.54</v>
      </c>
      <c r="F853" s="2">
        <v>12.58</v>
      </c>
      <c r="G853" s="2">
        <v>30.62</v>
      </c>
      <c r="H853" s="2">
        <v>0.9</v>
      </c>
      <c r="I853" s="2">
        <v>1.5</v>
      </c>
      <c r="J853" s="2">
        <v>22</v>
      </c>
      <c r="K853" s="2" t="s">
        <v>34</v>
      </c>
      <c r="L853" s="2">
        <v>5.14</v>
      </c>
      <c r="M853" s="2" t="s">
        <v>37</v>
      </c>
      <c r="N853" s="2">
        <v>63.81</v>
      </c>
      <c r="O853" s="2" t="s">
        <v>23</v>
      </c>
      <c r="P853" s="2">
        <v>5.9</v>
      </c>
      <c r="Q853" s="2">
        <v>13.39</v>
      </c>
      <c r="R853" s="3">
        <f t="shared" si="65"/>
        <v>3200.9859999999999</v>
      </c>
      <c r="S853" s="3">
        <f t="shared" si="66"/>
        <v>7264.6106</v>
      </c>
      <c r="T853" s="3">
        <f t="shared" si="67"/>
        <v>4063.6246000000001</v>
      </c>
      <c r="U853" s="4">
        <f t="shared" si="68"/>
        <v>0.55937266616878267</v>
      </c>
      <c r="V853" s="5">
        <f t="shared" si="69"/>
        <v>27.886555999999995</v>
      </c>
    </row>
    <row r="854" spans="1:22" x14ac:dyDescent="0.25">
      <c r="A854" s="2" t="s">
        <v>888</v>
      </c>
      <c r="B854" s="2" t="s">
        <v>32</v>
      </c>
      <c r="C854" s="2" t="s">
        <v>19</v>
      </c>
      <c r="D854" s="2" t="s">
        <v>28</v>
      </c>
      <c r="E854" s="2">
        <v>522.23</v>
      </c>
      <c r="F854" s="2">
        <v>17.45</v>
      </c>
      <c r="G854" s="2">
        <v>21.03</v>
      </c>
      <c r="H854" s="2">
        <v>0.2</v>
      </c>
      <c r="I854" s="2">
        <v>0.2</v>
      </c>
      <c r="J854" s="2">
        <v>15</v>
      </c>
      <c r="K854" s="2" t="s">
        <v>21</v>
      </c>
      <c r="L854" s="2">
        <v>5.6</v>
      </c>
      <c r="M854" s="2" t="s">
        <v>40</v>
      </c>
      <c r="N854" s="2">
        <v>80.86</v>
      </c>
      <c r="O854" s="2" t="s">
        <v>24</v>
      </c>
      <c r="P854" s="2">
        <v>4.3499999999999996</v>
      </c>
      <c r="Q854" s="2">
        <v>12.25</v>
      </c>
      <c r="R854" s="3">
        <f t="shared" si="65"/>
        <v>2271.7004999999999</v>
      </c>
      <c r="S854" s="3">
        <f t="shared" si="66"/>
        <v>6397.3175000000001</v>
      </c>
      <c r="T854" s="3">
        <f t="shared" si="67"/>
        <v>4125.6170000000002</v>
      </c>
      <c r="U854" s="4">
        <f t="shared" si="68"/>
        <v>0.64489795918367354</v>
      </c>
      <c r="V854" s="5">
        <f t="shared" si="69"/>
        <v>29.244879999999998</v>
      </c>
    </row>
    <row r="855" spans="1:22" x14ac:dyDescent="0.25">
      <c r="A855" s="2" t="s">
        <v>889</v>
      </c>
      <c r="B855" s="2" t="s">
        <v>18</v>
      </c>
      <c r="C855" s="2" t="s">
        <v>33</v>
      </c>
      <c r="D855" s="2" t="s">
        <v>28</v>
      </c>
      <c r="E855" s="2">
        <v>627.89</v>
      </c>
      <c r="F855" s="2">
        <v>14.74</v>
      </c>
      <c r="G855" s="2">
        <v>23.17</v>
      </c>
      <c r="H855" s="2">
        <v>2</v>
      </c>
      <c r="I855" s="2">
        <v>0.6</v>
      </c>
      <c r="J855" s="2">
        <v>1</v>
      </c>
      <c r="K855" s="2" t="s">
        <v>21</v>
      </c>
      <c r="L855" s="2">
        <v>8.41</v>
      </c>
      <c r="M855" s="2" t="s">
        <v>37</v>
      </c>
      <c r="N855" s="2">
        <v>82.41</v>
      </c>
      <c r="O855" s="2" t="s">
        <v>23</v>
      </c>
      <c r="P855" s="2">
        <v>8.27</v>
      </c>
      <c r="Q855" s="2">
        <v>7.47</v>
      </c>
      <c r="R855" s="3">
        <f t="shared" si="65"/>
        <v>5192.6502999999993</v>
      </c>
      <c r="S855" s="3">
        <f t="shared" si="66"/>
        <v>4690.3382999999994</v>
      </c>
      <c r="T855" s="3">
        <f t="shared" si="67"/>
        <v>-502.3119999999999</v>
      </c>
      <c r="U855" s="4">
        <f t="shared" si="68"/>
        <v>-0.10709504685408298</v>
      </c>
      <c r="V855" s="5">
        <f t="shared" si="69"/>
        <v>52.805548999999999</v>
      </c>
    </row>
    <row r="856" spans="1:22" x14ac:dyDescent="0.25">
      <c r="A856" s="2" t="s">
        <v>890</v>
      </c>
      <c r="B856" s="2" t="s">
        <v>18</v>
      </c>
      <c r="C856" s="2" t="s">
        <v>33</v>
      </c>
      <c r="D856" s="2" t="s">
        <v>20</v>
      </c>
      <c r="E856" s="2">
        <v>404.77</v>
      </c>
      <c r="F856" s="2">
        <v>8.65</v>
      </c>
      <c r="G856" s="2">
        <v>36.25</v>
      </c>
      <c r="H856" s="2">
        <v>4.2</v>
      </c>
      <c r="I856" s="2">
        <v>1.5</v>
      </c>
      <c r="J856" s="2">
        <v>29</v>
      </c>
      <c r="K856" s="2" t="s">
        <v>21</v>
      </c>
      <c r="L856" s="2">
        <v>3.75</v>
      </c>
      <c r="M856" s="2" t="s">
        <v>37</v>
      </c>
      <c r="N856" s="2">
        <v>95.53</v>
      </c>
      <c r="O856" s="2" t="s">
        <v>24</v>
      </c>
      <c r="P856" s="2">
        <v>8.67</v>
      </c>
      <c r="Q856" s="2">
        <v>12.2</v>
      </c>
      <c r="R856" s="3">
        <f t="shared" si="65"/>
        <v>3509.3559</v>
      </c>
      <c r="S856" s="3">
        <f t="shared" si="66"/>
        <v>4938.1939999999995</v>
      </c>
      <c r="T856" s="3">
        <f t="shared" si="67"/>
        <v>1428.8380999999995</v>
      </c>
      <c r="U856" s="4">
        <f t="shared" si="68"/>
        <v>0.28934426229508187</v>
      </c>
      <c r="V856" s="5">
        <f t="shared" si="69"/>
        <v>15.178874999999998</v>
      </c>
    </row>
    <row r="857" spans="1:22" x14ac:dyDescent="0.25">
      <c r="A857" s="2" t="s">
        <v>891</v>
      </c>
      <c r="B857" s="2" t="s">
        <v>32</v>
      </c>
      <c r="C857" s="2" t="s">
        <v>43</v>
      </c>
      <c r="D857" s="2" t="s">
        <v>20</v>
      </c>
      <c r="E857" s="2">
        <v>432.3</v>
      </c>
      <c r="F857" s="2">
        <v>12.66</v>
      </c>
      <c r="G857" s="2">
        <v>22.65</v>
      </c>
      <c r="H857" s="2">
        <v>4.4000000000000004</v>
      </c>
      <c r="I857" s="2">
        <v>0.4</v>
      </c>
      <c r="J857" s="2">
        <v>11</v>
      </c>
      <c r="K857" s="2" t="s">
        <v>34</v>
      </c>
      <c r="L857" s="2">
        <v>2.15</v>
      </c>
      <c r="M857" s="2" t="s">
        <v>40</v>
      </c>
      <c r="N857" s="2">
        <v>70.52</v>
      </c>
      <c r="O857" s="2" t="s">
        <v>23</v>
      </c>
      <c r="P857" s="2">
        <v>3.78</v>
      </c>
      <c r="Q857" s="2">
        <v>7.47</v>
      </c>
      <c r="R857" s="3">
        <f t="shared" si="65"/>
        <v>1634.0940000000001</v>
      </c>
      <c r="S857" s="3">
        <f t="shared" si="66"/>
        <v>3229.2809999999999</v>
      </c>
      <c r="T857" s="3">
        <f t="shared" si="67"/>
        <v>1595.1869999999999</v>
      </c>
      <c r="U857" s="4">
        <f t="shared" si="68"/>
        <v>0.49397590361445781</v>
      </c>
      <c r="V857" s="5">
        <f t="shared" si="69"/>
        <v>9.2944499999999994</v>
      </c>
    </row>
    <row r="858" spans="1:22" x14ac:dyDescent="0.25">
      <c r="A858" s="2" t="s">
        <v>892</v>
      </c>
      <c r="B858" s="2" t="s">
        <v>18</v>
      </c>
      <c r="C858" s="2" t="s">
        <v>33</v>
      </c>
      <c r="D858" s="2" t="s">
        <v>28</v>
      </c>
      <c r="E858" s="2">
        <v>422.73</v>
      </c>
      <c r="F858" s="2">
        <v>10.4</v>
      </c>
      <c r="G858" s="2">
        <v>24.67</v>
      </c>
      <c r="H858" s="2">
        <v>6.3</v>
      </c>
      <c r="I858" s="2">
        <v>1</v>
      </c>
      <c r="J858" s="2">
        <v>14</v>
      </c>
      <c r="K858" s="2" t="s">
        <v>29</v>
      </c>
      <c r="L858" s="2">
        <v>5.74</v>
      </c>
      <c r="M858" s="2" t="s">
        <v>40</v>
      </c>
      <c r="N858" s="2">
        <v>76.88</v>
      </c>
      <c r="O858" s="2" t="s">
        <v>24</v>
      </c>
      <c r="P858" s="2">
        <v>3.29</v>
      </c>
      <c r="Q858" s="2">
        <v>7.15</v>
      </c>
      <c r="R858" s="3">
        <f t="shared" si="65"/>
        <v>1390.7817</v>
      </c>
      <c r="S858" s="3">
        <f t="shared" si="66"/>
        <v>3022.5195000000003</v>
      </c>
      <c r="T858" s="3">
        <f t="shared" si="67"/>
        <v>1631.7378000000003</v>
      </c>
      <c r="U858" s="4">
        <f t="shared" si="68"/>
        <v>0.53986013986013992</v>
      </c>
      <c r="V858" s="5">
        <f t="shared" si="69"/>
        <v>24.264702000000003</v>
      </c>
    </row>
    <row r="859" spans="1:22" x14ac:dyDescent="0.25">
      <c r="A859" s="2" t="s">
        <v>893</v>
      </c>
      <c r="B859" s="2" t="s">
        <v>18</v>
      </c>
      <c r="C859" s="2" t="s">
        <v>43</v>
      </c>
      <c r="D859" s="2" t="s">
        <v>28</v>
      </c>
      <c r="E859" s="2">
        <v>583.02</v>
      </c>
      <c r="F859" s="2">
        <v>12.7</v>
      </c>
      <c r="G859" s="2">
        <v>29.07</v>
      </c>
      <c r="H859" s="2">
        <v>4</v>
      </c>
      <c r="I859" s="2">
        <v>0.1</v>
      </c>
      <c r="J859" s="2">
        <v>10</v>
      </c>
      <c r="K859" s="2" t="s">
        <v>29</v>
      </c>
      <c r="L859" s="2">
        <v>9.48</v>
      </c>
      <c r="M859" s="2" t="s">
        <v>37</v>
      </c>
      <c r="N859" s="2">
        <v>63.41</v>
      </c>
      <c r="O859" s="2" t="s">
        <v>30</v>
      </c>
      <c r="P859" s="2">
        <v>5.34</v>
      </c>
      <c r="Q859" s="2">
        <v>10.47</v>
      </c>
      <c r="R859" s="3">
        <f t="shared" si="65"/>
        <v>3113.3267999999998</v>
      </c>
      <c r="S859" s="3">
        <f t="shared" si="66"/>
        <v>6104.2194</v>
      </c>
      <c r="T859" s="3">
        <f t="shared" si="67"/>
        <v>2990.8926000000001</v>
      </c>
      <c r="U859" s="4">
        <f t="shared" si="68"/>
        <v>0.48997134670487108</v>
      </c>
      <c r="V859" s="5">
        <f t="shared" si="69"/>
        <v>55.270296000000002</v>
      </c>
    </row>
    <row r="860" spans="1:22" x14ac:dyDescent="0.25">
      <c r="A860" s="2" t="s">
        <v>894</v>
      </c>
      <c r="B860" s="2" t="s">
        <v>45</v>
      </c>
      <c r="C860" s="2" t="s">
        <v>43</v>
      </c>
      <c r="D860" s="2" t="s">
        <v>28</v>
      </c>
      <c r="E860" s="2">
        <v>590.04</v>
      </c>
      <c r="F860" s="2">
        <v>12.55</v>
      </c>
      <c r="G860" s="2">
        <v>30.34</v>
      </c>
      <c r="H860" s="2">
        <v>0</v>
      </c>
      <c r="I860" s="2">
        <v>0.9</v>
      </c>
      <c r="J860" s="2">
        <v>19</v>
      </c>
      <c r="K860" s="2" t="s">
        <v>21</v>
      </c>
      <c r="L860" s="2">
        <v>5.42</v>
      </c>
      <c r="M860" s="2" t="s">
        <v>40</v>
      </c>
      <c r="N860" s="2">
        <v>64.33</v>
      </c>
      <c r="O860" s="2" t="s">
        <v>24</v>
      </c>
      <c r="P860" s="2">
        <v>7.38</v>
      </c>
      <c r="Q860" s="2">
        <v>11.79</v>
      </c>
      <c r="R860" s="3">
        <f t="shared" si="65"/>
        <v>4354.4951999999994</v>
      </c>
      <c r="S860" s="3">
        <f t="shared" si="66"/>
        <v>6956.5715999999993</v>
      </c>
      <c r="T860" s="3">
        <f t="shared" si="67"/>
        <v>2602.0763999999999</v>
      </c>
      <c r="U860" s="4">
        <f t="shared" si="68"/>
        <v>0.37404580152671757</v>
      </c>
      <c r="V860" s="5">
        <f t="shared" si="69"/>
        <v>31.980167999999999</v>
      </c>
    </row>
    <row r="861" spans="1:22" x14ac:dyDescent="0.25">
      <c r="A861" s="2" t="s">
        <v>895</v>
      </c>
      <c r="B861" s="2" t="s">
        <v>18</v>
      </c>
      <c r="C861" s="2" t="s">
        <v>19</v>
      </c>
      <c r="D861" s="2" t="s">
        <v>20</v>
      </c>
      <c r="E861" s="2">
        <v>545.12</v>
      </c>
      <c r="F861" s="2">
        <v>13.82</v>
      </c>
      <c r="G861" s="2">
        <v>35.270000000000003</v>
      </c>
      <c r="H861" s="2">
        <v>1</v>
      </c>
      <c r="I861" s="2">
        <v>0.2</v>
      </c>
      <c r="J861" s="2">
        <v>24</v>
      </c>
      <c r="K861" s="2" t="s">
        <v>29</v>
      </c>
      <c r="L861" s="2">
        <v>8.4</v>
      </c>
      <c r="M861" s="2" t="s">
        <v>22</v>
      </c>
      <c r="N861" s="2">
        <v>52.3</v>
      </c>
      <c r="O861" s="2" t="s">
        <v>30</v>
      </c>
      <c r="P861" s="2">
        <v>8.5500000000000007</v>
      </c>
      <c r="Q861" s="2">
        <v>5.53</v>
      </c>
      <c r="R861" s="3">
        <f t="shared" si="65"/>
        <v>4660.7760000000007</v>
      </c>
      <c r="S861" s="3">
        <f t="shared" si="66"/>
        <v>3014.5136000000002</v>
      </c>
      <c r="T861" s="3">
        <f t="shared" si="67"/>
        <v>-1646.2624000000005</v>
      </c>
      <c r="U861" s="4">
        <f t="shared" si="68"/>
        <v>-0.54611211573236906</v>
      </c>
      <c r="V861" s="5">
        <f t="shared" si="69"/>
        <v>45.790079999999996</v>
      </c>
    </row>
    <row r="862" spans="1:22" x14ac:dyDescent="0.25">
      <c r="A862" s="2" t="s">
        <v>896</v>
      </c>
      <c r="B862" s="2" t="s">
        <v>26</v>
      </c>
      <c r="C862" s="2" t="s">
        <v>19</v>
      </c>
      <c r="D862" s="2" t="s">
        <v>20</v>
      </c>
      <c r="E862" s="2">
        <v>618.35</v>
      </c>
      <c r="F862" s="2">
        <v>11.57</v>
      </c>
      <c r="G862" s="2">
        <v>28.95</v>
      </c>
      <c r="H862" s="2">
        <v>3.4</v>
      </c>
      <c r="I862" s="2">
        <v>1.8</v>
      </c>
      <c r="J862" s="2">
        <v>21</v>
      </c>
      <c r="K862" s="2" t="s">
        <v>21</v>
      </c>
      <c r="L862" s="2">
        <v>7.69</v>
      </c>
      <c r="M862" s="2" t="s">
        <v>40</v>
      </c>
      <c r="N862" s="2">
        <v>64.3</v>
      </c>
      <c r="O862" s="2" t="s">
        <v>24</v>
      </c>
      <c r="P862" s="2">
        <v>6.82</v>
      </c>
      <c r="Q862" s="2">
        <v>5.6</v>
      </c>
      <c r="R862" s="3">
        <f t="shared" si="65"/>
        <v>4217.1469999999999</v>
      </c>
      <c r="S862" s="3">
        <f t="shared" si="66"/>
        <v>3462.7599999999998</v>
      </c>
      <c r="T862" s="3">
        <f t="shared" si="67"/>
        <v>-754.38700000000017</v>
      </c>
      <c r="U862" s="4">
        <f t="shared" si="68"/>
        <v>-0.21785714285714292</v>
      </c>
      <c r="V862" s="5">
        <f t="shared" si="69"/>
        <v>47.551115000000003</v>
      </c>
    </row>
    <row r="863" spans="1:22" x14ac:dyDescent="0.25">
      <c r="A863" s="2" t="s">
        <v>897</v>
      </c>
      <c r="B863" s="2" t="s">
        <v>32</v>
      </c>
      <c r="C863" s="2" t="s">
        <v>27</v>
      </c>
      <c r="D863" s="2" t="s">
        <v>20</v>
      </c>
      <c r="E863" s="2">
        <v>382.2</v>
      </c>
      <c r="F863" s="2">
        <v>9.64</v>
      </c>
      <c r="G863" s="2">
        <v>35.799999999999997</v>
      </c>
      <c r="H863" s="2">
        <v>0.9</v>
      </c>
      <c r="I863" s="2">
        <v>0.4</v>
      </c>
      <c r="J863" s="2">
        <v>16</v>
      </c>
      <c r="K863" s="2" t="s">
        <v>34</v>
      </c>
      <c r="L863" s="2">
        <v>5.42</v>
      </c>
      <c r="M863" s="2" t="s">
        <v>22</v>
      </c>
      <c r="N863" s="2">
        <v>53.19</v>
      </c>
      <c r="O863" s="2" t="s">
        <v>23</v>
      </c>
      <c r="P863" s="2">
        <v>7.07</v>
      </c>
      <c r="Q863" s="2">
        <v>12.84</v>
      </c>
      <c r="R863" s="3">
        <f t="shared" si="65"/>
        <v>2702.154</v>
      </c>
      <c r="S863" s="3">
        <f t="shared" si="66"/>
        <v>4907.4479999999994</v>
      </c>
      <c r="T863" s="3">
        <f t="shared" si="67"/>
        <v>2205.2939999999994</v>
      </c>
      <c r="U863" s="4">
        <f t="shared" si="68"/>
        <v>0.44937694704049835</v>
      </c>
      <c r="V863" s="5">
        <f t="shared" si="69"/>
        <v>20.715239999999998</v>
      </c>
    </row>
    <row r="864" spans="1:22" x14ac:dyDescent="0.25">
      <c r="A864" s="2" t="s">
        <v>898</v>
      </c>
      <c r="B864" s="2" t="s">
        <v>45</v>
      </c>
      <c r="C864" s="2" t="s">
        <v>19</v>
      </c>
      <c r="D864" s="2" t="s">
        <v>20</v>
      </c>
      <c r="E864" s="2">
        <v>666.72</v>
      </c>
      <c r="F864" s="2">
        <v>13.04</v>
      </c>
      <c r="G864" s="2">
        <v>32.369999999999997</v>
      </c>
      <c r="H864" s="2">
        <v>1.8</v>
      </c>
      <c r="I864" s="2">
        <v>0.3</v>
      </c>
      <c r="J864" s="2">
        <v>8</v>
      </c>
      <c r="K864" s="2" t="s">
        <v>34</v>
      </c>
      <c r="L864" s="2">
        <v>6.65</v>
      </c>
      <c r="M864" s="2" t="s">
        <v>40</v>
      </c>
      <c r="N864" s="2">
        <v>98.2</v>
      </c>
      <c r="O864" s="2" t="s">
        <v>24</v>
      </c>
      <c r="P864" s="2">
        <v>8.6</v>
      </c>
      <c r="Q864" s="2">
        <v>13.59</v>
      </c>
      <c r="R864" s="3">
        <f t="shared" si="65"/>
        <v>5733.7920000000004</v>
      </c>
      <c r="S864" s="3">
        <f t="shared" si="66"/>
        <v>9060.7248</v>
      </c>
      <c r="T864" s="3">
        <f t="shared" si="67"/>
        <v>3326.9327999999996</v>
      </c>
      <c r="U864" s="4">
        <f t="shared" si="68"/>
        <v>0.36718175128771152</v>
      </c>
      <c r="V864" s="5">
        <f t="shared" si="69"/>
        <v>44.336880000000001</v>
      </c>
    </row>
    <row r="865" spans="1:22" x14ac:dyDescent="0.25">
      <c r="A865" s="2" t="s">
        <v>899</v>
      </c>
      <c r="B865" s="2" t="s">
        <v>45</v>
      </c>
      <c r="C865" s="2" t="s">
        <v>19</v>
      </c>
      <c r="D865" s="2" t="s">
        <v>28</v>
      </c>
      <c r="E865" s="2">
        <v>652.32000000000005</v>
      </c>
      <c r="F865" s="2">
        <v>16.3</v>
      </c>
      <c r="G865" s="2">
        <v>22.26</v>
      </c>
      <c r="H865" s="2">
        <v>1.9</v>
      </c>
      <c r="I865" s="2">
        <v>1.8</v>
      </c>
      <c r="J865" s="2">
        <v>2</v>
      </c>
      <c r="K865" s="2" t="s">
        <v>34</v>
      </c>
      <c r="L865" s="2">
        <v>4.3600000000000003</v>
      </c>
      <c r="M865" s="2" t="s">
        <v>22</v>
      </c>
      <c r="N865" s="2">
        <v>81.209999999999994</v>
      </c>
      <c r="O865" s="2" t="s">
        <v>23</v>
      </c>
      <c r="P865" s="2">
        <v>6.7</v>
      </c>
      <c r="Q865" s="2">
        <v>11.04</v>
      </c>
      <c r="R865" s="3">
        <f t="shared" si="65"/>
        <v>4370.5440000000008</v>
      </c>
      <c r="S865" s="3">
        <f t="shared" si="66"/>
        <v>7201.6127999999999</v>
      </c>
      <c r="T865" s="3">
        <f t="shared" si="67"/>
        <v>2831.0687999999991</v>
      </c>
      <c r="U865" s="4">
        <f t="shared" si="68"/>
        <v>0.39311594202898537</v>
      </c>
      <c r="V865" s="5">
        <f t="shared" si="69"/>
        <v>28.441152000000006</v>
      </c>
    </row>
    <row r="866" spans="1:22" x14ac:dyDescent="0.25">
      <c r="A866" s="2" t="s">
        <v>900</v>
      </c>
      <c r="B866" s="2" t="s">
        <v>26</v>
      </c>
      <c r="C866" s="2" t="s">
        <v>33</v>
      </c>
      <c r="D866" s="2" t="s">
        <v>28</v>
      </c>
      <c r="E866" s="2">
        <v>573.55999999999995</v>
      </c>
      <c r="F866" s="2">
        <v>14.64</v>
      </c>
      <c r="G866" s="2">
        <v>23.13</v>
      </c>
      <c r="H866" s="2">
        <v>0.9</v>
      </c>
      <c r="I866" s="2">
        <v>0.1</v>
      </c>
      <c r="J866" s="2">
        <v>23</v>
      </c>
      <c r="K866" s="2" t="s">
        <v>21</v>
      </c>
      <c r="L866" s="2">
        <v>5.54</v>
      </c>
      <c r="M866" s="2" t="s">
        <v>22</v>
      </c>
      <c r="N866" s="2">
        <v>58.66</v>
      </c>
      <c r="O866" s="2" t="s">
        <v>23</v>
      </c>
      <c r="P866" s="2">
        <v>7.28</v>
      </c>
      <c r="Q866" s="2">
        <v>9.2899999999999991</v>
      </c>
      <c r="R866" s="3">
        <f t="shared" si="65"/>
        <v>4175.5167999999994</v>
      </c>
      <c r="S866" s="3">
        <f t="shared" si="66"/>
        <v>5328.3723999999993</v>
      </c>
      <c r="T866" s="3">
        <f t="shared" si="67"/>
        <v>1152.8555999999999</v>
      </c>
      <c r="U866" s="4">
        <f t="shared" si="68"/>
        <v>0.2163616792249731</v>
      </c>
      <c r="V866" s="5">
        <f t="shared" si="69"/>
        <v>31.775223999999998</v>
      </c>
    </row>
    <row r="867" spans="1:22" x14ac:dyDescent="0.25">
      <c r="A867" s="2" t="s">
        <v>901</v>
      </c>
      <c r="B867" s="2" t="s">
        <v>32</v>
      </c>
      <c r="C867" s="2" t="s">
        <v>19</v>
      </c>
      <c r="D867" s="2" t="s">
        <v>28</v>
      </c>
      <c r="E867" s="2">
        <v>678.18</v>
      </c>
      <c r="F867" s="2">
        <v>11.38</v>
      </c>
      <c r="G867" s="2">
        <v>28.74</v>
      </c>
      <c r="H867" s="2">
        <v>4.7</v>
      </c>
      <c r="I867" s="2">
        <v>0.5</v>
      </c>
      <c r="J867" s="2">
        <v>25</v>
      </c>
      <c r="K867" s="2" t="s">
        <v>29</v>
      </c>
      <c r="L867" s="2">
        <v>5.32</v>
      </c>
      <c r="M867" s="2" t="s">
        <v>37</v>
      </c>
      <c r="N867" s="2">
        <v>55.84</v>
      </c>
      <c r="O867" s="2" t="s">
        <v>30</v>
      </c>
      <c r="P867" s="2">
        <v>6.61</v>
      </c>
      <c r="Q867" s="2">
        <v>13.45</v>
      </c>
      <c r="R867" s="3">
        <f t="shared" si="65"/>
        <v>4482.7698</v>
      </c>
      <c r="S867" s="3">
        <f t="shared" si="66"/>
        <v>9121.5209999999988</v>
      </c>
      <c r="T867" s="3">
        <f t="shared" si="67"/>
        <v>4638.7511999999988</v>
      </c>
      <c r="U867" s="4">
        <f t="shared" si="68"/>
        <v>0.5085501858736059</v>
      </c>
      <c r="V867" s="5">
        <f t="shared" si="69"/>
        <v>36.079175999999997</v>
      </c>
    </row>
    <row r="868" spans="1:22" x14ac:dyDescent="0.25">
      <c r="A868" s="2" t="s">
        <v>902</v>
      </c>
      <c r="B868" s="2" t="s">
        <v>32</v>
      </c>
      <c r="C868" s="2" t="s">
        <v>27</v>
      </c>
      <c r="D868" s="2" t="s">
        <v>28</v>
      </c>
      <c r="E868" s="2">
        <v>334.34</v>
      </c>
      <c r="F868" s="2">
        <v>17.36</v>
      </c>
      <c r="G868" s="2">
        <v>27.94</v>
      </c>
      <c r="H868" s="2">
        <v>1.4</v>
      </c>
      <c r="I868" s="2">
        <v>0.5</v>
      </c>
      <c r="J868" s="2">
        <v>7</v>
      </c>
      <c r="K868" s="2" t="s">
        <v>34</v>
      </c>
      <c r="L868" s="2">
        <v>7.24</v>
      </c>
      <c r="M868" s="2" t="s">
        <v>40</v>
      </c>
      <c r="N868" s="2">
        <v>68.510000000000005</v>
      </c>
      <c r="O868" s="2" t="s">
        <v>24</v>
      </c>
      <c r="P868" s="2">
        <v>9.16</v>
      </c>
      <c r="Q868" s="2">
        <v>12.29</v>
      </c>
      <c r="R868" s="3">
        <f t="shared" si="65"/>
        <v>3062.5544</v>
      </c>
      <c r="S868" s="3">
        <f t="shared" si="66"/>
        <v>4109.0385999999999</v>
      </c>
      <c r="T868" s="3">
        <f t="shared" si="67"/>
        <v>1046.4841999999999</v>
      </c>
      <c r="U868" s="4">
        <f t="shared" si="68"/>
        <v>0.25467860048820179</v>
      </c>
      <c r="V868" s="5">
        <f t="shared" si="69"/>
        <v>24.206215999999998</v>
      </c>
    </row>
    <row r="869" spans="1:22" x14ac:dyDescent="0.25">
      <c r="A869" s="2" t="s">
        <v>903</v>
      </c>
      <c r="B869" s="2" t="s">
        <v>45</v>
      </c>
      <c r="C869" s="2" t="s">
        <v>33</v>
      </c>
      <c r="D869" s="2" t="s">
        <v>28</v>
      </c>
      <c r="E869" s="2">
        <v>447.56</v>
      </c>
      <c r="F869" s="2">
        <v>17.12</v>
      </c>
      <c r="G869" s="2">
        <v>34.869999999999997</v>
      </c>
      <c r="H869" s="2">
        <v>1.3</v>
      </c>
      <c r="I869" s="2">
        <v>0.3</v>
      </c>
      <c r="J869" s="2">
        <v>19</v>
      </c>
      <c r="K869" s="2" t="s">
        <v>21</v>
      </c>
      <c r="L869" s="2">
        <v>4.3899999999999997</v>
      </c>
      <c r="M869" s="2" t="s">
        <v>40</v>
      </c>
      <c r="N869" s="2">
        <v>65.38</v>
      </c>
      <c r="O869" s="2" t="s">
        <v>23</v>
      </c>
      <c r="P869" s="2">
        <v>4.6500000000000004</v>
      </c>
      <c r="Q869" s="2">
        <v>10.8</v>
      </c>
      <c r="R869" s="3">
        <f t="shared" si="65"/>
        <v>2081.154</v>
      </c>
      <c r="S869" s="3">
        <f t="shared" si="66"/>
        <v>4833.6480000000001</v>
      </c>
      <c r="T869" s="3">
        <f t="shared" si="67"/>
        <v>2752.4940000000001</v>
      </c>
      <c r="U869" s="4">
        <f t="shared" si="68"/>
        <v>0.56944444444444442</v>
      </c>
      <c r="V869" s="5">
        <f t="shared" si="69"/>
        <v>19.647883999999998</v>
      </c>
    </row>
    <row r="870" spans="1:22" x14ac:dyDescent="0.25">
      <c r="A870" s="2" t="s">
        <v>904</v>
      </c>
      <c r="B870" s="2" t="s">
        <v>18</v>
      </c>
      <c r="C870" s="2" t="s">
        <v>27</v>
      </c>
      <c r="D870" s="2" t="s">
        <v>28</v>
      </c>
      <c r="E870" s="2">
        <v>426.47</v>
      </c>
      <c r="F870" s="2">
        <v>10.09</v>
      </c>
      <c r="G870" s="2">
        <v>31.61</v>
      </c>
      <c r="H870" s="2">
        <v>12</v>
      </c>
      <c r="I870" s="2">
        <v>2.4</v>
      </c>
      <c r="J870" s="2">
        <v>7</v>
      </c>
      <c r="K870" s="2" t="s">
        <v>29</v>
      </c>
      <c r="L870" s="2">
        <v>1.45</v>
      </c>
      <c r="M870" s="2" t="s">
        <v>40</v>
      </c>
      <c r="N870" s="2">
        <v>63.96</v>
      </c>
      <c r="O870" s="2" t="s">
        <v>24</v>
      </c>
      <c r="P870" s="2">
        <v>4.8499999999999996</v>
      </c>
      <c r="Q870" s="2">
        <v>8.1999999999999993</v>
      </c>
      <c r="R870" s="3">
        <f t="shared" si="65"/>
        <v>2068.3795</v>
      </c>
      <c r="S870" s="3">
        <f t="shared" si="66"/>
        <v>3497.0540000000001</v>
      </c>
      <c r="T870" s="3">
        <f t="shared" si="67"/>
        <v>1428.6745000000001</v>
      </c>
      <c r="U870" s="4">
        <f t="shared" si="68"/>
        <v>0.40853658536585369</v>
      </c>
      <c r="V870" s="5">
        <f t="shared" si="69"/>
        <v>6.1838150000000009</v>
      </c>
    </row>
    <row r="871" spans="1:22" x14ac:dyDescent="0.25">
      <c r="A871" s="2" t="s">
        <v>905</v>
      </c>
      <c r="B871" s="2" t="s">
        <v>45</v>
      </c>
      <c r="C871" s="2" t="s">
        <v>19</v>
      </c>
      <c r="D871" s="2" t="s">
        <v>20</v>
      </c>
      <c r="E871" s="2">
        <v>572.15</v>
      </c>
      <c r="F871" s="2">
        <v>8.39</v>
      </c>
      <c r="G871" s="2">
        <v>27.76</v>
      </c>
      <c r="H871" s="2">
        <v>1.4</v>
      </c>
      <c r="I871" s="2">
        <v>1.4</v>
      </c>
      <c r="J871" s="2">
        <v>15</v>
      </c>
      <c r="K871" s="2" t="s">
        <v>29</v>
      </c>
      <c r="L871" s="2">
        <v>7.99</v>
      </c>
      <c r="M871" s="2" t="s">
        <v>22</v>
      </c>
      <c r="N871" s="2">
        <v>73.41</v>
      </c>
      <c r="O871" s="2" t="s">
        <v>30</v>
      </c>
      <c r="P871" s="2">
        <v>3.9</v>
      </c>
      <c r="Q871" s="2">
        <v>6.98</v>
      </c>
      <c r="R871" s="3">
        <f t="shared" si="65"/>
        <v>2231.3849999999998</v>
      </c>
      <c r="S871" s="3">
        <f t="shared" si="66"/>
        <v>3993.607</v>
      </c>
      <c r="T871" s="3">
        <f t="shared" si="67"/>
        <v>1762.2220000000002</v>
      </c>
      <c r="U871" s="4">
        <f t="shared" si="68"/>
        <v>0.44126074498567341</v>
      </c>
      <c r="V871" s="5">
        <f t="shared" si="69"/>
        <v>45.714784999999999</v>
      </c>
    </row>
    <row r="872" spans="1:22" x14ac:dyDescent="0.25">
      <c r="A872" s="2" t="s">
        <v>906</v>
      </c>
      <c r="B872" s="2" t="s">
        <v>32</v>
      </c>
      <c r="C872" s="2" t="s">
        <v>27</v>
      </c>
      <c r="D872" s="2" t="s">
        <v>20</v>
      </c>
      <c r="E872" s="2">
        <v>394.99</v>
      </c>
      <c r="F872" s="2">
        <v>15.41</v>
      </c>
      <c r="G872" s="2">
        <v>23.42</v>
      </c>
      <c r="H872" s="2">
        <v>0.4</v>
      </c>
      <c r="I872" s="2">
        <v>0.1</v>
      </c>
      <c r="J872" s="2">
        <v>8</v>
      </c>
      <c r="K872" s="2" t="s">
        <v>29</v>
      </c>
      <c r="L872" s="2">
        <v>7.01</v>
      </c>
      <c r="M872" s="2" t="s">
        <v>37</v>
      </c>
      <c r="N872" s="2">
        <v>95.64</v>
      </c>
      <c r="O872" s="2" t="s">
        <v>30</v>
      </c>
      <c r="P872" s="2">
        <v>8.74</v>
      </c>
      <c r="Q872" s="2">
        <v>9.19</v>
      </c>
      <c r="R872" s="3">
        <f t="shared" si="65"/>
        <v>3452.2126000000003</v>
      </c>
      <c r="S872" s="3">
        <f t="shared" si="66"/>
        <v>3629.9580999999998</v>
      </c>
      <c r="T872" s="3">
        <f t="shared" si="67"/>
        <v>177.74549999999954</v>
      </c>
      <c r="U872" s="4">
        <f t="shared" si="68"/>
        <v>4.8966267682263205E-2</v>
      </c>
      <c r="V872" s="5">
        <f t="shared" si="69"/>
        <v>27.688798999999999</v>
      </c>
    </row>
    <row r="873" spans="1:22" x14ac:dyDescent="0.25">
      <c r="A873" s="2" t="s">
        <v>907</v>
      </c>
      <c r="B873" s="2" t="s">
        <v>26</v>
      </c>
      <c r="C873" s="2" t="s">
        <v>33</v>
      </c>
      <c r="D873" s="2" t="s">
        <v>28</v>
      </c>
      <c r="E873" s="2">
        <v>575.75</v>
      </c>
      <c r="F873" s="2">
        <v>16.28</v>
      </c>
      <c r="G873" s="2">
        <v>24.54</v>
      </c>
      <c r="H873" s="2">
        <v>1.4</v>
      </c>
      <c r="I873" s="2">
        <v>1.3</v>
      </c>
      <c r="J873" s="2">
        <v>14</v>
      </c>
      <c r="K873" s="2" t="s">
        <v>21</v>
      </c>
      <c r="L873" s="2">
        <v>9.5299999999999994</v>
      </c>
      <c r="M873" s="2" t="s">
        <v>40</v>
      </c>
      <c r="N873" s="2">
        <v>78.400000000000006</v>
      </c>
      <c r="O873" s="2" t="s">
        <v>24</v>
      </c>
      <c r="P873" s="2">
        <v>5.88</v>
      </c>
      <c r="Q873" s="2">
        <v>7.87</v>
      </c>
      <c r="R873" s="3">
        <f t="shared" si="65"/>
        <v>3385.41</v>
      </c>
      <c r="S873" s="3">
        <f t="shared" si="66"/>
        <v>4531.1525000000001</v>
      </c>
      <c r="T873" s="3">
        <f t="shared" si="67"/>
        <v>1145.7425000000003</v>
      </c>
      <c r="U873" s="4">
        <f t="shared" si="68"/>
        <v>0.25285895806861503</v>
      </c>
      <c r="V873" s="5">
        <f t="shared" si="69"/>
        <v>54.868974999999999</v>
      </c>
    </row>
    <row r="874" spans="1:22" x14ac:dyDescent="0.25">
      <c r="A874" s="2" t="s">
        <v>908</v>
      </c>
      <c r="B874" s="2" t="s">
        <v>45</v>
      </c>
      <c r="C874" s="2" t="s">
        <v>43</v>
      </c>
      <c r="D874" s="2" t="s">
        <v>28</v>
      </c>
      <c r="E874" s="2">
        <v>637.04999999999995</v>
      </c>
      <c r="F874" s="2">
        <v>17.68</v>
      </c>
      <c r="G874" s="2">
        <v>31.51</v>
      </c>
      <c r="H874" s="2">
        <v>3.4</v>
      </c>
      <c r="I874" s="2">
        <v>0.7</v>
      </c>
      <c r="J874" s="2">
        <v>1</v>
      </c>
      <c r="K874" s="2" t="s">
        <v>21</v>
      </c>
      <c r="L874" s="2">
        <v>4.57</v>
      </c>
      <c r="M874" s="2" t="s">
        <v>37</v>
      </c>
      <c r="N874" s="2">
        <v>76.06</v>
      </c>
      <c r="O874" s="2" t="s">
        <v>23</v>
      </c>
      <c r="P874" s="2">
        <v>5.44</v>
      </c>
      <c r="Q874" s="2">
        <v>8.39</v>
      </c>
      <c r="R874" s="3">
        <f t="shared" si="65"/>
        <v>3465.5520000000001</v>
      </c>
      <c r="S874" s="3">
        <f t="shared" si="66"/>
        <v>5344.8495000000003</v>
      </c>
      <c r="T874" s="3">
        <f t="shared" si="67"/>
        <v>1879.2975000000001</v>
      </c>
      <c r="U874" s="4">
        <f t="shared" si="68"/>
        <v>0.35160905840286055</v>
      </c>
      <c r="V874" s="5">
        <f t="shared" si="69"/>
        <v>29.113184999999998</v>
      </c>
    </row>
    <row r="875" spans="1:22" x14ac:dyDescent="0.25">
      <c r="A875" s="2" t="s">
        <v>909</v>
      </c>
      <c r="B875" s="2" t="s">
        <v>32</v>
      </c>
      <c r="C875" s="2" t="s">
        <v>27</v>
      </c>
      <c r="D875" s="2" t="s">
        <v>20</v>
      </c>
      <c r="E875" s="2">
        <v>569.52</v>
      </c>
      <c r="F875" s="2">
        <v>16.899999999999999</v>
      </c>
      <c r="G875" s="2">
        <v>28.47</v>
      </c>
      <c r="H875" s="2">
        <v>3</v>
      </c>
      <c r="I875" s="2">
        <v>2.2999999999999998</v>
      </c>
      <c r="J875" s="2">
        <v>29</v>
      </c>
      <c r="K875" s="2" t="s">
        <v>21</v>
      </c>
      <c r="L875" s="2">
        <v>1.24</v>
      </c>
      <c r="M875" s="2" t="s">
        <v>37</v>
      </c>
      <c r="N875" s="2">
        <v>90.33</v>
      </c>
      <c r="O875" s="2" t="s">
        <v>23</v>
      </c>
      <c r="P875" s="2">
        <v>9.8699999999999992</v>
      </c>
      <c r="Q875" s="2">
        <v>10.16</v>
      </c>
      <c r="R875" s="3">
        <f t="shared" si="65"/>
        <v>5621.1623999999993</v>
      </c>
      <c r="S875" s="3">
        <f t="shared" si="66"/>
        <v>5786.3231999999998</v>
      </c>
      <c r="T875" s="3">
        <f t="shared" si="67"/>
        <v>165.16080000000056</v>
      </c>
      <c r="U875" s="4">
        <f t="shared" si="68"/>
        <v>2.8543307086614272E-2</v>
      </c>
      <c r="V875" s="5">
        <f t="shared" si="69"/>
        <v>7.0620479999999999</v>
      </c>
    </row>
    <row r="876" spans="1:22" x14ac:dyDescent="0.25">
      <c r="A876" s="2" t="s">
        <v>910</v>
      </c>
      <c r="B876" s="2" t="s">
        <v>45</v>
      </c>
      <c r="C876" s="2" t="s">
        <v>27</v>
      </c>
      <c r="D876" s="2" t="s">
        <v>20</v>
      </c>
      <c r="E876" s="2">
        <v>528.38</v>
      </c>
      <c r="F876" s="2">
        <v>14.01</v>
      </c>
      <c r="G876" s="2">
        <v>30.3</v>
      </c>
      <c r="H876" s="2">
        <v>3.1</v>
      </c>
      <c r="I876" s="2">
        <v>0.4</v>
      </c>
      <c r="J876" s="2">
        <v>13</v>
      </c>
      <c r="K876" s="2" t="s">
        <v>34</v>
      </c>
      <c r="L876" s="2">
        <v>1.66</v>
      </c>
      <c r="M876" s="2" t="s">
        <v>22</v>
      </c>
      <c r="N876" s="2">
        <v>50.2</v>
      </c>
      <c r="O876" s="2" t="s">
        <v>23</v>
      </c>
      <c r="P876" s="2">
        <v>9.49</v>
      </c>
      <c r="Q876" s="2">
        <v>6.69</v>
      </c>
      <c r="R876" s="3">
        <f t="shared" si="65"/>
        <v>5014.3262000000004</v>
      </c>
      <c r="S876" s="3">
        <f t="shared" si="66"/>
        <v>3534.8622</v>
      </c>
      <c r="T876" s="3">
        <f t="shared" si="67"/>
        <v>-1479.4640000000004</v>
      </c>
      <c r="U876" s="4">
        <f t="shared" si="68"/>
        <v>-0.41853512705530654</v>
      </c>
      <c r="V876" s="5">
        <f t="shared" si="69"/>
        <v>8.7711079999999999</v>
      </c>
    </row>
    <row r="877" spans="1:22" x14ac:dyDescent="0.25">
      <c r="A877" s="2" t="s">
        <v>911</v>
      </c>
      <c r="B877" s="2" t="s">
        <v>18</v>
      </c>
      <c r="C877" s="2" t="s">
        <v>33</v>
      </c>
      <c r="D877" s="2" t="s">
        <v>20</v>
      </c>
      <c r="E877" s="2">
        <v>401.21</v>
      </c>
      <c r="F877" s="2">
        <v>13.3</v>
      </c>
      <c r="G877" s="2">
        <v>23.41</v>
      </c>
      <c r="H877" s="2">
        <v>2.5</v>
      </c>
      <c r="I877" s="2">
        <v>0.9</v>
      </c>
      <c r="J877" s="2">
        <v>3</v>
      </c>
      <c r="K877" s="2" t="s">
        <v>21</v>
      </c>
      <c r="L877" s="2">
        <v>7.85</v>
      </c>
      <c r="M877" s="2" t="s">
        <v>40</v>
      </c>
      <c r="N877" s="2">
        <v>59.87</v>
      </c>
      <c r="O877" s="2" t="s">
        <v>24</v>
      </c>
      <c r="P877" s="2">
        <v>9.8000000000000007</v>
      </c>
      <c r="Q877" s="2">
        <v>13.06</v>
      </c>
      <c r="R877" s="3">
        <f t="shared" si="65"/>
        <v>3931.8580000000002</v>
      </c>
      <c r="S877" s="3">
        <f t="shared" si="66"/>
        <v>5239.8026</v>
      </c>
      <c r="T877" s="3">
        <f t="shared" si="67"/>
        <v>1307.9445999999998</v>
      </c>
      <c r="U877" s="4">
        <f t="shared" si="68"/>
        <v>0.24961715160796322</v>
      </c>
      <c r="V877" s="5">
        <f t="shared" si="69"/>
        <v>31.494984999999996</v>
      </c>
    </row>
    <row r="878" spans="1:22" x14ac:dyDescent="0.25">
      <c r="A878" s="2" t="s">
        <v>912</v>
      </c>
      <c r="B878" s="2" t="s">
        <v>45</v>
      </c>
      <c r="C878" s="2" t="s">
        <v>33</v>
      </c>
      <c r="D878" s="2" t="s">
        <v>20</v>
      </c>
      <c r="E878" s="2">
        <v>415.31</v>
      </c>
      <c r="F878" s="2">
        <v>8.2799999999999994</v>
      </c>
      <c r="G878" s="2">
        <v>33.26</v>
      </c>
      <c r="H878" s="2">
        <v>0.6</v>
      </c>
      <c r="I878" s="2">
        <v>0.7</v>
      </c>
      <c r="J878" s="2">
        <v>21</v>
      </c>
      <c r="K878" s="2" t="s">
        <v>34</v>
      </c>
      <c r="L878" s="2">
        <v>1.1399999999999999</v>
      </c>
      <c r="M878" s="2" t="s">
        <v>37</v>
      </c>
      <c r="N878" s="2">
        <v>74.81</v>
      </c>
      <c r="O878" s="2" t="s">
        <v>23</v>
      </c>
      <c r="P878" s="2">
        <v>4</v>
      </c>
      <c r="Q878" s="2">
        <v>6.46</v>
      </c>
      <c r="R878" s="3">
        <f t="shared" si="65"/>
        <v>1661.24</v>
      </c>
      <c r="S878" s="3">
        <f t="shared" si="66"/>
        <v>2682.9025999999999</v>
      </c>
      <c r="T878" s="3">
        <f t="shared" si="67"/>
        <v>1021.6625999999999</v>
      </c>
      <c r="U878" s="4">
        <f t="shared" si="68"/>
        <v>0.38080495356037147</v>
      </c>
      <c r="V878" s="5">
        <f t="shared" si="69"/>
        <v>4.734534</v>
      </c>
    </row>
    <row r="879" spans="1:22" x14ac:dyDescent="0.25">
      <c r="A879" s="2" t="s">
        <v>913</v>
      </c>
      <c r="B879" s="2" t="s">
        <v>45</v>
      </c>
      <c r="C879" s="2" t="s">
        <v>27</v>
      </c>
      <c r="D879" s="2" t="s">
        <v>28</v>
      </c>
      <c r="E879" s="2">
        <v>624.96</v>
      </c>
      <c r="F879" s="2">
        <v>10.47</v>
      </c>
      <c r="G879" s="2">
        <v>37.049999999999997</v>
      </c>
      <c r="H879" s="2">
        <v>4</v>
      </c>
      <c r="I879" s="2">
        <v>0.7</v>
      </c>
      <c r="J879" s="2">
        <v>28</v>
      </c>
      <c r="K879" s="2" t="s">
        <v>34</v>
      </c>
      <c r="L879" s="2">
        <v>9.1199999999999992</v>
      </c>
      <c r="M879" s="2" t="s">
        <v>40</v>
      </c>
      <c r="N879" s="2">
        <v>85.27</v>
      </c>
      <c r="O879" s="2" t="s">
        <v>23</v>
      </c>
      <c r="P879" s="2">
        <v>9.24</v>
      </c>
      <c r="Q879" s="2">
        <v>9.81</v>
      </c>
      <c r="R879" s="3">
        <f t="shared" si="65"/>
        <v>5774.6304000000009</v>
      </c>
      <c r="S879" s="3">
        <f t="shared" si="66"/>
        <v>6130.8576000000003</v>
      </c>
      <c r="T879" s="3">
        <f t="shared" si="67"/>
        <v>356.22719999999936</v>
      </c>
      <c r="U879" s="4">
        <f t="shared" si="68"/>
        <v>5.8103975535168086E-2</v>
      </c>
      <c r="V879" s="5">
        <f t="shared" si="69"/>
        <v>56.996351999999995</v>
      </c>
    </row>
    <row r="880" spans="1:22" x14ac:dyDescent="0.25">
      <c r="A880" s="2" t="s">
        <v>914</v>
      </c>
      <c r="B880" s="2" t="s">
        <v>32</v>
      </c>
      <c r="C880" s="2" t="s">
        <v>19</v>
      </c>
      <c r="D880" s="2" t="s">
        <v>28</v>
      </c>
      <c r="E880" s="2">
        <v>577.92999999999995</v>
      </c>
      <c r="F880" s="2">
        <v>12.6</v>
      </c>
      <c r="G880" s="2">
        <v>25.16</v>
      </c>
      <c r="H880" s="2">
        <v>4.5</v>
      </c>
      <c r="I880" s="2">
        <v>0.6</v>
      </c>
      <c r="J880" s="2">
        <v>6</v>
      </c>
      <c r="K880" s="2" t="s">
        <v>34</v>
      </c>
      <c r="L880" s="2">
        <v>3.18</v>
      </c>
      <c r="M880" s="2" t="s">
        <v>40</v>
      </c>
      <c r="N880" s="2">
        <v>74.25</v>
      </c>
      <c r="O880" s="2" t="s">
        <v>23</v>
      </c>
      <c r="P880" s="2">
        <v>5.3</v>
      </c>
      <c r="Q880" s="2">
        <v>12.46</v>
      </c>
      <c r="R880" s="3">
        <f t="shared" si="65"/>
        <v>3063.0289999999995</v>
      </c>
      <c r="S880" s="3">
        <f t="shared" si="66"/>
        <v>7201.0078000000003</v>
      </c>
      <c r="T880" s="3">
        <f t="shared" si="67"/>
        <v>4137.9788000000008</v>
      </c>
      <c r="U880" s="4">
        <f t="shared" si="68"/>
        <v>0.57463884430176571</v>
      </c>
      <c r="V880" s="5">
        <f t="shared" si="69"/>
        <v>18.378173999999998</v>
      </c>
    </row>
    <row r="881" spans="1:22" x14ac:dyDescent="0.25">
      <c r="A881" s="2" t="s">
        <v>915</v>
      </c>
      <c r="B881" s="2" t="s">
        <v>32</v>
      </c>
      <c r="C881" s="2" t="s">
        <v>27</v>
      </c>
      <c r="D881" s="2" t="s">
        <v>28</v>
      </c>
      <c r="E881" s="2">
        <v>496.1</v>
      </c>
      <c r="F881" s="2">
        <v>14.29</v>
      </c>
      <c r="G881" s="2">
        <v>29.83</v>
      </c>
      <c r="H881" s="2">
        <v>0.4</v>
      </c>
      <c r="I881" s="2">
        <v>0.2</v>
      </c>
      <c r="J881" s="2">
        <v>19</v>
      </c>
      <c r="K881" s="2" t="s">
        <v>21</v>
      </c>
      <c r="L881" s="2">
        <v>9.0399999999999991</v>
      </c>
      <c r="M881" s="2" t="s">
        <v>40</v>
      </c>
      <c r="N881" s="2">
        <v>58.19</v>
      </c>
      <c r="O881" s="2" t="s">
        <v>30</v>
      </c>
      <c r="P881" s="2">
        <v>3.09</v>
      </c>
      <c r="Q881" s="2">
        <v>9.85</v>
      </c>
      <c r="R881" s="3">
        <f t="shared" si="65"/>
        <v>1532.9490000000001</v>
      </c>
      <c r="S881" s="3">
        <f t="shared" si="66"/>
        <v>4886.585</v>
      </c>
      <c r="T881" s="3">
        <f t="shared" si="67"/>
        <v>3353.636</v>
      </c>
      <c r="U881" s="4">
        <f t="shared" si="68"/>
        <v>0.68629441624365484</v>
      </c>
      <c r="V881" s="5">
        <f t="shared" si="69"/>
        <v>44.847439999999999</v>
      </c>
    </row>
    <row r="882" spans="1:22" x14ac:dyDescent="0.25">
      <c r="A882" s="2" t="s">
        <v>916</v>
      </c>
      <c r="B882" s="2" t="s">
        <v>32</v>
      </c>
      <c r="C882" s="2" t="s">
        <v>33</v>
      </c>
      <c r="D882" s="2" t="s">
        <v>28</v>
      </c>
      <c r="E882" s="2">
        <v>458.21</v>
      </c>
      <c r="F882" s="2">
        <v>13.57</v>
      </c>
      <c r="G882" s="2">
        <v>39.51</v>
      </c>
      <c r="H882" s="2">
        <v>0.3</v>
      </c>
      <c r="I882" s="2">
        <v>1.4</v>
      </c>
      <c r="J882" s="2">
        <v>15</v>
      </c>
      <c r="K882" s="2" t="s">
        <v>34</v>
      </c>
      <c r="L882" s="2">
        <v>7.85</v>
      </c>
      <c r="M882" s="2" t="s">
        <v>37</v>
      </c>
      <c r="N882" s="2">
        <v>96.5</v>
      </c>
      <c r="O882" s="2" t="s">
        <v>23</v>
      </c>
      <c r="P882" s="2">
        <v>5.74</v>
      </c>
      <c r="Q882" s="2">
        <v>8.61</v>
      </c>
      <c r="R882" s="3">
        <f t="shared" si="65"/>
        <v>2630.1253999999999</v>
      </c>
      <c r="S882" s="3">
        <f t="shared" si="66"/>
        <v>3945.1880999999994</v>
      </c>
      <c r="T882" s="3">
        <f t="shared" si="67"/>
        <v>1315.0626999999995</v>
      </c>
      <c r="U882" s="4">
        <f t="shared" si="68"/>
        <v>0.33333333333333326</v>
      </c>
      <c r="V882" s="5">
        <f t="shared" si="69"/>
        <v>35.969484999999992</v>
      </c>
    </row>
    <row r="883" spans="1:22" x14ac:dyDescent="0.25">
      <c r="A883" s="2" t="s">
        <v>917</v>
      </c>
      <c r="B883" s="2" t="s">
        <v>45</v>
      </c>
      <c r="C883" s="2" t="s">
        <v>43</v>
      </c>
      <c r="D883" s="2" t="s">
        <v>28</v>
      </c>
      <c r="E883" s="2">
        <v>297.42</v>
      </c>
      <c r="F883" s="2">
        <v>15.43</v>
      </c>
      <c r="G883" s="2">
        <v>26.66</v>
      </c>
      <c r="H883" s="2">
        <v>7.4</v>
      </c>
      <c r="I883" s="2">
        <v>0.6</v>
      </c>
      <c r="J883" s="2">
        <v>4</v>
      </c>
      <c r="K883" s="2" t="s">
        <v>21</v>
      </c>
      <c r="L883" s="2">
        <v>8.7799999999999994</v>
      </c>
      <c r="M883" s="2" t="s">
        <v>22</v>
      </c>
      <c r="N883" s="2">
        <v>66.430000000000007</v>
      </c>
      <c r="O883" s="2" t="s">
        <v>24</v>
      </c>
      <c r="P883" s="2">
        <v>6.56</v>
      </c>
      <c r="Q883" s="2">
        <v>9.75</v>
      </c>
      <c r="R883" s="3">
        <f t="shared" si="65"/>
        <v>1951.0752</v>
      </c>
      <c r="S883" s="3">
        <f t="shared" si="66"/>
        <v>2899.8450000000003</v>
      </c>
      <c r="T883" s="3">
        <f t="shared" si="67"/>
        <v>948.76980000000026</v>
      </c>
      <c r="U883" s="4">
        <f t="shared" si="68"/>
        <v>0.32717948717948725</v>
      </c>
      <c r="V883" s="5">
        <f t="shared" si="69"/>
        <v>26.113476000000002</v>
      </c>
    </row>
    <row r="884" spans="1:22" x14ac:dyDescent="0.25">
      <c r="A884" s="2" t="s">
        <v>918</v>
      </c>
      <c r="B884" s="2" t="s">
        <v>18</v>
      </c>
      <c r="C884" s="2" t="s">
        <v>43</v>
      </c>
      <c r="D884" s="2" t="s">
        <v>20</v>
      </c>
      <c r="E884" s="2">
        <v>392.91</v>
      </c>
      <c r="F884" s="2">
        <v>10.8</v>
      </c>
      <c r="G884" s="2">
        <v>31.9</v>
      </c>
      <c r="H884" s="2">
        <v>4.0999999999999996</v>
      </c>
      <c r="I884" s="2">
        <v>3.2</v>
      </c>
      <c r="J884" s="2">
        <v>21</v>
      </c>
      <c r="K884" s="2" t="s">
        <v>21</v>
      </c>
      <c r="L884" s="2">
        <v>2.5299999999999998</v>
      </c>
      <c r="M884" s="2" t="s">
        <v>22</v>
      </c>
      <c r="N884" s="2">
        <v>89.41</v>
      </c>
      <c r="O884" s="2" t="s">
        <v>24</v>
      </c>
      <c r="P884" s="2">
        <v>3.76</v>
      </c>
      <c r="Q884" s="2">
        <v>13.49</v>
      </c>
      <c r="R884" s="3">
        <f t="shared" si="65"/>
        <v>1477.3416</v>
      </c>
      <c r="S884" s="3">
        <f t="shared" si="66"/>
        <v>5300.3559000000005</v>
      </c>
      <c r="T884" s="3">
        <f t="shared" si="67"/>
        <v>3823.0143000000007</v>
      </c>
      <c r="U884" s="4">
        <f t="shared" si="68"/>
        <v>0.72127501853224618</v>
      </c>
      <c r="V884" s="5">
        <f t="shared" si="69"/>
        <v>9.9406229999999987</v>
      </c>
    </row>
    <row r="885" spans="1:22" x14ac:dyDescent="0.25">
      <c r="A885" s="2" t="s">
        <v>919</v>
      </c>
      <c r="B885" s="2" t="s">
        <v>26</v>
      </c>
      <c r="C885" s="2" t="s">
        <v>19</v>
      </c>
      <c r="D885" s="2" t="s">
        <v>28</v>
      </c>
      <c r="E885" s="2">
        <v>691.14</v>
      </c>
      <c r="F885" s="2">
        <v>13.65</v>
      </c>
      <c r="G885" s="2">
        <v>21.8</v>
      </c>
      <c r="H885" s="2">
        <v>4.5</v>
      </c>
      <c r="I885" s="2">
        <v>0.3</v>
      </c>
      <c r="J885" s="2">
        <v>3</v>
      </c>
      <c r="K885" s="2" t="s">
        <v>34</v>
      </c>
      <c r="L885" s="2">
        <v>6.16</v>
      </c>
      <c r="M885" s="2" t="s">
        <v>37</v>
      </c>
      <c r="N885" s="2">
        <v>94.57</v>
      </c>
      <c r="O885" s="2" t="s">
        <v>23</v>
      </c>
      <c r="P885" s="2">
        <v>6.76</v>
      </c>
      <c r="Q885" s="2">
        <v>14.9</v>
      </c>
      <c r="R885" s="3">
        <f t="shared" si="65"/>
        <v>4672.1063999999997</v>
      </c>
      <c r="S885" s="3">
        <f t="shared" si="66"/>
        <v>10297.986000000001</v>
      </c>
      <c r="T885" s="3">
        <f t="shared" si="67"/>
        <v>5625.8796000000011</v>
      </c>
      <c r="U885" s="4">
        <f t="shared" si="68"/>
        <v>0.54630872483221482</v>
      </c>
      <c r="V885" s="5">
        <f t="shared" si="69"/>
        <v>42.574224000000001</v>
      </c>
    </row>
    <row r="886" spans="1:22" x14ac:dyDescent="0.25">
      <c r="A886" s="2" t="s">
        <v>920</v>
      </c>
      <c r="B886" s="2" t="s">
        <v>26</v>
      </c>
      <c r="C886" s="2" t="s">
        <v>27</v>
      </c>
      <c r="D886" s="2" t="s">
        <v>20</v>
      </c>
      <c r="E886" s="2">
        <v>371.95</v>
      </c>
      <c r="F886" s="2">
        <v>8.8800000000000008</v>
      </c>
      <c r="G886" s="2">
        <v>32.119999999999997</v>
      </c>
      <c r="H886" s="2">
        <v>4.3</v>
      </c>
      <c r="I886" s="2">
        <v>1.1000000000000001</v>
      </c>
      <c r="J886" s="2">
        <v>4</v>
      </c>
      <c r="K886" s="2" t="s">
        <v>34</v>
      </c>
      <c r="L886" s="2">
        <v>1.39</v>
      </c>
      <c r="M886" s="2" t="s">
        <v>40</v>
      </c>
      <c r="N886" s="2">
        <v>67.319999999999993</v>
      </c>
      <c r="O886" s="2" t="s">
        <v>24</v>
      </c>
      <c r="P886" s="2">
        <v>8.74</v>
      </c>
      <c r="Q886" s="2">
        <v>11.31</v>
      </c>
      <c r="R886" s="3">
        <f t="shared" si="65"/>
        <v>3250.8429999999998</v>
      </c>
      <c r="S886" s="3">
        <f t="shared" si="66"/>
        <v>4206.7545</v>
      </c>
      <c r="T886" s="3">
        <f t="shared" si="67"/>
        <v>955.91150000000016</v>
      </c>
      <c r="U886" s="4">
        <f t="shared" si="68"/>
        <v>0.2272325375773652</v>
      </c>
      <c r="V886" s="5">
        <f t="shared" si="69"/>
        <v>5.1701049999999995</v>
      </c>
    </row>
    <row r="887" spans="1:22" x14ac:dyDescent="0.25">
      <c r="A887" s="2" t="s">
        <v>921</v>
      </c>
      <c r="B887" s="2" t="s">
        <v>32</v>
      </c>
      <c r="C887" s="2" t="s">
        <v>43</v>
      </c>
      <c r="D887" s="2" t="s">
        <v>28</v>
      </c>
      <c r="E887" s="2">
        <v>518.95000000000005</v>
      </c>
      <c r="F887" s="2">
        <v>12.14</v>
      </c>
      <c r="G887" s="2">
        <v>21.79</v>
      </c>
      <c r="H887" s="2">
        <v>1.6</v>
      </c>
      <c r="I887" s="2">
        <v>2.8</v>
      </c>
      <c r="J887" s="2">
        <v>5</v>
      </c>
      <c r="K887" s="2" t="s">
        <v>34</v>
      </c>
      <c r="L887" s="2">
        <v>2.42</v>
      </c>
      <c r="M887" s="2" t="s">
        <v>40</v>
      </c>
      <c r="N887" s="2">
        <v>92.27</v>
      </c>
      <c r="O887" s="2" t="s">
        <v>24</v>
      </c>
      <c r="P887" s="2">
        <v>5.64</v>
      </c>
      <c r="Q887" s="2">
        <v>12.93</v>
      </c>
      <c r="R887" s="3">
        <f t="shared" si="65"/>
        <v>2926.8780000000002</v>
      </c>
      <c r="S887" s="3">
        <f t="shared" si="66"/>
        <v>6710.0235000000002</v>
      </c>
      <c r="T887" s="3">
        <f t="shared" si="67"/>
        <v>3783.1455000000001</v>
      </c>
      <c r="U887" s="4">
        <f t="shared" si="68"/>
        <v>0.56380510440835263</v>
      </c>
      <c r="V887" s="5">
        <f t="shared" si="69"/>
        <v>12.558590000000002</v>
      </c>
    </row>
    <row r="888" spans="1:22" x14ac:dyDescent="0.25">
      <c r="A888" s="2" t="s">
        <v>922</v>
      </c>
      <c r="B888" s="2" t="s">
        <v>32</v>
      </c>
      <c r="C888" s="2" t="s">
        <v>27</v>
      </c>
      <c r="D888" s="2" t="s">
        <v>28</v>
      </c>
      <c r="E888" s="2">
        <v>600.74</v>
      </c>
      <c r="F888" s="2">
        <v>15.5</v>
      </c>
      <c r="G888" s="2">
        <v>39.18</v>
      </c>
      <c r="H888" s="2">
        <v>2.1</v>
      </c>
      <c r="I888" s="2">
        <v>1.1000000000000001</v>
      </c>
      <c r="J888" s="2">
        <v>18</v>
      </c>
      <c r="K888" s="2" t="s">
        <v>21</v>
      </c>
      <c r="L888" s="2">
        <v>3.44</v>
      </c>
      <c r="M888" s="2" t="s">
        <v>22</v>
      </c>
      <c r="N888" s="2">
        <v>85.54</v>
      </c>
      <c r="O888" s="2" t="s">
        <v>23</v>
      </c>
      <c r="P888" s="2">
        <v>5.47</v>
      </c>
      <c r="Q888" s="2">
        <v>5.14</v>
      </c>
      <c r="R888" s="3">
        <f t="shared" si="65"/>
        <v>3286.0477999999998</v>
      </c>
      <c r="S888" s="3">
        <f t="shared" si="66"/>
        <v>3087.8035999999997</v>
      </c>
      <c r="T888" s="3">
        <f t="shared" si="67"/>
        <v>-198.24420000000009</v>
      </c>
      <c r="U888" s="4">
        <f t="shared" si="68"/>
        <v>-6.420233463035023E-2</v>
      </c>
      <c r="V888" s="5">
        <f t="shared" si="69"/>
        <v>20.665455999999999</v>
      </c>
    </row>
    <row r="889" spans="1:22" x14ac:dyDescent="0.25">
      <c r="A889" s="2" t="s">
        <v>923</v>
      </c>
      <c r="B889" s="2" t="s">
        <v>45</v>
      </c>
      <c r="C889" s="2" t="s">
        <v>33</v>
      </c>
      <c r="D889" s="2" t="s">
        <v>28</v>
      </c>
      <c r="E889" s="2">
        <v>374.51</v>
      </c>
      <c r="F889" s="2">
        <v>14.93</v>
      </c>
      <c r="G889" s="2">
        <v>34.31</v>
      </c>
      <c r="H889" s="2">
        <v>1.6</v>
      </c>
      <c r="I889" s="2">
        <v>2.1</v>
      </c>
      <c r="J889" s="2">
        <v>26</v>
      </c>
      <c r="K889" s="2" t="s">
        <v>21</v>
      </c>
      <c r="L889" s="2">
        <v>7.54</v>
      </c>
      <c r="M889" s="2" t="s">
        <v>37</v>
      </c>
      <c r="N889" s="2">
        <v>95.21</v>
      </c>
      <c r="O889" s="2" t="s">
        <v>30</v>
      </c>
      <c r="P889" s="2">
        <v>5.37</v>
      </c>
      <c r="Q889" s="2">
        <v>13.8</v>
      </c>
      <c r="R889" s="3">
        <f t="shared" si="65"/>
        <v>2011.1187</v>
      </c>
      <c r="S889" s="3">
        <f t="shared" si="66"/>
        <v>5168.2380000000003</v>
      </c>
      <c r="T889" s="3">
        <f t="shared" si="67"/>
        <v>3157.1193000000003</v>
      </c>
      <c r="U889" s="4">
        <f t="shared" si="68"/>
        <v>0.61086956521739133</v>
      </c>
      <c r="V889" s="5">
        <f t="shared" si="69"/>
        <v>28.238053999999998</v>
      </c>
    </row>
    <row r="890" spans="1:22" x14ac:dyDescent="0.25">
      <c r="A890" s="2" t="s">
        <v>924</v>
      </c>
      <c r="B890" s="2" t="s">
        <v>26</v>
      </c>
      <c r="C890" s="2" t="s">
        <v>43</v>
      </c>
      <c r="D890" s="2" t="s">
        <v>28</v>
      </c>
      <c r="E890" s="2">
        <v>518.47</v>
      </c>
      <c r="F890" s="2">
        <v>17.91</v>
      </c>
      <c r="G890" s="2">
        <v>35.76</v>
      </c>
      <c r="H890" s="2">
        <v>0.1</v>
      </c>
      <c r="I890" s="2">
        <v>1.8</v>
      </c>
      <c r="J890" s="2">
        <v>25</v>
      </c>
      <c r="K890" s="2" t="s">
        <v>34</v>
      </c>
      <c r="L890" s="2">
        <v>0.73</v>
      </c>
      <c r="M890" s="2" t="s">
        <v>37</v>
      </c>
      <c r="N890" s="2">
        <v>62.57</v>
      </c>
      <c r="O890" s="2" t="s">
        <v>23</v>
      </c>
      <c r="P890" s="2">
        <v>9.4600000000000009</v>
      </c>
      <c r="Q890" s="2">
        <v>14.54</v>
      </c>
      <c r="R890" s="3">
        <f t="shared" si="65"/>
        <v>4904.726200000001</v>
      </c>
      <c r="S890" s="3">
        <f t="shared" si="66"/>
        <v>7538.5537999999997</v>
      </c>
      <c r="T890" s="3">
        <f t="shared" si="67"/>
        <v>2633.8275999999987</v>
      </c>
      <c r="U890" s="4">
        <f t="shared" si="68"/>
        <v>0.3493810178817055</v>
      </c>
      <c r="V890" s="5">
        <f t="shared" si="69"/>
        <v>3.7848310000000005</v>
      </c>
    </row>
    <row r="891" spans="1:22" x14ac:dyDescent="0.25">
      <c r="A891" s="2" t="s">
        <v>925</v>
      </c>
      <c r="B891" s="2" t="s">
        <v>32</v>
      </c>
      <c r="C891" s="2" t="s">
        <v>19</v>
      </c>
      <c r="D891" s="2" t="s">
        <v>28</v>
      </c>
      <c r="E891" s="2">
        <v>593.79</v>
      </c>
      <c r="F891" s="2">
        <v>10.78</v>
      </c>
      <c r="G891" s="2">
        <v>34.08</v>
      </c>
      <c r="H891" s="2">
        <v>2.7</v>
      </c>
      <c r="I891" s="2">
        <v>0.4</v>
      </c>
      <c r="J891" s="2">
        <v>10</v>
      </c>
      <c r="K891" s="2" t="s">
        <v>34</v>
      </c>
      <c r="L891" s="2">
        <v>9.08</v>
      </c>
      <c r="M891" s="2" t="s">
        <v>22</v>
      </c>
      <c r="N891" s="2">
        <v>96.56</v>
      </c>
      <c r="O891" s="2" t="s">
        <v>24</v>
      </c>
      <c r="P891" s="2">
        <v>3.34</v>
      </c>
      <c r="Q891" s="2">
        <v>10.75</v>
      </c>
      <c r="R891" s="3">
        <f t="shared" si="65"/>
        <v>1983.2585999999999</v>
      </c>
      <c r="S891" s="3">
        <f t="shared" si="66"/>
        <v>6383.2424999999994</v>
      </c>
      <c r="T891" s="3">
        <f t="shared" si="67"/>
        <v>4399.9838999999993</v>
      </c>
      <c r="U891" s="4">
        <f t="shared" si="68"/>
        <v>0.68930232558139526</v>
      </c>
      <c r="V891" s="5">
        <f t="shared" si="69"/>
        <v>53.916131999999998</v>
      </c>
    </row>
    <row r="892" spans="1:22" x14ac:dyDescent="0.25">
      <c r="A892" s="2" t="s">
        <v>926</v>
      </c>
      <c r="B892" s="2" t="s">
        <v>18</v>
      </c>
      <c r="C892" s="2" t="s">
        <v>33</v>
      </c>
      <c r="D892" s="2" t="s">
        <v>20</v>
      </c>
      <c r="E892" s="2">
        <v>501.25</v>
      </c>
      <c r="F892" s="2">
        <v>12.98</v>
      </c>
      <c r="G892" s="2">
        <v>31.79</v>
      </c>
      <c r="H892" s="2">
        <v>1.4</v>
      </c>
      <c r="I892" s="2">
        <v>0.9</v>
      </c>
      <c r="J892" s="2">
        <v>8</v>
      </c>
      <c r="K892" s="2" t="s">
        <v>29</v>
      </c>
      <c r="L892" s="2">
        <v>1.17</v>
      </c>
      <c r="M892" s="2" t="s">
        <v>37</v>
      </c>
      <c r="N892" s="2">
        <v>53.27</v>
      </c>
      <c r="O892" s="2" t="s">
        <v>24</v>
      </c>
      <c r="P892" s="2">
        <v>6.12</v>
      </c>
      <c r="Q892" s="2">
        <v>12.54</v>
      </c>
      <c r="R892" s="3">
        <f t="shared" si="65"/>
        <v>3067.65</v>
      </c>
      <c r="S892" s="3">
        <f t="shared" si="66"/>
        <v>6285.6749999999993</v>
      </c>
      <c r="T892" s="3">
        <f t="shared" si="67"/>
        <v>3218.0249999999992</v>
      </c>
      <c r="U892" s="4">
        <f t="shared" si="68"/>
        <v>0.51196172248803817</v>
      </c>
      <c r="V892" s="5">
        <f t="shared" si="69"/>
        <v>5.8646250000000002</v>
      </c>
    </row>
    <row r="893" spans="1:22" x14ac:dyDescent="0.25">
      <c r="A893" s="2" t="s">
        <v>927</v>
      </c>
      <c r="B893" s="2" t="s">
        <v>18</v>
      </c>
      <c r="C893" s="2" t="s">
        <v>19</v>
      </c>
      <c r="D893" s="2" t="s">
        <v>20</v>
      </c>
      <c r="E893" s="2">
        <v>786.84</v>
      </c>
      <c r="F893" s="2">
        <v>11.3</v>
      </c>
      <c r="G893" s="2">
        <v>29</v>
      </c>
      <c r="H893" s="2">
        <v>2.1</v>
      </c>
      <c r="I893" s="2">
        <v>0.2</v>
      </c>
      <c r="J893" s="2">
        <v>12</v>
      </c>
      <c r="K893" s="2" t="s">
        <v>34</v>
      </c>
      <c r="L893" s="2">
        <v>4.08</v>
      </c>
      <c r="M893" s="2" t="s">
        <v>37</v>
      </c>
      <c r="N893" s="2">
        <v>89.68</v>
      </c>
      <c r="O893" s="2" t="s">
        <v>23</v>
      </c>
      <c r="P893" s="2">
        <v>4.8499999999999996</v>
      </c>
      <c r="Q893" s="2">
        <v>10.130000000000001</v>
      </c>
      <c r="R893" s="3">
        <f t="shared" si="65"/>
        <v>3816.174</v>
      </c>
      <c r="S893" s="3">
        <f t="shared" si="66"/>
        <v>7970.6892000000007</v>
      </c>
      <c r="T893" s="3">
        <f t="shared" si="67"/>
        <v>4154.5152000000007</v>
      </c>
      <c r="U893" s="4">
        <f t="shared" si="68"/>
        <v>0.52122408687068122</v>
      </c>
      <c r="V893" s="5">
        <f t="shared" si="69"/>
        <v>32.103072000000004</v>
      </c>
    </row>
    <row r="894" spans="1:22" x14ac:dyDescent="0.25">
      <c r="A894" s="2" t="s">
        <v>928</v>
      </c>
      <c r="B894" s="2" t="s">
        <v>32</v>
      </c>
      <c r="C894" s="2" t="s">
        <v>33</v>
      </c>
      <c r="D894" s="2" t="s">
        <v>20</v>
      </c>
      <c r="E894" s="2">
        <v>333.14</v>
      </c>
      <c r="F894" s="2">
        <v>12.41</v>
      </c>
      <c r="G894" s="2">
        <v>37.17</v>
      </c>
      <c r="H894" s="2">
        <v>1.4</v>
      </c>
      <c r="I894" s="2">
        <v>0.8</v>
      </c>
      <c r="J894" s="2">
        <v>22</v>
      </c>
      <c r="K894" s="2" t="s">
        <v>29</v>
      </c>
      <c r="L894" s="2">
        <v>1.27</v>
      </c>
      <c r="M894" s="2" t="s">
        <v>22</v>
      </c>
      <c r="N894" s="2">
        <v>71.78</v>
      </c>
      <c r="O894" s="2" t="s">
        <v>24</v>
      </c>
      <c r="P894" s="2">
        <v>9.26</v>
      </c>
      <c r="Q894" s="2">
        <v>7.86</v>
      </c>
      <c r="R894" s="3">
        <f t="shared" si="65"/>
        <v>3084.8763999999996</v>
      </c>
      <c r="S894" s="3">
        <f t="shared" si="66"/>
        <v>2618.4803999999999</v>
      </c>
      <c r="T894" s="3">
        <f t="shared" si="67"/>
        <v>-466.39599999999973</v>
      </c>
      <c r="U894" s="4">
        <f t="shared" si="68"/>
        <v>-0.17811704834605588</v>
      </c>
      <c r="V894" s="5">
        <f t="shared" si="69"/>
        <v>4.2308780000000006</v>
      </c>
    </row>
    <row r="895" spans="1:22" x14ac:dyDescent="0.25">
      <c r="A895" s="2" t="s">
        <v>929</v>
      </c>
      <c r="B895" s="2" t="s">
        <v>32</v>
      </c>
      <c r="C895" s="2" t="s">
        <v>43</v>
      </c>
      <c r="D895" s="2" t="s">
        <v>28</v>
      </c>
      <c r="E895" s="2">
        <v>605.87</v>
      </c>
      <c r="F895" s="2">
        <v>16.57</v>
      </c>
      <c r="G895" s="2">
        <v>39.14</v>
      </c>
      <c r="H895" s="2">
        <v>1.4</v>
      </c>
      <c r="I895" s="2">
        <v>0.3</v>
      </c>
      <c r="J895" s="2">
        <v>26</v>
      </c>
      <c r="K895" s="2" t="s">
        <v>29</v>
      </c>
      <c r="L895" s="2">
        <v>7.81</v>
      </c>
      <c r="M895" s="2" t="s">
        <v>22</v>
      </c>
      <c r="N895" s="2">
        <v>58.89</v>
      </c>
      <c r="O895" s="2" t="s">
        <v>30</v>
      </c>
      <c r="P895" s="2">
        <v>3.67</v>
      </c>
      <c r="Q895" s="2">
        <v>13.52</v>
      </c>
      <c r="R895" s="3">
        <f t="shared" si="65"/>
        <v>2223.5428999999999</v>
      </c>
      <c r="S895" s="3">
        <f t="shared" si="66"/>
        <v>8191.3624</v>
      </c>
      <c r="T895" s="3">
        <f t="shared" si="67"/>
        <v>5967.8194999999996</v>
      </c>
      <c r="U895" s="4">
        <f t="shared" si="68"/>
        <v>0.72855029585798814</v>
      </c>
      <c r="V895" s="5">
        <f t="shared" si="69"/>
        <v>47.318446999999999</v>
      </c>
    </row>
    <row r="896" spans="1:22" x14ac:dyDescent="0.25">
      <c r="A896" s="2" t="s">
        <v>930</v>
      </c>
      <c r="B896" s="2" t="s">
        <v>26</v>
      </c>
      <c r="C896" s="2" t="s">
        <v>19</v>
      </c>
      <c r="D896" s="2" t="s">
        <v>28</v>
      </c>
      <c r="E896" s="2">
        <v>482.72</v>
      </c>
      <c r="F896" s="2">
        <v>14.84</v>
      </c>
      <c r="G896" s="2">
        <v>29.98</v>
      </c>
      <c r="H896" s="2">
        <v>0.4</v>
      </c>
      <c r="I896" s="2">
        <v>1.4</v>
      </c>
      <c r="J896" s="2">
        <v>27</v>
      </c>
      <c r="K896" s="2" t="s">
        <v>21</v>
      </c>
      <c r="L896" s="2">
        <v>1.84</v>
      </c>
      <c r="M896" s="2" t="s">
        <v>37</v>
      </c>
      <c r="N896" s="2">
        <v>53.97</v>
      </c>
      <c r="O896" s="2" t="s">
        <v>23</v>
      </c>
      <c r="P896" s="2">
        <v>5.88</v>
      </c>
      <c r="Q896" s="2">
        <v>10.97</v>
      </c>
      <c r="R896" s="3">
        <f t="shared" si="65"/>
        <v>2838.3936000000003</v>
      </c>
      <c r="S896" s="3">
        <f t="shared" si="66"/>
        <v>5295.4384000000009</v>
      </c>
      <c r="T896" s="3">
        <f t="shared" si="67"/>
        <v>2457.0448000000006</v>
      </c>
      <c r="U896" s="4">
        <f t="shared" si="68"/>
        <v>0.46399270738377396</v>
      </c>
      <c r="V896" s="5">
        <f t="shared" si="69"/>
        <v>8.8820480000000011</v>
      </c>
    </row>
    <row r="897" spans="1:22" x14ac:dyDescent="0.25">
      <c r="A897" s="2" t="s">
        <v>931</v>
      </c>
      <c r="B897" s="2" t="s">
        <v>26</v>
      </c>
      <c r="C897" s="2" t="s">
        <v>19</v>
      </c>
      <c r="D897" s="2" t="s">
        <v>20</v>
      </c>
      <c r="E897" s="2">
        <v>577.19000000000005</v>
      </c>
      <c r="F897" s="2">
        <v>16.82</v>
      </c>
      <c r="G897" s="2">
        <v>38.630000000000003</v>
      </c>
      <c r="H897" s="2">
        <v>0.7</v>
      </c>
      <c r="I897" s="2">
        <v>0.8</v>
      </c>
      <c r="J897" s="2">
        <v>3</v>
      </c>
      <c r="K897" s="2" t="s">
        <v>21</v>
      </c>
      <c r="L897" s="2">
        <v>8.91</v>
      </c>
      <c r="M897" s="2" t="s">
        <v>37</v>
      </c>
      <c r="N897" s="2">
        <v>69.48</v>
      </c>
      <c r="O897" s="2" t="s">
        <v>24</v>
      </c>
      <c r="P897" s="2">
        <v>5.85</v>
      </c>
      <c r="Q897" s="2">
        <v>10.79</v>
      </c>
      <c r="R897" s="3">
        <f t="shared" si="65"/>
        <v>3376.5615000000003</v>
      </c>
      <c r="S897" s="3">
        <f t="shared" si="66"/>
        <v>6227.8801000000003</v>
      </c>
      <c r="T897" s="3">
        <f t="shared" si="67"/>
        <v>2851.3186000000001</v>
      </c>
      <c r="U897" s="4">
        <f t="shared" si="68"/>
        <v>0.45783132530120479</v>
      </c>
      <c r="V897" s="5">
        <f t="shared" si="69"/>
        <v>51.427629000000003</v>
      </c>
    </row>
    <row r="898" spans="1:22" x14ac:dyDescent="0.25">
      <c r="A898" s="2" t="s">
        <v>932</v>
      </c>
      <c r="B898" s="2" t="s">
        <v>45</v>
      </c>
      <c r="C898" s="2" t="s">
        <v>33</v>
      </c>
      <c r="D898" s="2" t="s">
        <v>28</v>
      </c>
      <c r="E898" s="2">
        <v>544.13</v>
      </c>
      <c r="F898" s="2">
        <v>10.039999999999999</v>
      </c>
      <c r="G898" s="2">
        <v>31.67</v>
      </c>
      <c r="H898" s="2">
        <v>0.3</v>
      </c>
      <c r="I898" s="2">
        <v>0.5</v>
      </c>
      <c r="J898" s="2">
        <v>27</v>
      </c>
      <c r="K898" s="2" t="s">
        <v>29</v>
      </c>
      <c r="L898" s="2">
        <v>5.54</v>
      </c>
      <c r="M898" s="2" t="s">
        <v>22</v>
      </c>
      <c r="N898" s="2">
        <v>69.47</v>
      </c>
      <c r="O898" s="2" t="s">
        <v>30</v>
      </c>
      <c r="P898" s="2">
        <v>9.2200000000000006</v>
      </c>
      <c r="Q898" s="2">
        <v>11.59</v>
      </c>
      <c r="R898" s="3">
        <f t="shared" si="65"/>
        <v>5016.8786</v>
      </c>
      <c r="S898" s="3">
        <f t="shared" si="66"/>
        <v>6306.4666999999999</v>
      </c>
      <c r="T898" s="3">
        <f t="shared" si="67"/>
        <v>1289.5880999999999</v>
      </c>
      <c r="U898" s="4">
        <f t="shared" si="68"/>
        <v>0.20448662640207074</v>
      </c>
      <c r="V898" s="5">
        <f t="shared" si="69"/>
        <v>30.144801999999999</v>
      </c>
    </row>
    <row r="899" spans="1:22" x14ac:dyDescent="0.25">
      <c r="A899" s="2" t="s">
        <v>933</v>
      </c>
      <c r="B899" s="2" t="s">
        <v>26</v>
      </c>
      <c r="C899" s="2" t="s">
        <v>19</v>
      </c>
      <c r="D899" s="2" t="s">
        <v>28</v>
      </c>
      <c r="E899" s="2">
        <v>426.68</v>
      </c>
      <c r="F899" s="2">
        <v>16.73</v>
      </c>
      <c r="G899" s="2">
        <v>30.77</v>
      </c>
      <c r="H899" s="2">
        <v>0.4</v>
      </c>
      <c r="I899" s="2">
        <v>0.3</v>
      </c>
      <c r="J899" s="2">
        <v>18</v>
      </c>
      <c r="K899" s="2" t="s">
        <v>29</v>
      </c>
      <c r="L899" s="2">
        <v>9.51</v>
      </c>
      <c r="M899" s="2" t="s">
        <v>22</v>
      </c>
      <c r="N899" s="2">
        <v>61.5</v>
      </c>
      <c r="O899" s="2" t="s">
        <v>24</v>
      </c>
      <c r="P899" s="2">
        <v>4.51</v>
      </c>
      <c r="Q899" s="2">
        <v>13.56</v>
      </c>
      <c r="R899" s="3">
        <f t="shared" ref="R899:R962" si="70">E899*P899</f>
        <v>1924.3268</v>
      </c>
      <c r="S899" s="3">
        <f t="shared" ref="S899:S962" si="71">E899*Q899</f>
        <v>5785.7808000000005</v>
      </c>
      <c r="T899" s="3">
        <f t="shared" ref="T899:T962" si="72">S899-R899</f>
        <v>3861.4540000000006</v>
      </c>
      <c r="U899" s="4">
        <f t="shared" ref="U899:U962" si="73">T899/S899</f>
        <v>0.66740412979351038</v>
      </c>
      <c r="V899" s="5">
        <f t="shared" ref="V899:V962" si="74">E899*L899/100</f>
        <v>40.577267999999997</v>
      </c>
    </row>
    <row r="900" spans="1:22" x14ac:dyDescent="0.25">
      <c r="A900" s="2" t="s">
        <v>934</v>
      </c>
      <c r="B900" s="2" t="s">
        <v>18</v>
      </c>
      <c r="C900" s="2" t="s">
        <v>33</v>
      </c>
      <c r="D900" s="2" t="s">
        <v>20</v>
      </c>
      <c r="E900" s="2">
        <v>522.9</v>
      </c>
      <c r="F900" s="2">
        <v>8.6</v>
      </c>
      <c r="G900" s="2">
        <v>29.09</v>
      </c>
      <c r="H900" s="2">
        <v>7.2</v>
      </c>
      <c r="I900" s="2">
        <v>6.6</v>
      </c>
      <c r="J900" s="2">
        <v>23</v>
      </c>
      <c r="K900" s="2" t="s">
        <v>34</v>
      </c>
      <c r="L900" s="2">
        <v>3.26</v>
      </c>
      <c r="M900" s="2" t="s">
        <v>40</v>
      </c>
      <c r="N900" s="2">
        <v>60.78</v>
      </c>
      <c r="O900" s="2" t="s">
        <v>30</v>
      </c>
      <c r="P900" s="2">
        <v>7.51</v>
      </c>
      <c r="Q900" s="2">
        <v>12.32</v>
      </c>
      <c r="R900" s="3">
        <f t="shared" si="70"/>
        <v>3926.9789999999998</v>
      </c>
      <c r="S900" s="3">
        <f t="shared" si="71"/>
        <v>6442.1279999999997</v>
      </c>
      <c r="T900" s="3">
        <f t="shared" si="72"/>
        <v>2515.1489999999999</v>
      </c>
      <c r="U900" s="4">
        <f t="shared" si="73"/>
        <v>0.39042207792207795</v>
      </c>
      <c r="V900" s="5">
        <f t="shared" si="74"/>
        <v>17.046539999999997</v>
      </c>
    </row>
    <row r="901" spans="1:22" x14ac:dyDescent="0.25">
      <c r="A901" s="2" t="s">
        <v>935</v>
      </c>
      <c r="B901" s="2" t="s">
        <v>18</v>
      </c>
      <c r="C901" s="2" t="s">
        <v>33</v>
      </c>
      <c r="D901" s="2" t="s">
        <v>28</v>
      </c>
      <c r="E901" s="2">
        <v>314.20999999999998</v>
      </c>
      <c r="F901" s="2">
        <v>16.89</v>
      </c>
      <c r="G901" s="2">
        <v>24.19</v>
      </c>
      <c r="H901" s="2">
        <v>0.3</v>
      </c>
      <c r="I901" s="2">
        <v>0.1</v>
      </c>
      <c r="J901" s="2">
        <v>8</v>
      </c>
      <c r="K901" s="2" t="s">
        <v>29</v>
      </c>
      <c r="L901" s="2">
        <v>4.82</v>
      </c>
      <c r="M901" s="2" t="s">
        <v>37</v>
      </c>
      <c r="N901" s="2">
        <v>69.98</v>
      </c>
      <c r="O901" s="2" t="s">
        <v>24</v>
      </c>
      <c r="P901" s="2">
        <v>3.94</v>
      </c>
      <c r="Q901" s="2">
        <v>7.11</v>
      </c>
      <c r="R901" s="3">
        <f t="shared" si="70"/>
        <v>1237.9874</v>
      </c>
      <c r="S901" s="3">
        <f t="shared" si="71"/>
        <v>2234.0331000000001</v>
      </c>
      <c r="T901" s="3">
        <f t="shared" si="72"/>
        <v>996.04570000000012</v>
      </c>
      <c r="U901" s="4">
        <f t="shared" si="73"/>
        <v>0.44585091420534462</v>
      </c>
      <c r="V901" s="5">
        <f t="shared" si="74"/>
        <v>15.144921999999999</v>
      </c>
    </row>
    <row r="902" spans="1:22" x14ac:dyDescent="0.25">
      <c r="A902" s="2" t="s">
        <v>936</v>
      </c>
      <c r="B902" s="2" t="s">
        <v>32</v>
      </c>
      <c r="C902" s="2" t="s">
        <v>33</v>
      </c>
      <c r="D902" s="2" t="s">
        <v>20</v>
      </c>
      <c r="E902" s="2">
        <v>560.32000000000005</v>
      </c>
      <c r="F902" s="2">
        <v>11.29</v>
      </c>
      <c r="G902" s="2">
        <v>20.07</v>
      </c>
      <c r="H902" s="2">
        <v>0.6</v>
      </c>
      <c r="I902" s="2">
        <v>0</v>
      </c>
      <c r="J902" s="2">
        <v>26</v>
      </c>
      <c r="K902" s="2" t="s">
        <v>34</v>
      </c>
      <c r="L902" s="2">
        <v>7.1</v>
      </c>
      <c r="M902" s="2" t="s">
        <v>37</v>
      </c>
      <c r="N902" s="2">
        <v>70.510000000000005</v>
      </c>
      <c r="O902" s="2" t="s">
        <v>23</v>
      </c>
      <c r="P902" s="2">
        <v>9.68</v>
      </c>
      <c r="Q902" s="2">
        <v>9.67</v>
      </c>
      <c r="R902" s="3">
        <f t="shared" si="70"/>
        <v>5423.8976000000002</v>
      </c>
      <c r="S902" s="3">
        <f t="shared" si="71"/>
        <v>5418.2944000000007</v>
      </c>
      <c r="T902" s="3">
        <f t="shared" si="72"/>
        <v>-5.6031999999995605</v>
      </c>
      <c r="U902" s="4">
        <f t="shared" si="73"/>
        <v>-1.0341261633918526E-3</v>
      </c>
      <c r="V902" s="5">
        <f t="shared" si="74"/>
        <v>39.782719999999998</v>
      </c>
    </row>
    <row r="903" spans="1:22" x14ac:dyDescent="0.25">
      <c r="A903" s="2" t="s">
        <v>937</v>
      </c>
      <c r="B903" s="2" t="s">
        <v>26</v>
      </c>
      <c r="C903" s="2" t="s">
        <v>33</v>
      </c>
      <c r="D903" s="2" t="s">
        <v>28</v>
      </c>
      <c r="E903" s="2">
        <v>529.82000000000005</v>
      </c>
      <c r="F903" s="2">
        <v>11.15</v>
      </c>
      <c r="G903" s="2">
        <v>24.83</v>
      </c>
      <c r="H903" s="2">
        <v>1.8</v>
      </c>
      <c r="I903" s="2">
        <v>0.2</v>
      </c>
      <c r="J903" s="2">
        <v>1</v>
      </c>
      <c r="K903" s="2" t="s">
        <v>21</v>
      </c>
      <c r="L903" s="2">
        <v>8.4</v>
      </c>
      <c r="M903" s="2" t="s">
        <v>22</v>
      </c>
      <c r="N903" s="2">
        <v>72.12</v>
      </c>
      <c r="O903" s="2" t="s">
        <v>24</v>
      </c>
      <c r="P903" s="2">
        <v>7.15</v>
      </c>
      <c r="Q903" s="2">
        <v>14.8</v>
      </c>
      <c r="R903" s="3">
        <f t="shared" si="70"/>
        <v>3788.2130000000006</v>
      </c>
      <c r="S903" s="3">
        <f t="shared" si="71"/>
        <v>7841.3360000000011</v>
      </c>
      <c r="T903" s="3">
        <f t="shared" si="72"/>
        <v>4053.1230000000005</v>
      </c>
      <c r="U903" s="4">
        <f t="shared" si="73"/>
        <v>0.51689189189189189</v>
      </c>
      <c r="V903" s="5">
        <f t="shared" si="74"/>
        <v>44.50488</v>
      </c>
    </row>
    <row r="904" spans="1:22" x14ac:dyDescent="0.25">
      <c r="A904" s="2" t="s">
        <v>938</v>
      </c>
      <c r="B904" s="2" t="s">
        <v>45</v>
      </c>
      <c r="C904" s="2" t="s">
        <v>43</v>
      </c>
      <c r="D904" s="2" t="s">
        <v>20</v>
      </c>
      <c r="E904" s="2">
        <v>563.87</v>
      </c>
      <c r="F904" s="2">
        <v>13.12</v>
      </c>
      <c r="G904" s="2">
        <v>30.19</v>
      </c>
      <c r="H904" s="2">
        <v>1.9</v>
      </c>
      <c r="I904" s="2">
        <v>3.5</v>
      </c>
      <c r="J904" s="2">
        <v>14</v>
      </c>
      <c r="K904" s="2" t="s">
        <v>34</v>
      </c>
      <c r="L904" s="2">
        <v>4.5</v>
      </c>
      <c r="M904" s="2" t="s">
        <v>22</v>
      </c>
      <c r="N904" s="2">
        <v>93.44</v>
      </c>
      <c r="O904" s="2" t="s">
        <v>23</v>
      </c>
      <c r="P904" s="2">
        <v>7.38</v>
      </c>
      <c r="Q904" s="2">
        <v>10.55</v>
      </c>
      <c r="R904" s="3">
        <f t="shared" si="70"/>
        <v>4161.3606</v>
      </c>
      <c r="S904" s="3">
        <f t="shared" si="71"/>
        <v>5948.8285000000005</v>
      </c>
      <c r="T904" s="3">
        <f t="shared" si="72"/>
        <v>1787.4679000000006</v>
      </c>
      <c r="U904" s="4">
        <f t="shared" si="73"/>
        <v>0.30047393364928915</v>
      </c>
      <c r="V904" s="5">
        <f t="shared" si="74"/>
        <v>25.37415</v>
      </c>
    </row>
    <row r="905" spans="1:22" x14ac:dyDescent="0.25">
      <c r="A905" s="2" t="s">
        <v>939</v>
      </c>
      <c r="B905" s="2" t="s">
        <v>18</v>
      </c>
      <c r="C905" s="2" t="s">
        <v>33</v>
      </c>
      <c r="D905" s="2" t="s">
        <v>28</v>
      </c>
      <c r="E905" s="2">
        <v>605.80999999999995</v>
      </c>
      <c r="F905" s="2">
        <v>17.41</v>
      </c>
      <c r="G905" s="2">
        <v>27.6</v>
      </c>
      <c r="H905" s="2">
        <v>0.3</v>
      </c>
      <c r="I905" s="2">
        <v>3.9</v>
      </c>
      <c r="J905" s="2">
        <v>22</v>
      </c>
      <c r="K905" s="2" t="s">
        <v>21</v>
      </c>
      <c r="L905" s="2">
        <v>8.98</v>
      </c>
      <c r="M905" s="2" t="s">
        <v>40</v>
      </c>
      <c r="N905" s="2">
        <v>80.56</v>
      </c>
      <c r="O905" s="2" t="s">
        <v>30</v>
      </c>
      <c r="P905" s="2">
        <v>6.04</v>
      </c>
      <c r="Q905" s="2">
        <v>14.38</v>
      </c>
      <c r="R905" s="3">
        <f t="shared" si="70"/>
        <v>3659.0923999999995</v>
      </c>
      <c r="S905" s="3">
        <f t="shared" si="71"/>
        <v>8711.5478000000003</v>
      </c>
      <c r="T905" s="3">
        <f t="shared" si="72"/>
        <v>5052.4554000000007</v>
      </c>
      <c r="U905" s="4">
        <f t="shared" si="73"/>
        <v>0.57997218358831715</v>
      </c>
      <c r="V905" s="5">
        <f t="shared" si="74"/>
        <v>54.401737999999995</v>
      </c>
    </row>
    <row r="906" spans="1:22" x14ac:dyDescent="0.25">
      <c r="A906" s="2" t="s">
        <v>940</v>
      </c>
      <c r="B906" s="2" t="s">
        <v>18</v>
      </c>
      <c r="C906" s="2" t="s">
        <v>27</v>
      </c>
      <c r="D906" s="2" t="s">
        <v>28</v>
      </c>
      <c r="E906" s="2">
        <v>536.76</v>
      </c>
      <c r="F906" s="2">
        <v>8.48</v>
      </c>
      <c r="G906" s="2">
        <v>28.97</v>
      </c>
      <c r="H906" s="2">
        <v>3.2</v>
      </c>
      <c r="I906" s="2">
        <v>1.1000000000000001</v>
      </c>
      <c r="J906" s="2">
        <v>23</v>
      </c>
      <c r="K906" s="2" t="s">
        <v>29</v>
      </c>
      <c r="L906" s="2">
        <v>1.62</v>
      </c>
      <c r="M906" s="2" t="s">
        <v>40</v>
      </c>
      <c r="N906" s="2">
        <v>51.02</v>
      </c>
      <c r="O906" s="2" t="s">
        <v>30</v>
      </c>
      <c r="P906" s="2">
        <v>5.4</v>
      </c>
      <c r="Q906" s="2">
        <v>13.13</v>
      </c>
      <c r="R906" s="3">
        <f t="shared" si="70"/>
        <v>2898.5040000000004</v>
      </c>
      <c r="S906" s="3">
        <f t="shared" si="71"/>
        <v>7047.6588000000002</v>
      </c>
      <c r="T906" s="3">
        <f t="shared" si="72"/>
        <v>4149.1548000000003</v>
      </c>
      <c r="U906" s="4">
        <f t="shared" si="73"/>
        <v>0.58872810357958871</v>
      </c>
      <c r="V906" s="5">
        <f t="shared" si="74"/>
        <v>8.6955120000000008</v>
      </c>
    </row>
    <row r="907" spans="1:22" x14ac:dyDescent="0.25">
      <c r="A907" s="2" t="s">
        <v>941</v>
      </c>
      <c r="B907" s="2" t="s">
        <v>45</v>
      </c>
      <c r="C907" s="2" t="s">
        <v>19</v>
      </c>
      <c r="D907" s="2" t="s">
        <v>20</v>
      </c>
      <c r="E907" s="2">
        <v>514.80999999999995</v>
      </c>
      <c r="F907" s="2">
        <v>11.52</v>
      </c>
      <c r="G907" s="2">
        <v>39.61</v>
      </c>
      <c r="H907" s="2">
        <v>3.1</v>
      </c>
      <c r="I907" s="2">
        <v>2.1</v>
      </c>
      <c r="J907" s="2">
        <v>13</v>
      </c>
      <c r="K907" s="2" t="s">
        <v>29</v>
      </c>
      <c r="L907" s="2">
        <v>7.23</v>
      </c>
      <c r="M907" s="2" t="s">
        <v>22</v>
      </c>
      <c r="N907" s="2">
        <v>75.95</v>
      </c>
      <c r="O907" s="2" t="s">
        <v>24</v>
      </c>
      <c r="P907" s="2">
        <v>4.49</v>
      </c>
      <c r="Q907" s="2">
        <v>11.66</v>
      </c>
      <c r="R907" s="3">
        <f t="shared" si="70"/>
        <v>2311.4968999999996</v>
      </c>
      <c r="S907" s="3">
        <f t="shared" si="71"/>
        <v>6002.6845999999996</v>
      </c>
      <c r="T907" s="3">
        <f t="shared" si="72"/>
        <v>3691.1876999999999</v>
      </c>
      <c r="U907" s="4">
        <f t="shared" si="73"/>
        <v>0.61492281303602059</v>
      </c>
      <c r="V907" s="5">
        <f t="shared" si="74"/>
        <v>37.220762999999998</v>
      </c>
    </row>
    <row r="908" spans="1:22" x14ac:dyDescent="0.25">
      <c r="A908" s="2" t="s">
        <v>942</v>
      </c>
      <c r="B908" s="2" t="s">
        <v>45</v>
      </c>
      <c r="C908" s="2" t="s">
        <v>27</v>
      </c>
      <c r="D908" s="2" t="s">
        <v>28</v>
      </c>
      <c r="E908" s="2">
        <v>411.89</v>
      </c>
      <c r="F908" s="2">
        <v>16.57</v>
      </c>
      <c r="G908" s="2">
        <v>27.01</v>
      </c>
      <c r="H908" s="2">
        <v>0.5</v>
      </c>
      <c r="I908" s="2">
        <v>0.2</v>
      </c>
      <c r="J908" s="2">
        <v>25</v>
      </c>
      <c r="K908" s="2" t="s">
        <v>29</v>
      </c>
      <c r="L908" s="2">
        <v>3.81</v>
      </c>
      <c r="M908" s="2" t="s">
        <v>37</v>
      </c>
      <c r="N908" s="2">
        <v>88.12</v>
      </c>
      <c r="O908" s="2" t="s">
        <v>23</v>
      </c>
      <c r="P908" s="2">
        <v>7.23</v>
      </c>
      <c r="Q908" s="2">
        <v>8.49</v>
      </c>
      <c r="R908" s="3">
        <f t="shared" si="70"/>
        <v>2977.9647</v>
      </c>
      <c r="S908" s="3">
        <f t="shared" si="71"/>
        <v>3496.9461000000001</v>
      </c>
      <c r="T908" s="3">
        <f t="shared" si="72"/>
        <v>518.98140000000012</v>
      </c>
      <c r="U908" s="4">
        <f t="shared" si="73"/>
        <v>0.14840989399293289</v>
      </c>
      <c r="V908" s="5">
        <f t="shared" si="74"/>
        <v>15.693009</v>
      </c>
    </row>
    <row r="909" spans="1:22" x14ac:dyDescent="0.25">
      <c r="A909" s="2" t="s">
        <v>943</v>
      </c>
      <c r="B909" s="2" t="s">
        <v>18</v>
      </c>
      <c r="C909" s="2" t="s">
        <v>43</v>
      </c>
      <c r="D909" s="2" t="s">
        <v>28</v>
      </c>
      <c r="E909" s="2">
        <v>428.78</v>
      </c>
      <c r="F909" s="2">
        <v>11.96</v>
      </c>
      <c r="G909" s="2">
        <v>29.04</v>
      </c>
      <c r="H909" s="2">
        <v>0.7</v>
      </c>
      <c r="I909" s="2">
        <v>3.6</v>
      </c>
      <c r="J909" s="2">
        <v>12</v>
      </c>
      <c r="K909" s="2" t="s">
        <v>34</v>
      </c>
      <c r="L909" s="2">
        <v>1.46</v>
      </c>
      <c r="M909" s="2" t="s">
        <v>40</v>
      </c>
      <c r="N909" s="2">
        <v>52.82</v>
      </c>
      <c r="O909" s="2" t="s">
        <v>23</v>
      </c>
      <c r="P909" s="2">
        <v>9.68</v>
      </c>
      <c r="Q909" s="2">
        <v>8.0399999999999991</v>
      </c>
      <c r="R909" s="3">
        <f t="shared" si="70"/>
        <v>4150.5904</v>
      </c>
      <c r="S909" s="3">
        <f t="shared" si="71"/>
        <v>3447.3911999999996</v>
      </c>
      <c r="T909" s="3">
        <f t="shared" si="72"/>
        <v>-703.19920000000047</v>
      </c>
      <c r="U909" s="4">
        <f t="shared" si="73"/>
        <v>-0.20398009950248772</v>
      </c>
      <c r="V909" s="5">
        <f t="shared" si="74"/>
        <v>6.2601879999999994</v>
      </c>
    </row>
    <row r="910" spans="1:22" x14ac:dyDescent="0.25">
      <c r="A910" s="2" t="s">
        <v>944</v>
      </c>
      <c r="B910" s="2" t="s">
        <v>18</v>
      </c>
      <c r="C910" s="2" t="s">
        <v>27</v>
      </c>
      <c r="D910" s="2" t="s">
        <v>20</v>
      </c>
      <c r="E910" s="2">
        <v>618.66999999999996</v>
      </c>
      <c r="F910" s="2">
        <v>9.99</v>
      </c>
      <c r="G910" s="2">
        <v>22.67</v>
      </c>
      <c r="H910" s="2">
        <v>5.6</v>
      </c>
      <c r="I910" s="2">
        <v>0.2</v>
      </c>
      <c r="J910" s="2">
        <v>3</v>
      </c>
      <c r="K910" s="2" t="s">
        <v>21</v>
      </c>
      <c r="L910" s="2">
        <v>4.17</v>
      </c>
      <c r="M910" s="2" t="s">
        <v>22</v>
      </c>
      <c r="N910" s="2">
        <v>71.13</v>
      </c>
      <c r="O910" s="2" t="s">
        <v>30</v>
      </c>
      <c r="P910" s="2">
        <v>5.52</v>
      </c>
      <c r="Q910" s="2">
        <v>11.43</v>
      </c>
      <c r="R910" s="3">
        <f t="shared" si="70"/>
        <v>3415.0583999999994</v>
      </c>
      <c r="S910" s="3">
        <f t="shared" si="71"/>
        <v>7071.3980999999994</v>
      </c>
      <c r="T910" s="3">
        <f t="shared" si="72"/>
        <v>3656.3397</v>
      </c>
      <c r="U910" s="4">
        <f t="shared" si="73"/>
        <v>0.51706036745406825</v>
      </c>
      <c r="V910" s="5">
        <f t="shared" si="74"/>
        <v>25.798538999999995</v>
      </c>
    </row>
    <row r="911" spans="1:22" x14ac:dyDescent="0.25">
      <c r="A911" s="2" t="s">
        <v>945</v>
      </c>
      <c r="B911" s="2" t="s">
        <v>45</v>
      </c>
      <c r="C911" s="2" t="s">
        <v>19</v>
      </c>
      <c r="D911" s="2" t="s">
        <v>28</v>
      </c>
      <c r="E911" s="2">
        <v>643.63</v>
      </c>
      <c r="F911" s="2">
        <v>12.25</v>
      </c>
      <c r="G911" s="2">
        <v>20.96</v>
      </c>
      <c r="H911" s="2">
        <v>3.5</v>
      </c>
      <c r="I911" s="2">
        <v>0.1</v>
      </c>
      <c r="J911" s="2">
        <v>18</v>
      </c>
      <c r="K911" s="2" t="s">
        <v>21</v>
      </c>
      <c r="L911" s="2">
        <v>8.86</v>
      </c>
      <c r="M911" s="2" t="s">
        <v>22</v>
      </c>
      <c r="N911" s="2">
        <v>72.56</v>
      </c>
      <c r="O911" s="2" t="s">
        <v>30</v>
      </c>
      <c r="P911" s="2">
        <v>9.18</v>
      </c>
      <c r="Q911" s="2">
        <v>9.33</v>
      </c>
      <c r="R911" s="3">
        <f t="shared" si="70"/>
        <v>5908.5234</v>
      </c>
      <c r="S911" s="3">
        <f t="shared" si="71"/>
        <v>6005.0679</v>
      </c>
      <c r="T911" s="3">
        <f t="shared" si="72"/>
        <v>96.544499999999971</v>
      </c>
      <c r="U911" s="4">
        <f t="shared" si="73"/>
        <v>1.6077170418006426E-2</v>
      </c>
      <c r="V911" s="5">
        <f t="shared" si="74"/>
        <v>57.025617999999994</v>
      </c>
    </row>
    <row r="912" spans="1:22" x14ac:dyDescent="0.25">
      <c r="A912" s="2" t="s">
        <v>946</v>
      </c>
      <c r="B912" s="2" t="s">
        <v>18</v>
      </c>
      <c r="C912" s="2" t="s">
        <v>27</v>
      </c>
      <c r="D912" s="2" t="s">
        <v>20</v>
      </c>
      <c r="E912" s="2">
        <v>476.19</v>
      </c>
      <c r="F912" s="2">
        <v>11.86</v>
      </c>
      <c r="G912" s="2">
        <v>35.51</v>
      </c>
      <c r="H912" s="2">
        <v>2.4</v>
      </c>
      <c r="I912" s="2">
        <v>0.1</v>
      </c>
      <c r="J912" s="2">
        <v>21</v>
      </c>
      <c r="K912" s="2" t="s">
        <v>21</v>
      </c>
      <c r="L912" s="2">
        <v>9.82</v>
      </c>
      <c r="M912" s="2" t="s">
        <v>22</v>
      </c>
      <c r="N912" s="2">
        <v>97.7</v>
      </c>
      <c r="O912" s="2" t="s">
        <v>24</v>
      </c>
      <c r="P912" s="2">
        <v>4.04</v>
      </c>
      <c r="Q912" s="2">
        <v>12.99</v>
      </c>
      <c r="R912" s="3">
        <f t="shared" si="70"/>
        <v>1923.8076000000001</v>
      </c>
      <c r="S912" s="3">
        <f t="shared" si="71"/>
        <v>6185.7080999999998</v>
      </c>
      <c r="T912" s="3">
        <f t="shared" si="72"/>
        <v>4261.9004999999997</v>
      </c>
      <c r="U912" s="4">
        <f t="shared" si="73"/>
        <v>0.68899153194765206</v>
      </c>
      <c r="V912" s="5">
        <f t="shared" si="74"/>
        <v>46.761858000000004</v>
      </c>
    </row>
    <row r="913" spans="1:22" x14ac:dyDescent="0.25">
      <c r="A913" s="2" t="s">
        <v>947</v>
      </c>
      <c r="B913" s="2" t="s">
        <v>32</v>
      </c>
      <c r="C913" s="2" t="s">
        <v>43</v>
      </c>
      <c r="D913" s="2" t="s">
        <v>28</v>
      </c>
      <c r="E913" s="2">
        <v>504.6</v>
      </c>
      <c r="F913" s="2">
        <v>17.149999999999999</v>
      </c>
      <c r="G913" s="2">
        <v>31.41</v>
      </c>
      <c r="H913" s="2">
        <v>0.2</v>
      </c>
      <c r="I913" s="2">
        <v>0.9</v>
      </c>
      <c r="J913" s="2">
        <v>13</v>
      </c>
      <c r="K913" s="2" t="s">
        <v>21</v>
      </c>
      <c r="L913" s="2">
        <v>4.2300000000000004</v>
      </c>
      <c r="M913" s="2" t="s">
        <v>37</v>
      </c>
      <c r="N913" s="2">
        <v>73.78</v>
      </c>
      <c r="O913" s="2" t="s">
        <v>30</v>
      </c>
      <c r="P913" s="2">
        <v>9.5500000000000007</v>
      </c>
      <c r="Q913" s="2">
        <v>12.6</v>
      </c>
      <c r="R913" s="3">
        <f t="shared" si="70"/>
        <v>4818.93</v>
      </c>
      <c r="S913" s="3">
        <f t="shared" si="71"/>
        <v>6357.96</v>
      </c>
      <c r="T913" s="3">
        <f t="shared" si="72"/>
        <v>1539.0299999999997</v>
      </c>
      <c r="U913" s="4">
        <f t="shared" si="73"/>
        <v>0.24206349206349201</v>
      </c>
      <c r="V913" s="5">
        <f t="shared" si="74"/>
        <v>21.344580000000004</v>
      </c>
    </row>
    <row r="914" spans="1:22" x14ac:dyDescent="0.25">
      <c r="A914" s="2" t="s">
        <v>948</v>
      </c>
      <c r="B914" s="2" t="s">
        <v>32</v>
      </c>
      <c r="C914" s="2" t="s">
        <v>33</v>
      </c>
      <c r="D914" s="2" t="s">
        <v>28</v>
      </c>
      <c r="E914" s="2">
        <v>409.54</v>
      </c>
      <c r="F914" s="2">
        <v>15.62</v>
      </c>
      <c r="G914" s="2">
        <v>35.21</v>
      </c>
      <c r="H914" s="2">
        <v>1.1000000000000001</v>
      </c>
      <c r="I914" s="2">
        <v>1.5</v>
      </c>
      <c r="J914" s="2">
        <v>15</v>
      </c>
      <c r="K914" s="2" t="s">
        <v>21</v>
      </c>
      <c r="L914" s="2">
        <v>8.92</v>
      </c>
      <c r="M914" s="2" t="s">
        <v>22</v>
      </c>
      <c r="N914" s="2">
        <v>87.5</v>
      </c>
      <c r="O914" s="2" t="s">
        <v>30</v>
      </c>
      <c r="P914" s="2">
        <v>5.45</v>
      </c>
      <c r="Q914" s="2">
        <v>8.1199999999999992</v>
      </c>
      <c r="R914" s="3">
        <f t="shared" si="70"/>
        <v>2231.9930000000004</v>
      </c>
      <c r="S914" s="3">
        <f t="shared" si="71"/>
        <v>3325.4647999999997</v>
      </c>
      <c r="T914" s="3">
        <f t="shared" si="72"/>
        <v>1093.4717999999993</v>
      </c>
      <c r="U914" s="4">
        <f t="shared" si="73"/>
        <v>0.32881773399014763</v>
      </c>
      <c r="V914" s="5">
        <f t="shared" si="74"/>
        <v>36.530968000000001</v>
      </c>
    </row>
    <row r="915" spans="1:22" x14ac:dyDescent="0.25">
      <c r="A915" s="2" t="s">
        <v>949</v>
      </c>
      <c r="B915" s="2" t="s">
        <v>45</v>
      </c>
      <c r="C915" s="2" t="s">
        <v>27</v>
      </c>
      <c r="D915" s="2" t="s">
        <v>28</v>
      </c>
      <c r="E915" s="2">
        <v>617.28</v>
      </c>
      <c r="F915" s="2">
        <v>13.05</v>
      </c>
      <c r="G915" s="2">
        <v>23</v>
      </c>
      <c r="H915" s="2">
        <v>1.6</v>
      </c>
      <c r="I915" s="2">
        <v>0.5</v>
      </c>
      <c r="J915" s="2">
        <v>10</v>
      </c>
      <c r="K915" s="2" t="s">
        <v>34</v>
      </c>
      <c r="L915" s="2">
        <v>5.34</v>
      </c>
      <c r="M915" s="2" t="s">
        <v>22</v>
      </c>
      <c r="N915" s="2">
        <v>65.150000000000006</v>
      </c>
      <c r="O915" s="2" t="s">
        <v>23</v>
      </c>
      <c r="P915" s="2">
        <v>5.66</v>
      </c>
      <c r="Q915" s="2">
        <v>12.03</v>
      </c>
      <c r="R915" s="3">
        <f t="shared" si="70"/>
        <v>3493.8047999999999</v>
      </c>
      <c r="S915" s="3">
        <f t="shared" si="71"/>
        <v>7425.8783999999996</v>
      </c>
      <c r="T915" s="3">
        <f t="shared" si="72"/>
        <v>3932.0735999999997</v>
      </c>
      <c r="U915" s="4">
        <f t="shared" si="73"/>
        <v>0.52950955943474642</v>
      </c>
      <c r="V915" s="5">
        <f t="shared" si="74"/>
        <v>32.962751999999995</v>
      </c>
    </row>
    <row r="916" spans="1:22" x14ac:dyDescent="0.25">
      <c r="A916" s="2" t="s">
        <v>950</v>
      </c>
      <c r="B916" s="2" t="s">
        <v>26</v>
      </c>
      <c r="C916" s="2" t="s">
        <v>43</v>
      </c>
      <c r="D916" s="2" t="s">
        <v>28</v>
      </c>
      <c r="E916" s="2">
        <v>566.54</v>
      </c>
      <c r="F916" s="2">
        <v>17.88</v>
      </c>
      <c r="G916" s="2">
        <v>31.44</v>
      </c>
      <c r="H916" s="2">
        <v>0.4</v>
      </c>
      <c r="I916" s="2">
        <v>3.8</v>
      </c>
      <c r="J916" s="2">
        <v>1</v>
      </c>
      <c r="K916" s="2" t="s">
        <v>21</v>
      </c>
      <c r="L916" s="2">
        <v>7.31</v>
      </c>
      <c r="M916" s="2" t="s">
        <v>37</v>
      </c>
      <c r="N916" s="2">
        <v>88.97</v>
      </c>
      <c r="O916" s="2" t="s">
        <v>23</v>
      </c>
      <c r="P916" s="2">
        <v>6.24</v>
      </c>
      <c r="Q916" s="2">
        <v>9.9499999999999993</v>
      </c>
      <c r="R916" s="3">
        <f t="shared" si="70"/>
        <v>3535.2095999999997</v>
      </c>
      <c r="S916" s="3">
        <f t="shared" si="71"/>
        <v>5637.0729999999994</v>
      </c>
      <c r="T916" s="3">
        <f t="shared" si="72"/>
        <v>2101.8633999999997</v>
      </c>
      <c r="U916" s="4">
        <f t="shared" si="73"/>
        <v>0.37286432160804017</v>
      </c>
      <c r="V916" s="5">
        <f t="shared" si="74"/>
        <v>41.414073999999992</v>
      </c>
    </row>
    <row r="917" spans="1:22" x14ac:dyDescent="0.25">
      <c r="A917" s="2" t="s">
        <v>951</v>
      </c>
      <c r="B917" s="2" t="s">
        <v>45</v>
      </c>
      <c r="C917" s="2" t="s">
        <v>43</v>
      </c>
      <c r="D917" s="2" t="s">
        <v>20</v>
      </c>
      <c r="E917" s="2">
        <v>694.12</v>
      </c>
      <c r="F917" s="2">
        <v>12.65</v>
      </c>
      <c r="G917" s="2">
        <v>25.07</v>
      </c>
      <c r="H917" s="2">
        <v>1.2</v>
      </c>
      <c r="I917" s="2">
        <v>0.6</v>
      </c>
      <c r="J917" s="2">
        <v>29</v>
      </c>
      <c r="K917" s="2" t="s">
        <v>29</v>
      </c>
      <c r="L917" s="2">
        <v>0.93</v>
      </c>
      <c r="M917" s="2" t="s">
        <v>22</v>
      </c>
      <c r="N917" s="2">
        <v>66.13</v>
      </c>
      <c r="O917" s="2" t="s">
        <v>23</v>
      </c>
      <c r="P917" s="2">
        <v>8.0299999999999994</v>
      </c>
      <c r="Q917" s="2">
        <v>8.23</v>
      </c>
      <c r="R917" s="3">
        <f t="shared" si="70"/>
        <v>5573.7835999999998</v>
      </c>
      <c r="S917" s="3">
        <f t="shared" si="71"/>
        <v>5712.6076000000003</v>
      </c>
      <c r="T917" s="3">
        <f t="shared" si="72"/>
        <v>138.82400000000052</v>
      </c>
      <c r="U917" s="4">
        <f t="shared" si="73"/>
        <v>2.4301336573511634E-2</v>
      </c>
      <c r="V917" s="5">
        <f t="shared" si="74"/>
        <v>6.4553159999999998</v>
      </c>
    </row>
    <row r="918" spans="1:22" x14ac:dyDescent="0.25">
      <c r="A918" s="2" t="s">
        <v>952</v>
      </c>
      <c r="B918" s="2" t="s">
        <v>45</v>
      </c>
      <c r="C918" s="2" t="s">
        <v>19</v>
      </c>
      <c r="D918" s="2" t="s">
        <v>28</v>
      </c>
      <c r="E918" s="2">
        <v>412.17</v>
      </c>
      <c r="F918" s="2">
        <v>8.58</v>
      </c>
      <c r="G918" s="2">
        <v>24.56</v>
      </c>
      <c r="H918" s="2">
        <v>1.8</v>
      </c>
      <c r="I918" s="2">
        <v>0.2</v>
      </c>
      <c r="J918" s="2">
        <v>6</v>
      </c>
      <c r="K918" s="2" t="s">
        <v>21</v>
      </c>
      <c r="L918" s="2">
        <v>5.79</v>
      </c>
      <c r="M918" s="2" t="s">
        <v>22</v>
      </c>
      <c r="N918" s="2">
        <v>71.5</v>
      </c>
      <c r="O918" s="2" t="s">
        <v>30</v>
      </c>
      <c r="P918" s="2">
        <v>8.0399999999999991</v>
      </c>
      <c r="Q918" s="2">
        <v>9.1300000000000008</v>
      </c>
      <c r="R918" s="3">
        <f t="shared" si="70"/>
        <v>3313.8467999999998</v>
      </c>
      <c r="S918" s="3">
        <f t="shared" si="71"/>
        <v>3763.1121000000003</v>
      </c>
      <c r="T918" s="3">
        <f t="shared" si="72"/>
        <v>449.26530000000048</v>
      </c>
      <c r="U918" s="4">
        <f t="shared" si="73"/>
        <v>0.11938663745892673</v>
      </c>
      <c r="V918" s="5">
        <f t="shared" si="74"/>
        <v>23.864643000000001</v>
      </c>
    </row>
    <row r="919" spans="1:22" x14ac:dyDescent="0.25">
      <c r="A919" s="2" t="s">
        <v>953</v>
      </c>
      <c r="B919" s="2" t="s">
        <v>26</v>
      </c>
      <c r="C919" s="2" t="s">
        <v>19</v>
      </c>
      <c r="D919" s="2" t="s">
        <v>20</v>
      </c>
      <c r="E919" s="2">
        <v>462.2</v>
      </c>
      <c r="F919" s="2">
        <v>10.62</v>
      </c>
      <c r="G919" s="2">
        <v>20.23</v>
      </c>
      <c r="H919" s="2">
        <v>0.8</v>
      </c>
      <c r="I919" s="2">
        <v>0.6</v>
      </c>
      <c r="J919" s="2">
        <v>9</v>
      </c>
      <c r="K919" s="2" t="s">
        <v>29</v>
      </c>
      <c r="L919" s="2">
        <v>1.17</v>
      </c>
      <c r="M919" s="2" t="s">
        <v>40</v>
      </c>
      <c r="N919" s="2">
        <v>73.97</v>
      </c>
      <c r="O919" s="2" t="s">
        <v>24</v>
      </c>
      <c r="P919" s="2">
        <v>6.36</v>
      </c>
      <c r="Q919" s="2">
        <v>13.95</v>
      </c>
      <c r="R919" s="3">
        <f t="shared" si="70"/>
        <v>2939.5920000000001</v>
      </c>
      <c r="S919" s="3">
        <f t="shared" si="71"/>
        <v>6447.69</v>
      </c>
      <c r="T919" s="3">
        <f t="shared" si="72"/>
        <v>3508.0979999999995</v>
      </c>
      <c r="U919" s="4">
        <f t="shared" si="73"/>
        <v>0.54408602150537633</v>
      </c>
      <c r="V919" s="5">
        <f t="shared" si="74"/>
        <v>5.4077400000000004</v>
      </c>
    </row>
    <row r="920" spans="1:22" x14ac:dyDescent="0.25">
      <c r="A920" s="2" t="s">
        <v>954</v>
      </c>
      <c r="B920" s="2" t="s">
        <v>26</v>
      </c>
      <c r="C920" s="2" t="s">
        <v>27</v>
      </c>
      <c r="D920" s="2" t="s">
        <v>28</v>
      </c>
      <c r="E920" s="2">
        <v>523.14</v>
      </c>
      <c r="F920" s="2">
        <v>12.36</v>
      </c>
      <c r="G920" s="2">
        <v>22.61</v>
      </c>
      <c r="H920" s="2">
        <v>3</v>
      </c>
      <c r="I920" s="2">
        <v>1.1000000000000001</v>
      </c>
      <c r="J920" s="2">
        <v>10</v>
      </c>
      <c r="K920" s="2" t="s">
        <v>34</v>
      </c>
      <c r="L920" s="2">
        <v>3.05</v>
      </c>
      <c r="M920" s="2" t="s">
        <v>22</v>
      </c>
      <c r="N920" s="2">
        <v>96.32</v>
      </c>
      <c r="O920" s="2" t="s">
        <v>24</v>
      </c>
      <c r="P920" s="2">
        <v>6.66</v>
      </c>
      <c r="Q920" s="2">
        <v>8.6</v>
      </c>
      <c r="R920" s="3">
        <f t="shared" si="70"/>
        <v>3484.1124</v>
      </c>
      <c r="S920" s="3">
        <f t="shared" si="71"/>
        <v>4499.0039999999999</v>
      </c>
      <c r="T920" s="3">
        <f t="shared" si="72"/>
        <v>1014.8915999999999</v>
      </c>
      <c r="U920" s="4">
        <f t="shared" si="73"/>
        <v>0.2255813953488372</v>
      </c>
      <c r="V920" s="5">
        <f t="shared" si="74"/>
        <v>15.955769999999998</v>
      </c>
    </row>
    <row r="921" spans="1:22" x14ac:dyDescent="0.25">
      <c r="A921" s="2" t="s">
        <v>955</v>
      </c>
      <c r="B921" s="2" t="s">
        <v>26</v>
      </c>
      <c r="C921" s="2" t="s">
        <v>33</v>
      </c>
      <c r="D921" s="2" t="s">
        <v>28</v>
      </c>
      <c r="E921" s="2">
        <v>564.65</v>
      </c>
      <c r="F921" s="2">
        <v>9.57</v>
      </c>
      <c r="G921" s="2">
        <v>26.19</v>
      </c>
      <c r="H921" s="2">
        <v>3.7</v>
      </c>
      <c r="I921" s="2">
        <v>1.8</v>
      </c>
      <c r="J921" s="2">
        <v>15</v>
      </c>
      <c r="K921" s="2" t="s">
        <v>34</v>
      </c>
      <c r="L921" s="2">
        <v>5.88</v>
      </c>
      <c r="M921" s="2" t="s">
        <v>37</v>
      </c>
      <c r="N921" s="2">
        <v>52.67</v>
      </c>
      <c r="O921" s="2" t="s">
        <v>30</v>
      </c>
      <c r="P921" s="2">
        <v>3.21</v>
      </c>
      <c r="Q921" s="2">
        <v>7.87</v>
      </c>
      <c r="R921" s="3">
        <f t="shared" si="70"/>
        <v>1812.5264999999999</v>
      </c>
      <c r="S921" s="3">
        <f t="shared" si="71"/>
        <v>4443.7955000000002</v>
      </c>
      <c r="T921" s="3">
        <f t="shared" si="72"/>
        <v>2631.2690000000002</v>
      </c>
      <c r="U921" s="4">
        <f t="shared" si="73"/>
        <v>0.5921219822109276</v>
      </c>
      <c r="V921" s="5">
        <f t="shared" si="74"/>
        <v>33.201419999999999</v>
      </c>
    </row>
    <row r="922" spans="1:22" x14ac:dyDescent="0.25">
      <c r="A922" s="2" t="s">
        <v>956</v>
      </c>
      <c r="B922" s="2" t="s">
        <v>32</v>
      </c>
      <c r="C922" s="2" t="s">
        <v>43</v>
      </c>
      <c r="D922" s="2" t="s">
        <v>28</v>
      </c>
      <c r="E922" s="2">
        <v>478.43</v>
      </c>
      <c r="F922" s="2">
        <v>17.48</v>
      </c>
      <c r="G922" s="2">
        <v>22.34</v>
      </c>
      <c r="H922" s="2">
        <v>0.8</v>
      </c>
      <c r="I922" s="2">
        <v>0.6</v>
      </c>
      <c r="J922" s="2">
        <v>9</v>
      </c>
      <c r="K922" s="2" t="s">
        <v>29</v>
      </c>
      <c r="L922" s="2">
        <v>8.17</v>
      </c>
      <c r="M922" s="2" t="s">
        <v>40</v>
      </c>
      <c r="N922" s="2">
        <v>59.84</v>
      </c>
      <c r="O922" s="2" t="s">
        <v>24</v>
      </c>
      <c r="P922" s="2">
        <v>5.13</v>
      </c>
      <c r="Q922" s="2">
        <v>8.52</v>
      </c>
      <c r="R922" s="3">
        <f t="shared" si="70"/>
        <v>2454.3458999999998</v>
      </c>
      <c r="S922" s="3">
        <f t="shared" si="71"/>
        <v>4076.2235999999998</v>
      </c>
      <c r="T922" s="3">
        <f t="shared" si="72"/>
        <v>1621.8777</v>
      </c>
      <c r="U922" s="4">
        <f t="shared" si="73"/>
        <v>0.397887323943662</v>
      </c>
      <c r="V922" s="5">
        <f t="shared" si="74"/>
        <v>39.087730999999998</v>
      </c>
    </row>
    <row r="923" spans="1:22" x14ac:dyDescent="0.25">
      <c r="A923" s="2" t="s">
        <v>957</v>
      </c>
      <c r="B923" s="2" t="s">
        <v>18</v>
      </c>
      <c r="C923" s="2" t="s">
        <v>27</v>
      </c>
      <c r="D923" s="2" t="s">
        <v>28</v>
      </c>
      <c r="E923" s="2">
        <v>412.7</v>
      </c>
      <c r="F923" s="2">
        <v>15.67</v>
      </c>
      <c r="G923" s="2">
        <v>39.72</v>
      </c>
      <c r="H923" s="2">
        <v>3.6</v>
      </c>
      <c r="I923" s="2">
        <v>0.9</v>
      </c>
      <c r="J923" s="2">
        <v>23</v>
      </c>
      <c r="K923" s="2" t="s">
        <v>21</v>
      </c>
      <c r="L923" s="2">
        <v>5.83</v>
      </c>
      <c r="M923" s="2" t="s">
        <v>22</v>
      </c>
      <c r="N923" s="2">
        <v>85.29</v>
      </c>
      <c r="O923" s="2" t="s">
        <v>30</v>
      </c>
      <c r="P923" s="2">
        <v>5.42</v>
      </c>
      <c r="Q923" s="2">
        <v>7.15</v>
      </c>
      <c r="R923" s="3">
        <f t="shared" si="70"/>
        <v>2236.8339999999998</v>
      </c>
      <c r="S923" s="3">
        <f t="shared" si="71"/>
        <v>2950.8050000000003</v>
      </c>
      <c r="T923" s="3">
        <f t="shared" si="72"/>
        <v>713.97100000000046</v>
      </c>
      <c r="U923" s="4">
        <f t="shared" si="73"/>
        <v>0.2419580419580421</v>
      </c>
      <c r="V923" s="5">
        <f t="shared" si="74"/>
        <v>24.060410000000001</v>
      </c>
    </row>
    <row r="924" spans="1:22" x14ac:dyDescent="0.25">
      <c r="A924" s="2" t="s">
        <v>958</v>
      </c>
      <c r="B924" s="2" t="s">
        <v>32</v>
      </c>
      <c r="C924" s="2" t="s">
        <v>43</v>
      </c>
      <c r="D924" s="2" t="s">
        <v>20</v>
      </c>
      <c r="E924" s="2">
        <v>588.14</v>
      </c>
      <c r="F924" s="2">
        <v>10.68</v>
      </c>
      <c r="G924" s="2">
        <v>26.17</v>
      </c>
      <c r="H924" s="2">
        <v>0.2</v>
      </c>
      <c r="I924" s="2">
        <v>0.3</v>
      </c>
      <c r="J924" s="2">
        <v>14</v>
      </c>
      <c r="K924" s="2" t="s">
        <v>34</v>
      </c>
      <c r="L924" s="2">
        <v>9.39</v>
      </c>
      <c r="M924" s="2" t="s">
        <v>37</v>
      </c>
      <c r="N924" s="2">
        <v>78.88</v>
      </c>
      <c r="O924" s="2" t="s">
        <v>24</v>
      </c>
      <c r="P924" s="2">
        <v>6.91</v>
      </c>
      <c r="Q924" s="2">
        <v>10.45</v>
      </c>
      <c r="R924" s="3">
        <f t="shared" si="70"/>
        <v>4064.0473999999999</v>
      </c>
      <c r="S924" s="3">
        <f t="shared" si="71"/>
        <v>6146.0629999999992</v>
      </c>
      <c r="T924" s="3">
        <f t="shared" si="72"/>
        <v>2082.0155999999993</v>
      </c>
      <c r="U924" s="4">
        <f t="shared" si="73"/>
        <v>0.33875598086124392</v>
      </c>
      <c r="V924" s="5">
        <f t="shared" si="74"/>
        <v>55.226346000000007</v>
      </c>
    </row>
    <row r="925" spans="1:22" x14ac:dyDescent="0.25">
      <c r="A925" s="2" t="s">
        <v>959</v>
      </c>
      <c r="B925" s="2" t="s">
        <v>18</v>
      </c>
      <c r="C925" s="2" t="s">
        <v>43</v>
      </c>
      <c r="D925" s="2" t="s">
        <v>20</v>
      </c>
      <c r="E925" s="2">
        <v>572.11</v>
      </c>
      <c r="F925" s="2">
        <v>13.91</v>
      </c>
      <c r="G925" s="2">
        <v>22.61</v>
      </c>
      <c r="H925" s="2">
        <v>3.6</v>
      </c>
      <c r="I925" s="2">
        <v>1</v>
      </c>
      <c r="J925" s="2">
        <v>11</v>
      </c>
      <c r="K925" s="2" t="s">
        <v>34</v>
      </c>
      <c r="L925" s="2">
        <v>8.1999999999999993</v>
      </c>
      <c r="M925" s="2" t="s">
        <v>22</v>
      </c>
      <c r="N925" s="2">
        <v>62.58</v>
      </c>
      <c r="O925" s="2" t="s">
        <v>30</v>
      </c>
      <c r="P925" s="2">
        <v>6.91</v>
      </c>
      <c r="Q925" s="2">
        <v>6.47</v>
      </c>
      <c r="R925" s="3">
        <f t="shared" si="70"/>
        <v>3953.2801000000004</v>
      </c>
      <c r="S925" s="3">
        <f t="shared" si="71"/>
        <v>3701.5517</v>
      </c>
      <c r="T925" s="3">
        <f t="shared" si="72"/>
        <v>-251.72840000000042</v>
      </c>
      <c r="U925" s="4">
        <f t="shared" si="73"/>
        <v>-6.8006182380216496E-2</v>
      </c>
      <c r="V925" s="5">
        <f t="shared" si="74"/>
        <v>46.913019999999996</v>
      </c>
    </row>
    <row r="926" spans="1:22" x14ac:dyDescent="0.25">
      <c r="A926" s="2" t="s">
        <v>960</v>
      </c>
      <c r="B926" s="2" t="s">
        <v>32</v>
      </c>
      <c r="C926" s="2" t="s">
        <v>33</v>
      </c>
      <c r="D926" s="2" t="s">
        <v>20</v>
      </c>
      <c r="E926" s="2">
        <v>408.37</v>
      </c>
      <c r="F926" s="2">
        <v>15.21</v>
      </c>
      <c r="G926" s="2">
        <v>23.98</v>
      </c>
      <c r="H926" s="2">
        <v>0.3</v>
      </c>
      <c r="I926" s="2">
        <v>4.3</v>
      </c>
      <c r="J926" s="2">
        <v>7</v>
      </c>
      <c r="K926" s="2" t="s">
        <v>34</v>
      </c>
      <c r="L926" s="2">
        <v>1.98</v>
      </c>
      <c r="M926" s="2" t="s">
        <v>40</v>
      </c>
      <c r="N926" s="2">
        <v>64.459999999999994</v>
      </c>
      <c r="O926" s="2" t="s">
        <v>23</v>
      </c>
      <c r="P926" s="2">
        <v>7.97</v>
      </c>
      <c r="Q926" s="2">
        <v>13.17</v>
      </c>
      <c r="R926" s="3">
        <f t="shared" si="70"/>
        <v>3254.7089000000001</v>
      </c>
      <c r="S926" s="3">
        <f t="shared" si="71"/>
        <v>5378.2329</v>
      </c>
      <c r="T926" s="3">
        <f t="shared" si="72"/>
        <v>2123.5239999999999</v>
      </c>
      <c r="U926" s="4">
        <f t="shared" si="73"/>
        <v>0.39483675018982534</v>
      </c>
      <c r="V926" s="5">
        <f t="shared" si="74"/>
        <v>8.0857259999999993</v>
      </c>
    </row>
    <row r="927" spans="1:22" x14ac:dyDescent="0.25">
      <c r="A927" s="2" t="s">
        <v>961</v>
      </c>
      <c r="B927" s="2" t="s">
        <v>18</v>
      </c>
      <c r="C927" s="2" t="s">
        <v>33</v>
      </c>
      <c r="D927" s="2" t="s">
        <v>20</v>
      </c>
      <c r="E927" s="2">
        <v>635.54</v>
      </c>
      <c r="F927" s="2">
        <v>17.41</v>
      </c>
      <c r="G927" s="2">
        <v>31.75</v>
      </c>
      <c r="H927" s="2">
        <v>0.2</v>
      </c>
      <c r="I927" s="2">
        <v>0.1</v>
      </c>
      <c r="J927" s="2">
        <v>24</v>
      </c>
      <c r="K927" s="2" t="s">
        <v>21</v>
      </c>
      <c r="L927" s="2">
        <v>4.2</v>
      </c>
      <c r="M927" s="2" t="s">
        <v>37</v>
      </c>
      <c r="N927" s="2">
        <v>68.37</v>
      </c>
      <c r="O927" s="2" t="s">
        <v>24</v>
      </c>
      <c r="P927" s="2">
        <v>8.02</v>
      </c>
      <c r="Q927" s="2">
        <v>7.26</v>
      </c>
      <c r="R927" s="3">
        <f t="shared" si="70"/>
        <v>5097.0307999999995</v>
      </c>
      <c r="S927" s="3">
        <f t="shared" si="71"/>
        <v>4614.0203999999994</v>
      </c>
      <c r="T927" s="3">
        <f t="shared" si="72"/>
        <v>-483.01040000000012</v>
      </c>
      <c r="U927" s="4">
        <f t="shared" si="73"/>
        <v>-0.10468319559228655</v>
      </c>
      <c r="V927" s="5">
        <f t="shared" si="74"/>
        <v>26.692679999999999</v>
      </c>
    </row>
    <row r="928" spans="1:22" x14ac:dyDescent="0.25">
      <c r="A928" s="2" t="s">
        <v>962</v>
      </c>
      <c r="B928" s="2" t="s">
        <v>32</v>
      </c>
      <c r="C928" s="2" t="s">
        <v>27</v>
      </c>
      <c r="D928" s="2" t="s">
        <v>28</v>
      </c>
      <c r="E928" s="2">
        <v>617.02</v>
      </c>
      <c r="F928" s="2">
        <v>16.82</v>
      </c>
      <c r="G928" s="2">
        <v>21.28</v>
      </c>
      <c r="H928" s="2">
        <v>2.1</v>
      </c>
      <c r="I928" s="2">
        <v>2.2000000000000002</v>
      </c>
      <c r="J928" s="2">
        <v>26</v>
      </c>
      <c r="K928" s="2" t="s">
        <v>29</v>
      </c>
      <c r="L928" s="2">
        <v>6.85</v>
      </c>
      <c r="M928" s="2" t="s">
        <v>40</v>
      </c>
      <c r="N928" s="2">
        <v>72.52</v>
      </c>
      <c r="O928" s="2" t="s">
        <v>23</v>
      </c>
      <c r="P928" s="2">
        <v>4.6500000000000004</v>
      </c>
      <c r="Q928" s="2">
        <v>10.98</v>
      </c>
      <c r="R928" s="3">
        <f t="shared" si="70"/>
        <v>2869.143</v>
      </c>
      <c r="S928" s="3">
        <f t="shared" si="71"/>
        <v>6774.8796000000002</v>
      </c>
      <c r="T928" s="3">
        <f t="shared" si="72"/>
        <v>3905.7366000000002</v>
      </c>
      <c r="U928" s="4">
        <f t="shared" si="73"/>
        <v>0.57650273224043713</v>
      </c>
      <c r="V928" s="5">
        <f t="shared" si="74"/>
        <v>42.265869999999993</v>
      </c>
    </row>
    <row r="929" spans="1:22" x14ac:dyDescent="0.25">
      <c r="A929" s="2" t="s">
        <v>963</v>
      </c>
      <c r="B929" s="2" t="s">
        <v>26</v>
      </c>
      <c r="C929" s="2" t="s">
        <v>33</v>
      </c>
      <c r="D929" s="2" t="s">
        <v>20</v>
      </c>
      <c r="E929" s="2">
        <v>513.42999999999995</v>
      </c>
      <c r="F929" s="2">
        <v>13.15</v>
      </c>
      <c r="G929" s="2">
        <v>37.25</v>
      </c>
      <c r="H929" s="2">
        <v>1.3</v>
      </c>
      <c r="I929" s="2">
        <v>0.8</v>
      </c>
      <c r="J929" s="2">
        <v>2</v>
      </c>
      <c r="K929" s="2" t="s">
        <v>29</v>
      </c>
      <c r="L929" s="2">
        <v>9.41</v>
      </c>
      <c r="M929" s="2" t="s">
        <v>37</v>
      </c>
      <c r="N929" s="2">
        <v>90.9</v>
      </c>
      <c r="O929" s="2" t="s">
        <v>23</v>
      </c>
      <c r="P929" s="2">
        <v>8.39</v>
      </c>
      <c r="Q929" s="2">
        <v>6.25</v>
      </c>
      <c r="R929" s="3">
        <f t="shared" si="70"/>
        <v>4307.6777000000002</v>
      </c>
      <c r="S929" s="3">
        <f t="shared" si="71"/>
        <v>3208.9374999999995</v>
      </c>
      <c r="T929" s="3">
        <f t="shared" si="72"/>
        <v>-1098.7402000000006</v>
      </c>
      <c r="U929" s="4">
        <f t="shared" si="73"/>
        <v>-0.34240000000000026</v>
      </c>
      <c r="V929" s="5">
        <f t="shared" si="74"/>
        <v>48.313763000000002</v>
      </c>
    </row>
    <row r="930" spans="1:22" x14ac:dyDescent="0.25">
      <c r="A930" s="2" t="s">
        <v>964</v>
      </c>
      <c r="B930" s="2" t="s">
        <v>45</v>
      </c>
      <c r="C930" s="2" t="s">
        <v>33</v>
      </c>
      <c r="D930" s="2" t="s">
        <v>20</v>
      </c>
      <c r="E930" s="2">
        <v>507.96</v>
      </c>
      <c r="F930" s="2">
        <v>15.75</v>
      </c>
      <c r="G930" s="2">
        <v>39.229999999999997</v>
      </c>
      <c r="H930" s="2">
        <v>4.8</v>
      </c>
      <c r="I930" s="2">
        <v>0.3</v>
      </c>
      <c r="J930" s="2">
        <v>14</v>
      </c>
      <c r="K930" s="2" t="s">
        <v>21</v>
      </c>
      <c r="L930" s="2">
        <v>9.8800000000000008</v>
      </c>
      <c r="M930" s="2" t="s">
        <v>37</v>
      </c>
      <c r="N930" s="2">
        <v>50.69</v>
      </c>
      <c r="O930" s="2" t="s">
        <v>24</v>
      </c>
      <c r="P930" s="2">
        <v>3.14</v>
      </c>
      <c r="Q930" s="2">
        <v>14.78</v>
      </c>
      <c r="R930" s="3">
        <f t="shared" si="70"/>
        <v>1594.9944</v>
      </c>
      <c r="S930" s="3">
        <f t="shared" si="71"/>
        <v>7507.648799999999</v>
      </c>
      <c r="T930" s="3">
        <f t="shared" si="72"/>
        <v>5912.6543999999994</v>
      </c>
      <c r="U930" s="4">
        <f t="shared" si="73"/>
        <v>0.78755074424898519</v>
      </c>
      <c r="V930" s="5">
        <f t="shared" si="74"/>
        <v>50.186447999999999</v>
      </c>
    </row>
    <row r="931" spans="1:22" x14ac:dyDescent="0.25">
      <c r="A931" s="2" t="s">
        <v>965</v>
      </c>
      <c r="B931" s="2" t="s">
        <v>32</v>
      </c>
      <c r="C931" s="2" t="s">
        <v>27</v>
      </c>
      <c r="D931" s="2" t="s">
        <v>28</v>
      </c>
      <c r="E931" s="2">
        <v>555.41</v>
      </c>
      <c r="F931" s="2">
        <v>13.62</v>
      </c>
      <c r="G931" s="2">
        <v>24.93</v>
      </c>
      <c r="H931" s="2">
        <v>0.9</v>
      </c>
      <c r="I931" s="2">
        <v>3.1</v>
      </c>
      <c r="J931" s="2">
        <v>6</v>
      </c>
      <c r="K931" s="2" t="s">
        <v>34</v>
      </c>
      <c r="L931" s="2">
        <v>7.75</v>
      </c>
      <c r="M931" s="2" t="s">
        <v>22</v>
      </c>
      <c r="N931" s="2">
        <v>94.9</v>
      </c>
      <c r="O931" s="2" t="s">
        <v>30</v>
      </c>
      <c r="P931" s="2">
        <v>8.01</v>
      </c>
      <c r="Q931" s="2">
        <v>9.5500000000000007</v>
      </c>
      <c r="R931" s="3">
        <f t="shared" si="70"/>
        <v>4448.8341</v>
      </c>
      <c r="S931" s="3">
        <f t="shared" si="71"/>
        <v>5304.1655000000001</v>
      </c>
      <c r="T931" s="3">
        <f t="shared" si="72"/>
        <v>855.33140000000003</v>
      </c>
      <c r="U931" s="4">
        <f t="shared" si="73"/>
        <v>0.16125654450261781</v>
      </c>
      <c r="V931" s="5">
        <f t="shared" si="74"/>
        <v>43.044274999999999</v>
      </c>
    </row>
    <row r="932" spans="1:22" x14ac:dyDescent="0.25">
      <c r="A932" s="2" t="s">
        <v>966</v>
      </c>
      <c r="B932" s="2" t="s">
        <v>18</v>
      </c>
      <c r="C932" s="2" t="s">
        <v>33</v>
      </c>
      <c r="D932" s="2" t="s">
        <v>28</v>
      </c>
      <c r="E932" s="2">
        <v>413.83</v>
      </c>
      <c r="F932" s="2">
        <v>13.53</v>
      </c>
      <c r="G932" s="2">
        <v>29</v>
      </c>
      <c r="H932" s="2">
        <v>0.7</v>
      </c>
      <c r="I932" s="2">
        <v>0.7</v>
      </c>
      <c r="J932" s="2">
        <v>5</v>
      </c>
      <c r="K932" s="2" t="s">
        <v>21</v>
      </c>
      <c r="L932" s="2">
        <v>5.95</v>
      </c>
      <c r="M932" s="2" t="s">
        <v>37</v>
      </c>
      <c r="N932" s="2">
        <v>70.650000000000006</v>
      </c>
      <c r="O932" s="2" t="s">
        <v>23</v>
      </c>
      <c r="P932" s="2">
        <v>3.71</v>
      </c>
      <c r="Q932" s="2">
        <v>13.22</v>
      </c>
      <c r="R932" s="3">
        <f t="shared" si="70"/>
        <v>1535.3092999999999</v>
      </c>
      <c r="S932" s="3">
        <f t="shared" si="71"/>
        <v>5470.8325999999997</v>
      </c>
      <c r="T932" s="3">
        <f t="shared" si="72"/>
        <v>3935.5232999999998</v>
      </c>
      <c r="U932" s="4">
        <f t="shared" si="73"/>
        <v>0.71936459909228445</v>
      </c>
      <c r="V932" s="5">
        <f t="shared" si="74"/>
        <v>24.622885</v>
      </c>
    </row>
    <row r="933" spans="1:22" x14ac:dyDescent="0.25">
      <c r="A933" s="2" t="s">
        <v>967</v>
      </c>
      <c r="B933" s="2" t="s">
        <v>26</v>
      </c>
      <c r="C933" s="2" t="s">
        <v>19</v>
      </c>
      <c r="D933" s="2" t="s">
        <v>28</v>
      </c>
      <c r="E933" s="2">
        <v>503</v>
      </c>
      <c r="F933" s="2">
        <v>9.15</v>
      </c>
      <c r="G933" s="2">
        <v>20.440000000000001</v>
      </c>
      <c r="H933" s="2">
        <v>1.4</v>
      </c>
      <c r="I933" s="2">
        <v>0.4</v>
      </c>
      <c r="J933" s="2">
        <v>5</v>
      </c>
      <c r="K933" s="2" t="s">
        <v>21</v>
      </c>
      <c r="L933" s="2">
        <v>7.69</v>
      </c>
      <c r="M933" s="2" t="s">
        <v>37</v>
      </c>
      <c r="N933" s="2">
        <v>61.52</v>
      </c>
      <c r="O933" s="2" t="s">
        <v>23</v>
      </c>
      <c r="P933" s="2">
        <v>8.11</v>
      </c>
      <c r="Q933" s="2">
        <v>12.69</v>
      </c>
      <c r="R933" s="3">
        <f t="shared" si="70"/>
        <v>4079.33</v>
      </c>
      <c r="S933" s="3">
        <f t="shared" si="71"/>
        <v>6383.07</v>
      </c>
      <c r="T933" s="3">
        <f t="shared" si="72"/>
        <v>2303.7399999999998</v>
      </c>
      <c r="U933" s="4">
        <f t="shared" si="73"/>
        <v>0.36091410559495662</v>
      </c>
      <c r="V933" s="5">
        <f t="shared" si="74"/>
        <v>38.680700000000002</v>
      </c>
    </row>
    <row r="934" spans="1:22" x14ac:dyDescent="0.25">
      <c r="A934" s="2" t="s">
        <v>968</v>
      </c>
      <c r="B934" s="2" t="s">
        <v>32</v>
      </c>
      <c r="C934" s="2" t="s">
        <v>43</v>
      </c>
      <c r="D934" s="2" t="s">
        <v>28</v>
      </c>
      <c r="E934" s="2">
        <v>284.76</v>
      </c>
      <c r="F934" s="2">
        <v>9.26</v>
      </c>
      <c r="G934" s="2">
        <v>32.81</v>
      </c>
      <c r="H934" s="2">
        <v>1.2</v>
      </c>
      <c r="I934" s="2">
        <v>0.2</v>
      </c>
      <c r="J934" s="2">
        <v>29</v>
      </c>
      <c r="K934" s="2" t="s">
        <v>29</v>
      </c>
      <c r="L934" s="2">
        <v>3.1</v>
      </c>
      <c r="M934" s="2" t="s">
        <v>22</v>
      </c>
      <c r="N934" s="2">
        <v>75.42</v>
      </c>
      <c r="O934" s="2" t="s">
        <v>30</v>
      </c>
      <c r="P934" s="2">
        <v>6.69</v>
      </c>
      <c r="Q934" s="2">
        <v>12.14</v>
      </c>
      <c r="R934" s="3">
        <f t="shared" si="70"/>
        <v>1905.0444</v>
      </c>
      <c r="S934" s="3">
        <f t="shared" si="71"/>
        <v>3456.9864000000002</v>
      </c>
      <c r="T934" s="3">
        <f t="shared" si="72"/>
        <v>1551.9420000000002</v>
      </c>
      <c r="U934" s="4">
        <f t="shared" si="73"/>
        <v>0.44892915980230647</v>
      </c>
      <c r="V934" s="5">
        <f t="shared" si="74"/>
        <v>8.8275600000000001</v>
      </c>
    </row>
    <row r="935" spans="1:22" x14ac:dyDescent="0.25">
      <c r="A935" s="2" t="s">
        <v>969</v>
      </c>
      <c r="B935" s="2" t="s">
        <v>32</v>
      </c>
      <c r="C935" s="2" t="s">
        <v>43</v>
      </c>
      <c r="D935" s="2" t="s">
        <v>20</v>
      </c>
      <c r="E935" s="2">
        <v>587.65</v>
      </c>
      <c r="F935" s="2">
        <v>13.3</v>
      </c>
      <c r="G935" s="2">
        <v>28.28</v>
      </c>
      <c r="H935" s="2">
        <v>0.8</v>
      </c>
      <c r="I935" s="2">
        <v>0.3</v>
      </c>
      <c r="J935" s="2">
        <v>19</v>
      </c>
      <c r="K935" s="2" t="s">
        <v>21</v>
      </c>
      <c r="L935" s="2">
        <v>3.19</v>
      </c>
      <c r="M935" s="2" t="s">
        <v>37</v>
      </c>
      <c r="N935" s="2">
        <v>82.98</v>
      </c>
      <c r="O935" s="2" t="s">
        <v>30</v>
      </c>
      <c r="P935" s="2">
        <v>6.06</v>
      </c>
      <c r="Q935" s="2">
        <v>13.27</v>
      </c>
      <c r="R935" s="3">
        <f t="shared" si="70"/>
        <v>3561.1589999999997</v>
      </c>
      <c r="S935" s="3">
        <f t="shared" si="71"/>
        <v>7798.1154999999999</v>
      </c>
      <c r="T935" s="3">
        <f t="shared" si="72"/>
        <v>4236.9565000000002</v>
      </c>
      <c r="U935" s="4">
        <f t="shared" si="73"/>
        <v>0.54333082140165789</v>
      </c>
      <c r="V935" s="5">
        <f t="shared" si="74"/>
        <v>18.746034999999999</v>
      </c>
    </row>
    <row r="936" spans="1:22" x14ac:dyDescent="0.25">
      <c r="A936" s="2" t="s">
        <v>970</v>
      </c>
      <c r="B936" s="2" t="s">
        <v>26</v>
      </c>
      <c r="C936" s="2" t="s">
        <v>43</v>
      </c>
      <c r="D936" s="2" t="s">
        <v>20</v>
      </c>
      <c r="E936" s="2">
        <v>343.85</v>
      </c>
      <c r="F936" s="2">
        <v>10.69</v>
      </c>
      <c r="G936" s="2">
        <v>25.4</v>
      </c>
      <c r="H936" s="2">
        <v>2.4</v>
      </c>
      <c r="I936" s="2">
        <v>1.8</v>
      </c>
      <c r="J936" s="2">
        <v>19</v>
      </c>
      <c r="K936" s="2" t="s">
        <v>21</v>
      </c>
      <c r="L936" s="2">
        <v>6.72</v>
      </c>
      <c r="M936" s="2" t="s">
        <v>37</v>
      </c>
      <c r="N936" s="2">
        <v>52.24</v>
      </c>
      <c r="O936" s="2" t="s">
        <v>24</v>
      </c>
      <c r="P936" s="2">
        <v>7.83</v>
      </c>
      <c r="Q936" s="2">
        <v>6</v>
      </c>
      <c r="R936" s="3">
        <f t="shared" si="70"/>
        <v>2692.3455000000004</v>
      </c>
      <c r="S936" s="3">
        <f t="shared" si="71"/>
        <v>2063.1000000000004</v>
      </c>
      <c r="T936" s="3">
        <f t="shared" si="72"/>
        <v>-629.24549999999999</v>
      </c>
      <c r="U936" s="4">
        <f t="shared" si="73"/>
        <v>-0.30499999999999994</v>
      </c>
      <c r="V936" s="5">
        <f t="shared" si="74"/>
        <v>23.106719999999999</v>
      </c>
    </row>
    <row r="937" spans="1:22" x14ac:dyDescent="0.25">
      <c r="A937" s="2" t="s">
        <v>971</v>
      </c>
      <c r="B937" s="2" t="s">
        <v>32</v>
      </c>
      <c r="C937" s="2" t="s">
        <v>43</v>
      </c>
      <c r="D937" s="2" t="s">
        <v>28</v>
      </c>
      <c r="E937" s="2">
        <v>650.34</v>
      </c>
      <c r="F937" s="2">
        <v>8.2100000000000009</v>
      </c>
      <c r="G937" s="2">
        <v>24.14</v>
      </c>
      <c r="H937" s="2">
        <v>2.9</v>
      </c>
      <c r="I937" s="2">
        <v>1</v>
      </c>
      <c r="J937" s="2">
        <v>6</v>
      </c>
      <c r="K937" s="2" t="s">
        <v>34</v>
      </c>
      <c r="L937" s="2">
        <v>8.7799999999999994</v>
      </c>
      <c r="M937" s="2" t="s">
        <v>37</v>
      </c>
      <c r="N937" s="2">
        <v>85.79</v>
      </c>
      <c r="O937" s="2" t="s">
        <v>24</v>
      </c>
      <c r="P937" s="2">
        <v>3.25</v>
      </c>
      <c r="Q937" s="2">
        <v>11.78</v>
      </c>
      <c r="R937" s="3">
        <f t="shared" si="70"/>
        <v>2113.605</v>
      </c>
      <c r="S937" s="3">
        <f t="shared" si="71"/>
        <v>7661.0051999999996</v>
      </c>
      <c r="T937" s="3">
        <f t="shared" si="72"/>
        <v>5547.4002</v>
      </c>
      <c r="U937" s="4">
        <f t="shared" si="73"/>
        <v>0.72410865874363328</v>
      </c>
      <c r="V937" s="5">
        <f t="shared" si="74"/>
        <v>57.099851999999998</v>
      </c>
    </row>
    <row r="938" spans="1:22" x14ac:dyDescent="0.25">
      <c r="A938" s="2" t="s">
        <v>972</v>
      </c>
      <c r="B938" s="2" t="s">
        <v>45</v>
      </c>
      <c r="C938" s="2" t="s">
        <v>27</v>
      </c>
      <c r="D938" s="2" t="s">
        <v>28</v>
      </c>
      <c r="E938" s="2">
        <v>466.99</v>
      </c>
      <c r="F938" s="2">
        <v>15.23</v>
      </c>
      <c r="G938" s="2">
        <v>33.08</v>
      </c>
      <c r="H938" s="2">
        <v>3.8</v>
      </c>
      <c r="I938" s="2">
        <v>2.4</v>
      </c>
      <c r="J938" s="2">
        <v>28</v>
      </c>
      <c r="K938" s="2" t="s">
        <v>34</v>
      </c>
      <c r="L938" s="2">
        <v>9.7100000000000009</v>
      </c>
      <c r="M938" s="2" t="s">
        <v>37</v>
      </c>
      <c r="N938" s="2">
        <v>88.04</v>
      </c>
      <c r="O938" s="2" t="s">
        <v>30</v>
      </c>
      <c r="P938" s="2">
        <v>4.5599999999999996</v>
      </c>
      <c r="Q938" s="2">
        <v>7.66</v>
      </c>
      <c r="R938" s="3">
        <f t="shared" si="70"/>
        <v>2129.4744000000001</v>
      </c>
      <c r="S938" s="3">
        <f t="shared" si="71"/>
        <v>3577.1433999999999</v>
      </c>
      <c r="T938" s="3">
        <f t="shared" si="72"/>
        <v>1447.6689999999999</v>
      </c>
      <c r="U938" s="4">
        <f t="shared" si="73"/>
        <v>0.40469973890339422</v>
      </c>
      <c r="V938" s="5">
        <f t="shared" si="74"/>
        <v>45.344729000000008</v>
      </c>
    </row>
    <row r="939" spans="1:22" x14ac:dyDescent="0.25">
      <c r="A939" s="2" t="s">
        <v>973</v>
      </c>
      <c r="B939" s="2" t="s">
        <v>32</v>
      </c>
      <c r="C939" s="2" t="s">
        <v>43</v>
      </c>
      <c r="D939" s="2" t="s">
        <v>28</v>
      </c>
      <c r="E939" s="2">
        <v>478.83</v>
      </c>
      <c r="F939" s="2">
        <v>8.32</v>
      </c>
      <c r="G939" s="2">
        <v>28.32</v>
      </c>
      <c r="H939" s="2">
        <v>7.2</v>
      </c>
      <c r="I939" s="2">
        <v>0.3</v>
      </c>
      <c r="J939" s="2">
        <v>26</v>
      </c>
      <c r="K939" s="2" t="s">
        <v>29</v>
      </c>
      <c r="L939" s="2">
        <v>3.74</v>
      </c>
      <c r="M939" s="2" t="s">
        <v>22</v>
      </c>
      <c r="N939" s="2">
        <v>58.31</v>
      </c>
      <c r="O939" s="2" t="s">
        <v>23</v>
      </c>
      <c r="P939" s="2">
        <v>7.32</v>
      </c>
      <c r="Q939" s="2">
        <v>12.86</v>
      </c>
      <c r="R939" s="3">
        <f t="shared" si="70"/>
        <v>3505.0356000000002</v>
      </c>
      <c r="S939" s="3">
        <f t="shared" si="71"/>
        <v>6157.7537999999995</v>
      </c>
      <c r="T939" s="3">
        <f t="shared" si="72"/>
        <v>2652.7181999999993</v>
      </c>
      <c r="U939" s="4">
        <f t="shared" si="73"/>
        <v>0.43079315707620519</v>
      </c>
      <c r="V939" s="5">
        <f t="shared" si="74"/>
        <v>17.908242000000001</v>
      </c>
    </row>
    <row r="940" spans="1:22" x14ac:dyDescent="0.25">
      <c r="A940" s="2" t="s">
        <v>974</v>
      </c>
      <c r="B940" s="2" t="s">
        <v>45</v>
      </c>
      <c r="C940" s="2" t="s">
        <v>43</v>
      </c>
      <c r="D940" s="2" t="s">
        <v>20</v>
      </c>
      <c r="E940" s="2">
        <v>437.23</v>
      </c>
      <c r="F940" s="2">
        <v>13.95</v>
      </c>
      <c r="G940" s="2">
        <v>23.59</v>
      </c>
      <c r="H940" s="2">
        <v>0.6</v>
      </c>
      <c r="I940" s="2">
        <v>0.1</v>
      </c>
      <c r="J940" s="2">
        <v>29</v>
      </c>
      <c r="K940" s="2" t="s">
        <v>34</v>
      </c>
      <c r="L940" s="2">
        <v>8.07</v>
      </c>
      <c r="M940" s="2" t="s">
        <v>22</v>
      </c>
      <c r="N940" s="2">
        <v>58.39</v>
      </c>
      <c r="O940" s="2" t="s">
        <v>30</v>
      </c>
      <c r="P940" s="2">
        <v>8.93</v>
      </c>
      <c r="Q940" s="2">
        <v>14.57</v>
      </c>
      <c r="R940" s="3">
        <f t="shared" si="70"/>
        <v>3904.4639000000002</v>
      </c>
      <c r="S940" s="3">
        <f t="shared" si="71"/>
        <v>6370.4411</v>
      </c>
      <c r="T940" s="3">
        <f t="shared" si="72"/>
        <v>2465.9771999999998</v>
      </c>
      <c r="U940" s="4">
        <f t="shared" si="73"/>
        <v>0.38709677419354838</v>
      </c>
      <c r="V940" s="5">
        <f t="shared" si="74"/>
        <v>35.284461</v>
      </c>
    </row>
    <row r="941" spans="1:22" x14ac:dyDescent="0.25">
      <c r="A941" s="2" t="s">
        <v>975</v>
      </c>
      <c r="B941" s="2" t="s">
        <v>45</v>
      </c>
      <c r="C941" s="2" t="s">
        <v>43</v>
      </c>
      <c r="D941" s="2" t="s">
        <v>20</v>
      </c>
      <c r="E941" s="2">
        <v>471.2</v>
      </c>
      <c r="F941" s="2">
        <v>13.39</v>
      </c>
      <c r="G941" s="2">
        <v>33.78</v>
      </c>
      <c r="H941" s="2">
        <v>2.5</v>
      </c>
      <c r="I941" s="2">
        <v>0</v>
      </c>
      <c r="J941" s="2">
        <v>10</v>
      </c>
      <c r="K941" s="2" t="s">
        <v>21</v>
      </c>
      <c r="L941" s="2">
        <v>8.59</v>
      </c>
      <c r="M941" s="2" t="s">
        <v>40</v>
      </c>
      <c r="N941" s="2">
        <v>60.19</v>
      </c>
      <c r="O941" s="2" t="s">
        <v>24</v>
      </c>
      <c r="P941" s="2">
        <v>5.67</v>
      </c>
      <c r="Q941" s="2">
        <v>14.01</v>
      </c>
      <c r="R941" s="3">
        <f t="shared" si="70"/>
        <v>2671.7039999999997</v>
      </c>
      <c r="S941" s="3">
        <f t="shared" si="71"/>
        <v>6601.5119999999997</v>
      </c>
      <c r="T941" s="3">
        <f t="shared" si="72"/>
        <v>3929.808</v>
      </c>
      <c r="U941" s="4">
        <f t="shared" si="73"/>
        <v>0.59528907922912211</v>
      </c>
      <c r="V941" s="5">
        <f t="shared" si="74"/>
        <v>40.476079999999996</v>
      </c>
    </row>
    <row r="942" spans="1:22" x14ac:dyDescent="0.25">
      <c r="A942" s="2" t="s">
        <v>976</v>
      </c>
      <c r="B942" s="2" t="s">
        <v>26</v>
      </c>
      <c r="C942" s="2" t="s">
        <v>43</v>
      </c>
      <c r="D942" s="2" t="s">
        <v>28</v>
      </c>
      <c r="E942" s="2">
        <v>641.85</v>
      </c>
      <c r="F942" s="2">
        <v>17.690000000000001</v>
      </c>
      <c r="G942" s="2">
        <v>31.3</v>
      </c>
      <c r="H942" s="2">
        <v>1</v>
      </c>
      <c r="I942" s="2">
        <v>0.7</v>
      </c>
      <c r="J942" s="2">
        <v>23</v>
      </c>
      <c r="K942" s="2" t="s">
        <v>21</v>
      </c>
      <c r="L942" s="2">
        <v>6.42</v>
      </c>
      <c r="M942" s="2" t="s">
        <v>37</v>
      </c>
      <c r="N942" s="2">
        <v>89.83</v>
      </c>
      <c r="O942" s="2" t="s">
        <v>23</v>
      </c>
      <c r="P942" s="2">
        <v>4.8099999999999996</v>
      </c>
      <c r="Q942" s="2">
        <v>6.15</v>
      </c>
      <c r="R942" s="3">
        <f t="shared" si="70"/>
        <v>3087.2984999999999</v>
      </c>
      <c r="S942" s="3">
        <f t="shared" si="71"/>
        <v>3947.3775000000005</v>
      </c>
      <c r="T942" s="3">
        <f t="shared" si="72"/>
        <v>860.07900000000063</v>
      </c>
      <c r="U942" s="4">
        <f t="shared" si="73"/>
        <v>0.21788617886178874</v>
      </c>
      <c r="V942" s="5">
        <f t="shared" si="74"/>
        <v>41.206769999999999</v>
      </c>
    </row>
    <row r="943" spans="1:22" x14ac:dyDescent="0.25">
      <c r="A943" s="2" t="s">
        <v>977</v>
      </c>
      <c r="B943" s="2" t="s">
        <v>32</v>
      </c>
      <c r="C943" s="2" t="s">
        <v>19</v>
      </c>
      <c r="D943" s="2" t="s">
        <v>28</v>
      </c>
      <c r="E943" s="2">
        <v>251.22</v>
      </c>
      <c r="F943" s="2">
        <v>12.84</v>
      </c>
      <c r="G943" s="2">
        <v>37.17</v>
      </c>
      <c r="H943" s="2">
        <v>2.2999999999999998</v>
      </c>
      <c r="I943" s="2">
        <v>6.4</v>
      </c>
      <c r="J943" s="2">
        <v>14</v>
      </c>
      <c r="K943" s="2" t="s">
        <v>21</v>
      </c>
      <c r="L943" s="2">
        <v>3.8</v>
      </c>
      <c r="M943" s="2" t="s">
        <v>22</v>
      </c>
      <c r="N943" s="2">
        <v>63.6</v>
      </c>
      <c r="O943" s="2" t="s">
        <v>23</v>
      </c>
      <c r="P943" s="2">
        <v>6.63</v>
      </c>
      <c r="Q943" s="2">
        <v>8.6999999999999993</v>
      </c>
      <c r="R943" s="3">
        <f t="shared" si="70"/>
        <v>1665.5886</v>
      </c>
      <c r="S943" s="3">
        <f t="shared" si="71"/>
        <v>2185.614</v>
      </c>
      <c r="T943" s="3">
        <f t="shared" si="72"/>
        <v>520.02539999999999</v>
      </c>
      <c r="U943" s="4">
        <f t="shared" si="73"/>
        <v>0.23793103448275862</v>
      </c>
      <c r="V943" s="5">
        <f t="shared" si="74"/>
        <v>9.54636</v>
      </c>
    </row>
    <row r="944" spans="1:22" x14ac:dyDescent="0.25">
      <c r="A944" s="2" t="s">
        <v>978</v>
      </c>
      <c r="B944" s="2" t="s">
        <v>26</v>
      </c>
      <c r="C944" s="2" t="s">
        <v>43</v>
      </c>
      <c r="D944" s="2" t="s">
        <v>20</v>
      </c>
      <c r="E944" s="2">
        <v>627.70000000000005</v>
      </c>
      <c r="F944" s="2">
        <v>8.64</v>
      </c>
      <c r="G944" s="2">
        <v>22.35</v>
      </c>
      <c r="H944" s="2">
        <v>1.3</v>
      </c>
      <c r="I944" s="2">
        <v>1.2</v>
      </c>
      <c r="J944" s="2">
        <v>17</v>
      </c>
      <c r="K944" s="2" t="s">
        <v>29</v>
      </c>
      <c r="L944" s="2">
        <v>6.38</v>
      </c>
      <c r="M944" s="2" t="s">
        <v>37</v>
      </c>
      <c r="N944" s="2">
        <v>89.8</v>
      </c>
      <c r="O944" s="2" t="s">
        <v>24</v>
      </c>
      <c r="P944" s="2">
        <v>7.36</v>
      </c>
      <c r="Q944" s="2">
        <v>8.64</v>
      </c>
      <c r="R944" s="3">
        <f t="shared" si="70"/>
        <v>4619.8720000000003</v>
      </c>
      <c r="S944" s="3">
        <f t="shared" si="71"/>
        <v>5423.3280000000004</v>
      </c>
      <c r="T944" s="3">
        <f t="shared" si="72"/>
        <v>803.45600000000013</v>
      </c>
      <c r="U944" s="4">
        <f t="shared" si="73"/>
        <v>0.14814814814814817</v>
      </c>
      <c r="V944" s="5">
        <f t="shared" si="74"/>
        <v>40.047260000000001</v>
      </c>
    </row>
    <row r="945" spans="1:22" x14ac:dyDescent="0.25">
      <c r="A945" s="2" t="s">
        <v>979</v>
      </c>
      <c r="B945" s="2" t="s">
        <v>32</v>
      </c>
      <c r="C945" s="2" t="s">
        <v>19</v>
      </c>
      <c r="D945" s="2" t="s">
        <v>28</v>
      </c>
      <c r="E945" s="2">
        <v>533.79999999999995</v>
      </c>
      <c r="F945" s="2">
        <v>13.52</v>
      </c>
      <c r="G945" s="2">
        <v>35.71</v>
      </c>
      <c r="H945" s="2">
        <v>10.199999999999999</v>
      </c>
      <c r="I945" s="2">
        <v>0.4</v>
      </c>
      <c r="J945" s="2">
        <v>3</v>
      </c>
      <c r="K945" s="2" t="s">
        <v>34</v>
      </c>
      <c r="L945" s="2">
        <v>6.05</v>
      </c>
      <c r="M945" s="2" t="s">
        <v>22</v>
      </c>
      <c r="N945" s="2">
        <v>77.03</v>
      </c>
      <c r="O945" s="2" t="s">
        <v>23</v>
      </c>
      <c r="P945" s="2">
        <v>5.94</v>
      </c>
      <c r="Q945" s="2">
        <v>6.22</v>
      </c>
      <c r="R945" s="3">
        <f t="shared" si="70"/>
        <v>3170.7719999999999</v>
      </c>
      <c r="S945" s="3">
        <f t="shared" si="71"/>
        <v>3320.2359999999994</v>
      </c>
      <c r="T945" s="3">
        <f t="shared" si="72"/>
        <v>149.46399999999949</v>
      </c>
      <c r="U945" s="4">
        <f t="shared" si="73"/>
        <v>4.5016077170417862E-2</v>
      </c>
      <c r="V945" s="5">
        <f t="shared" si="74"/>
        <v>32.294899999999998</v>
      </c>
    </row>
    <row r="946" spans="1:22" x14ac:dyDescent="0.25">
      <c r="A946" s="2" t="s">
        <v>980</v>
      </c>
      <c r="B946" s="2" t="s">
        <v>32</v>
      </c>
      <c r="C946" s="2" t="s">
        <v>27</v>
      </c>
      <c r="D946" s="2" t="s">
        <v>28</v>
      </c>
      <c r="E946" s="2">
        <v>379.3</v>
      </c>
      <c r="F946" s="2">
        <v>16.41</v>
      </c>
      <c r="G946" s="2">
        <v>33.47</v>
      </c>
      <c r="H946" s="2">
        <v>2.6</v>
      </c>
      <c r="I946" s="2">
        <v>2.1</v>
      </c>
      <c r="J946" s="2">
        <v>28</v>
      </c>
      <c r="K946" s="2" t="s">
        <v>21</v>
      </c>
      <c r="L946" s="2">
        <v>6.26</v>
      </c>
      <c r="M946" s="2" t="s">
        <v>40</v>
      </c>
      <c r="N946" s="2">
        <v>88.36</v>
      </c>
      <c r="O946" s="2" t="s">
        <v>30</v>
      </c>
      <c r="P946" s="2">
        <v>9.14</v>
      </c>
      <c r="Q946" s="2">
        <v>5.98</v>
      </c>
      <c r="R946" s="3">
        <f t="shared" si="70"/>
        <v>3466.8020000000001</v>
      </c>
      <c r="S946" s="3">
        <f t="shared" si="71"/>
        <v>2268.2140000000004</v>
      </c>
      <c r="T946" s="3">
        <f t="shared" si="72"/>
        <v>-1198.5879999999997</v>
      </c>
      <c r="U946" s="4">
        <f t="shared" si="73"/>
        <v>-0.52842809364548471</v>
      </c>
      <c r="V946" s="5">
        <f t="shared" si="74"/>
        <v>23.74418</v>
      </c>
    </row>
    <row r="947" spans="1:22" x14ac:dyDescent="0.25">
      <c r="A947" s="2" t="s">
        <v>981</v>
      </c>
      <c r="B947" s="2" t="s">
        <v>18</v>
      </c>
      <c r="C947" s="2" t="s">
        <v>33</v>
      </c>
      <c r="D947" s="2" t="s">
        <v>20</v>
      </c>
      <c r="E947" s="2">
        <v>392.47</v>
      </c>
      <c r="F947" s="2">
        <v>17.97</v>
      </c>
      <c r="G947" s="2">
        <v>22.3</v>
      </c>
      <c r="H947" s="2">
        <v>6.1</v>
      </c>
      <c r="I947" s="2">
        <v>1.5</v>
      </c>
      <c r="J947" s="2">
        <v>1</v>
      </c>
      <c r="K947" s="2" t="s">
        <v>34</v>
      </c>
      <c r="L947" s="2">
        <v>6.38</v>
      </c>
      <c r="M947" s="2" t="s">
        <v>37</v>
      </c>
      <c r="N947" s="2">
        <v>77.680000000000007</v>
      </c>
      <c r="O947" s="2" t="s">
        <v>24</v>
      </c>
      <c r="P947" s="2">
        <v>6.66</v>
      </c>
      <c r="Q947" s="2">
        <v>8.85</v>
      </c>
      <c r="R947" s="3">
        <f t="shared" si="70"/>
        <v>2613.8502000000003</v>
      </c>
      <c r="S947" s="3">
        <f t="shared" si="71"/>
        <v>3473.3595</v>
      </c>
      <c r="T947" s="3">
        <f t="shared" si="72"/>
        <v>859.50929999999971</v>
      </c>
      <c r="U947" s="4">
        <f t="shared" si="73"/>
        <v>0.247457627118644</v>
      </c>
      <c r="V947" s="5">
        <f t="shared" si="74"/>
        <v>25.039586</v>
      </c>
    </row>
    <row r="948" spans="1:22" x14ac:dyDescent="0.25">
      <c r="A948" s="2" t="s">
        <v>982</v>
      </c>
      <c r="B948" s="2" t="s">
        <v>32</v>
      </c>
      <c r="C948" s="2" t="s">
        <v>43</v>
      </c>
      <c r="D948" s="2" t="s">
        <v>28</v>
      </c>
      <c r="E948" s="2">
        <v>667.64</v>
      </c>
      <c r="F948" s="2">
        <v>12.3</v>
      </c>
      <c r="G948" s="2">
        <v>33.9</v>
      </c>
      <c r="H948" s="2">
        <v>3.6</v>
      </c>
      <c r="I948" s="2">
        <v>0</v>
      </c>
      <c r="J948" s="2">
        <v>10</v>
      </c>
      <c r="K948" s="2" t="s">
        <v>34</v>
      </c>
      <c r="L948" s="2">
        <v>8.5500000000000007</v>
      </c>
      <c r="M948" s="2" t="s">
        <v>40</v>
      </c>
      <c r="N948" s="2">
        <v>66.790000000000006</v>
      </c>
      <c r="O948" s="2" t="s">
        <v>23</v>
      </c>
      <c r="P948" s="2">
        <v>3.25</v>
      </c>
      <c r="Q948" s="2">
        <v>14.92</v>
      </c>
      <c r="R948" s="3">
        <f t="shared" si="70"/>
        <v>2169.83</v>
      </c>
      <c r="S948" s="3">
        <f t="shared" si="71"/>
        <v>9961.1887999999999</v>
      </c>
      <c r="T948" s="3">
        <f t="shared" si="72"/>
        <v>7791.3588</v>
      </c>
      <c r="U948" s="4">
        <f t="shared" si="73"/>
        <v>0.78217158176943702</v>
      </c>
      <c r="V948" s="5">
        <f t="shared" si="74"/>
        <v>57.083220000000004</v>
      </c>
    </row>
    <row r="949" spans="1:22" x14ac:dyDescent="0.25">
      <c r="A949" s="2" t="s">
        <v>983</v>
      </c>
      <c r="B949" s="2" t="s">
        <v>26</v>
      </c>
      <c r="C949" s="2" t="s">
        <v>33</v>
      </c>
      <c r="D949" s="2" t="s">
        <v>20</v>
      </c>
      <c r="E949" s="2">
        <v>405.45</v>
      </c>
      <c r="F949" s="2">
        <v>11.2</v>
      </c>
      <c r="G949" s="2">
        <v>28.83</v>
      </c>
      <c r="H949" s="2">
        <v>4.7</v>
      </c>
      <c r="I949" s="2">
        <v>1.7</v>
      </c>
      <c r="J949" s="2">
        <v>3</v>
      </c>
      <c r="K949" s="2" t="s">
        <v>34</v>
      </c>
      <c r="L949" s="2">
        <v>2.12</v>
      </c>
      <c r="M949" s="2" t="s">
        <v>40</v>
      </c>
      <c r="N949" s="2">
        <v>95.54</v>
      </c>
      <c r="O949" s="2" t="s">
        <v>24</v>
      </c>
      <c r="P949" s="2">
        <v>4.5599999999999996</v>
      </c>
      <c r="Q949" s="2">
        <v>10.69</v>
      </c>
      <c r="R949" s="3">
        <f t="shared" si="70"/>
        <v>1848.8519999999999</v>
      </c>
      <c r="S949" s="3">
        <f t="shared" si="71"/>
        <v>4334.2604999999994</v>
      </c>
      <c r="T949" s="3">
        <f t="shared" si="72"/>
        <v>2485.4084999999995</v>
      </c>
      <c r="U949" s="4">
        <f t="shared" si="73"/>
        <v>0.57343311506080441</v>
      </c>
      <c r="V949" s="5">
        <f t="shared" si="74"/>
        <v>8.5955399999999997</v>
      </c>
    </row>
    <row r="950" spans="1:22" x14ac:dyDescent="0.25">
      <c r="A950" s="2" t="s">
        <v>984</v>
      </c>
      <c r="B950" s="2" t="s">
        <v>45</v>
      </c>
      <c r="C950" s="2" t="s">
        <v>33</v>
      </c>
      <c r="D950" s="2" t="s">
        <v>28</v>
      </c>
      <c r="E950" s="2">
        <v>384.66</v>
      </c>
      <c r="F950" s="2">
        <v>17.07</v>
      </c>
      <c r="G950" s="2">
        <v>38.9</v>
      </c>
      <c r="H950" s="2">
        <v>3.4</v>
      </c>
      <c r="I950" s="2">
        <v>0.4</v>
      </c>
      <c r="J950" s="2">
        <v>5</v>
      </c>
      <c r="K950" s="2" t="s">
        <v>34</v>
      </c>
      <c r="L950" s="2">
        <v>3.99</v>
      </c>
      <c r="M950" s="2" t="s">
        <v>40</v>
      </c>
      <c r="N950" s="2">
        <v>85.76</v>
      </c>
      <c r="O950" s="2" t="s">
        <v>23</v>
      </c>
      <c r="P950" s="2">
        <v>6.15</v>
      </c>
      <c r="Q950" s="2">
        <v>11.22</v>
      </c>
      <c r="R950" s="3">
        <f t="shared" si="70"/>
        <v>2365.6590000000001</v>
      </c>
      <c r="S950" s="3">
        <f t="shared" si="71"/>
        <v>4315.8852000000006</v>
      </c>
      <c r="T950" s="3">
        <f t="shared" si="72"/>
        <v>1950.2262000000005</v>
      </c>
      <c r="U950" s="4">
        <f t="shared" si="73"/>
        <v>0.45187165775401072</v>
      </c>
      <c r="V950" s="5">
        <f t="shared" si="74"/>
        <v>15.347934000000002</v>
      </c>
    </row>
    <row r="951" spans="1:22" x14ac:dyDescent="0.25">
      <c r="A951" s="2" t="s">
        <v>985</v>
      </c>
      <c r="B951" s="2" t="s">
        <v>32</v>
      </c>
      <c r="C951" s="2" t="s">
        <v>27</v>
      </c>
      <c r="D951" s="2" t="s">
        <v>28</v>
      </c>
      <c r="E951" s="2">
        <v>613.73</v>
      </c>
      <c r="F951" s="2">
        <v>9.91</v>
      </c>
      <c r="G951" s="2">
        <v>22.83</v>
      </c>
      <c r="H951" s="2">
        <v>1.2</v>
      </c>
      <c r="I951" s="2">
        <v>0.2</v>
      </c>
      <c r="J951" s="2">
        <v>25</v>
      </c>
      <c r="K951" s="2" t="s">
        <v>29</v>
      </c>
      <c r="L951" s="2">
        <v>6.07</v>
      </c>
      <c r="M951" s="2" t="s">
        <v>22</v>
      </c>
      <c r="N951" s="2">
        <v>74.2</v>
      </c>
      <c r="O951" s="2" t="s">
        <v>30</v>
      </c>
      <c r="P951" s="2">
        <v>7.88</v>
      </c>
      <c r="Q951" s="2">
        <v>9.7100000000000009</v>
      </c>
      <c r="R951" s="3">
        <f t="shared" si="70"/>
        <v>4836.1923999999999</v>
      </c>
      <c r="S951" s="3">
        <f t="shared" si="71"/>
        <v>5959.3183000000008</v>
      </c>
      <c r="T951" s="3">
        <f t="shared" si="72"/>
        <v>1123.1259000000009</v>
      </c>
      <c r="U951" s="4">
        <f t="shared" si="73"/>
        <v>0.18846549948506708</v>
      </c>
      <c r="V951" s="5">
        <f t="shared" si="74"/>
        <v>37.253411</v>
      </c>
    </row>
    <row r="952" spans="1:22" x14ac:dyDescent="0.25">
      <c r="A952" s="2" t="s">
        <v>986</v>
      </c>
      <c r="B952" s="2" t="s">
        <v>18</v>
      </c>
      <c r="C952" s="2" t="s">
        <v>33</v>
      </c>
      <c r="D952" s="2" t="s">
        <v>20</v>
      </c>
      <c r="E952" s="2">
        <v>533.86</v>
      </c>
      <c r="F952" s="2">
        <v>14.15</v>
      </c>
      <c r="G952" s="2">
        <v>32.86</v>
      </c>
      <c r="H952" s="2">
        <v>0.6</v>
      </c>
      <c r="I952" s="2">
        <v>0.3</v>
      </c>
      <c r="J952" s="2">
        <v>19</v>
      </c>
      <c r="K952" s="2" t="s">
        <v>29</v>
      </c>
      <c r="L952" s="2">
        <v>3.19</v>
      </c>
      <c r="M952" s="2" t="s">
        <v>37</v>
      </c>
      <c r="N952" s="2">
        <v>81.87</v>
      </c>
      <c r="O952" s="2" t="s">
        <v>24</v>
      </c>
      <c r="P952" s="2">
        <v>4.54</v>
      </c>
      <c r="Q952" s="2">
        <v>11.62</v>
      </c>
      <c r="R952" s="3">
        <f t="shared" si="70"/>
        <v>2423.7244000000001</v>
      </c>
      <c r="S952" s="3">
        <f t="shared" si="71"/>
        <v>6203.4531999999999</v>
      </c>
      <c r="T952" s="3">
        <f t="shared" si="72"/>
        <v>3779.7287999999999</v>
      </c>
      <c r="U952" s="4">
        <f t="shared" si="73"/>
        <v>0.60929432013769358</v>
      </c>
      <c r="V952" s="5">
        <f t="shared" si="74"/>
        <v>17.030134</v>
      </c>
    </row>
    <row r="953" spans="1:22" x14ac:dyDescent="0.25">
      <c r="A953" s="2" t="s">
        <v>987</v>
      </c>
      <c r="B953" s="2" t="s">
        <v>26</v>
      </c>
      <c r="C953" s="2" t="s">
        <v>19</v>
      </c>
      <c r="D953" s="2" t="s">
        <v>20</v>
      </c>
      <c r="E953" s="2">
        <v>406.21</v>
      </c>
      <c r="F953" s="2">
        <v>12.06</v>
      </c>
      <c r="G953" s="2">
        <v>27.64</v>
      </c>
      <c r="H953" s="2">
        <v>0.9</v>
      </c>
      <c r="I953" s="2">
        <v>0.6</v>
      </c>
      <c r="J953" s="2">
        <v>10</v>
      </c>
      <c r="K953" s="2" t="s">
        <v>29</v>
      </c>
      <c r="L953" s="2">
        <v>9.7899999999999991</v>
      </c>
      <c r="M953" s="2" t="s">
        <v>22</v>
      </c>
      <c r="N953" s="2">
        <v>80.790000000000006</v>
      </c>
      <c r="O953" s="2" t="s">
        <v>23</v>
      </c>
      <c r="P953" s="2">
        <v>9.83</v>
      </c>
      <c r="Q953" s="2">
        <v>14.57</v>
      </c>
      <c r="R953" s="3">
        <f t="shared" si="70"/>
        <v>3993.0443</v>
      </c>
      <c r="S953" s="3">
        <f t="shared" si="71"/>
        <v>5918.4796999999999</v>
      </c>
      <c r="T953" s="3">
        <f t="shared" si="72"/>
        <v>1925.4353999999998</v>
      </c>
      <c r="U953" s="4">
        <f t="shared" si="73"/>
        <v>0.32532601235415237</v>
      </c>
      <c r="V953" s="5">
        <f t="shared" si="74"/>
        <v>39.767958999999998</v>
      </c>
    </row>
    <row r="954" spans="1:22" x14ac:dyDescent="0.25">
      <c r="A954" s="2" t="s">
        <v>988</v>
      </c>
      <c r="B954" s="2" t="s">
        <v>32</v>
      </c>
      <c r="C954" s="2" t="s">
        <v>33</v>
      </c>
      <c r="D954" s="2" t="s">
        <v>28</v>
      </c>
      <c r="E954" s="2">
        <v>521.66</v>
      </c>
      <c r="F954" s="2">
        <v>8.41</v>
      </c>
      <c r="G954" s="2">
        <v>39.14</v>
      </c>
      <c r="H954" s="2">
        <v>0</v>
      </c>
      <c r="I954" s="2">
        <v>0.6</v>
      </c>
      <c r="J954" s="2">
        <v>26</v>
      </c>
      <c r="K954" s="2" t="s">
        <v>21</v>
      </c>
      <c r="L954" s="2">
        <v>3</v>
      </c>
      <c r="M954" s="2" t="s">
        <v>22</v>
      </c>
      <c r="N954" s="2">
        <v>67.91</v>
      </c>
      <c r="O954" s="2" t="s">
        <v>30</v>
      </c>
      <c r="P954" s="2">
        <v>5.23</v>
      </c>
      <c r="Q954" s="2">
        <v>10.89</v>
      </c>
      <c r="R954" s="3">
        <f t="shared" si="70"/>
        <v>2728.2818000000002</v>
      </c>
      <c r="S954" s="3">
        <f t="shared" si="71"/>
        <v>5680.8774000000003</v>
      </c>
      <c r="T954" s="3">
        <f t="shared" si="72"/>
        <v>2952.5956000000001</v>
      </c>
      <c r="U954" s="4">
        <f t="shared" si="73"/>
        <v>0.51974288337924701</v>
      </c>
      <c r="V954" s="5">
        <f t="shared" si="74"/>
        <v>15.649800000000001</v>
      </c>
    </row>
    <row r="955" spans="1:22" x14ac:dyDescent="0.25">
      <c r="A955" s="2" t="s">
        <v>989</v>
      </c>
      <c r="B955" s="2" t="s">
        <v>26</v>
      </c>
      <c r="C955" s="2" t="s">
        <v>33</v>
      </c>
      <c r="D955" s="2" t="s">
        <v>20</v>
      </c>
      <c r="E955" s="2">
        <v>397.42</v>
      </c>
      <c r="F955" s="2">
        <v>11.47</v>
      </c>
      <c r="G955" s="2">
        <v>26.6</v>
      </c>
      <c r="H955" s="2">
        <v>1.5</v>
      </c>
      <c r="I955" s="2">
        <v>0.3</v>
      </c>
      <c r="J955" s="2">
        <v>25</v>
      </c>
      <c r="K955" s="2" t="s">
        <v>21</v>
      </c>
      <c r="L955" s="2">
        <v>4.96</v>
      </c>
      <c r="M955" s="2" t="s">
        <v>37</v>
      </c>
      <c r="N955" s="2">
        <v>71.19</v>
      </c>
      <c r="O955" s="2" t="s">
        <v>30</v>
      </c>
      <c r="P955" s="2">
        <v>6.73</v>
      </c>
      <c r="Q955" s="2">
        <v>5.65</v>
      </c>
      <c r="R955" s="3">
        <f t="shared" si="70"/>
        <v>2674.6366000000003</v>
      </c>
      <c r="S955" s="3">
        <f t="shared" si="71"/>
        <v>2245.4230000000002</v>
      </c>
      <c r="T955" s="3">
        <f t="shared" si="72"/>
        <v>-429.21360000000004</v>
      </c>
      <c r="U955" s="4">
        <f t="shared" si="73"/>
        <v>-0.1911504424778761</v>
      </c>
      <c r="V955" s="5">
        <f t="shared" si="74"/>
        <v>19.712032000000001</v>
      </c>
    </row>
    <row r="956" spans="1:22" x14ac:dyDescent="0.25">
      <c r="A956" s="2" t="s">
        <v>990</v>
      </c>
      <c r="B956" s="2" t="s">
        <v>18</v>
      </c>
      <c r="C956" s="2" t="s">
        <v>33</v>
      </c>
      <c r="D956" s="2" t="s">
        <v>28</v>
      </c>
      <c r="E956" s="2">
        <v>610.08000000000004</v>
      </c>
      <c r="F956" s="2">
        <v>10.65</v>
      </c>
      <c r="G956" s="2">
        <v>39.24</v>
      </c>
      <c r="H956" s="2">
        <v>1.4</v>
      </c>
      <c r="I956" s="2">
        <v>0.2</v>
      </c>
      <c r="J956" s="2">
        <v>16</v>
      </c>
      <c r="K956" s="2" t="s">
        <v>21</v>
      </c>
      <c r="L956" s="2">
        <v>8.83</v>
      </c>
      <c r="M956" s="2" t="s">
        <v>37</v>
      </c>
      <c r="N956" s="2">
        <v>65.91</v>
      </c>
      <c r="O956" s="2" t="s">
        <v>30</v>
      </c>
      <c r="P956" s="2">
        <v>3.13</v>
      </c>
      <c r="Q956" s="2">
        <v>9.93</v>
      </c>
      <c r="R956" s="3">
        <f t="shared" si="70"/>
        <v>1909.5504000000001</v>
      </c>
      <c r="S956" s="3">
        <f t="shared" si="71"/>
        <v>6058.0944</v>
      </c>
      <c r="T956" s="3">
        <f t="shared" si="72"/>
        <v>4148.5439999999999</v>
      </c>
      <c r="U956" s="4">
        <f t="shared" si="73"/>
        <v>0.68479355488418936</v>
      </c>
      <c r="V956" s="5">
        <f t="shared" si="74"/>
        <v>53.870063999999999</v>
      </c>
    </row>
    <row r="957" spans="1:22" x14ac:dyDescent="0.25">
      <c r="A957" s="2" t="s">
        <v>991</v>
      </c>
      <c r="B957" s="2" t="s">
        <v>18</v>
      </c>
      <c r="C957" s="2" t="s">
        <v>43</v>
      </c>
      <c r="D957" s="2" t="s">
        <v>28</v>
      </c>
      <c r="E957" s="2">
        <v>606.14</v>
      </c>
      <c r="F957" s="2">
        <v>14.86</v>
      </c>
      <c r="G957" s="2">
        <v>38.03</v>
      </c>
      <c r="H957" s="2">
        <v>1.5</v>
      </c>
      <c r="I957" s="2">
        <v>1.4</v>
      </c>
      <c r="J957" s="2">
        <v>1</v>
      </c>
      <c r="K957" s="2" t="s">
        <v>29</v>
      </c>
      <c r="L957" s="2">
        <v>1.26</v>
      </c>
      <c r="M957" s="2" t="s">
        <v>37</v>
      </c>
      <c r="N957" s="2">
        <v>99.98</v>
      </c>
      <c r="O957" s="2" t="s">
        <v>23</v>
      </c>
      <c r="P957" s="2">
        <v>9.19</v>
      </c>
      <c r="Q957" s="2">
        <v>14.93</v>
      </c>
      <c r="R957" s="3">
        <f t="shared" si="70"/>
        <v>5570.4265999999998</v>
      </c>
      <c r="S957" s="3">
        <f t="shared" si="71"/>
        <v>9049.6702000000005</v>
      </c>
      <c r="T957" s="3">
        <f t="shared" si="72"/>
        <v>3479.2436000000007</v>
      </c>
      <c r="U957" s="4">
        <f t="shared" si="73"/>
        <v>0.38446081714668456</v>
      </c>
      <c r="V957" s="5">
        <f t="shared" si="74"/>
        <v>7.6373639999999998</v>
      </c>
    </row>
    <row r="958" spans="1:22" x14ac:dyDescent="0.25">
      <c r="A958" s="2" t="s">
        <v>992</v>
      </c>
      <c r="B958" s="2" t="s">
        <v>26</v>
      </c>
      <c r="C958" s="2" t="s">
        <v>43</v>
      </c>
      <c r="D958" s="2" t="s">
        <v>20</v>
      </c>
      <c r="E958" s="2">
        <v>553.20000000000005</v>
      </c>
      <c r="F958" s="2">
        <v>17.489999999999998</v>
      </c>
      <c r="G958" s="2">
        <v>25.41</v>
      </c>
      <c r="H958" s="2">
        <v>7.3</v>
      </c>
      <c r="I958" s="2">
        <v>4.5999999999999996</v>
      </c>
      <c r="J958" s="2">
        <v>6</v>
      </c>
      <c r="K958" s="2" t="s">
        <v>34</v>
      </c>
      <c r="L958" s="2">
        <v>8.3000000000000007</v>
      </c>
      <c r="M958" s="2" t="s">
        <v>37</v>
      </c>
      <c r="N958" s="2">
        <v>79</v>
      </c>
      <c r="O958" s="2" t="s">
        <v>23</v>
      </c>
      <c r="P958" s="2">
        <v>8.52</v>
      </c>
      <c r="Q958" s="2">
        <v>8.8699999999999992</v>
      </c>
      <c r="R958" s="3">
        <f t="shared" si="70"/>
        <v>4713.2640000000001</v>
      </c>
      <c r="S958" s="3">
        <f t="shared" si="71"/>
        <v>4906.884</v>
      </c>
      <c r="T958" s="3">
        <f t="shared" si="72"/>
        <v>193.61999999999989</v>
      </c>
      <c r="U958" s="4">
        <f t="shared" si="73"/>
        <v>3.9458850056369767E-2</v>
      </c>
      <c r="V958" s="5">
        <f t="shared" si="74"/>
        <v>45.915600000000005</v>
      </c>
    </row>
    <row r="959" spans="1:22" x14ac:dyDescent="0.25">
      <c r="A959" s="2" t="s">
        <v>993</v>
      </c>
      <c r="B959" s="2" t="s">
        <v>32</v>
      </c>
      <c r="C959" s="2" t="s">
        <v>19</v>
      </c>
      <c r="D959" s="2" t="s">
        <v>28</v>
      </c>
      <c r="E959" s="2">
        <v>536.16999999999996</v>
      </c>
      <c r="F959" s="2">
        <v>10.68</v>
      </c>
      <c r="G959" s="2">
        <v>36.07</v>
      </c>
      <c r="H959" s="2">
        <v>4.8</v>
      </c>
      <c r="I959" s="2">
        <v>1.5</v>
      </c>
      <c r="J959" s="2">
        <v>9</v>
      </c>
      <c r="K959" s="2" t="s">
        <v>29</v>
      </c>
      <c r="L959" s="2">
        <v>5.92</v>
      </c>
      <c r="M959" s="2" t="s">
        <v>22</v>
      </c>
      <c r="N959" s="2">
        <v>54.6</v>
      </c>
      <c r="O959" s="2" t="s">
        <v>30</v>
      </c>
      <c r="P959" s="2">
        <v>4.37</v>
      </c>
      <c r="Q959" s="2">
        <v>10.94</v>
      </c>
      <c r="R959" s="3">
        <f t="shared" si="70"/>
        <v>2343.0628999999999</v>
      </c>
      <c r="S959" s="3">
        <f t="shared" si="71"/>
        <v>5865.6997999999994</v>
      </c>
      <c r="T959" s="3">
        <f t="shared" si="72"/>
        <v>3522.6368999999995</v>
      </c>
      <c r="U959" s="4">
        <f t="shared" si="73"/>
        <v>0.60054844606946978</v>
      </c>
      <c r="V959" s="5">
        <f t="shared" si="74"/>
        <v>31.741263999999997</v>
      </c>
    </row>
    <row r="960" spans="1:22" x14ac:dyDescent="0.25">
      <c r="A960" s="2" t="s">
        <v>994</v>
      </c>
      <c r="B960" s="2" t="s">
        <v>45</v>
      </c>
      <c r="C960" s="2" t="s">
        <v>19</v>
      </c>
      <c r="D960" s="2" t="s">
        <v>28</v>
      </c>
      <c r="E960" s="2">
        <v>676.12</v>
      </c>
      <c r="F960" s="2">
        <v>16.11</v>
      </c>
      <c r="G960" s="2">
        <v>39.909999999999997</v>
      </c>
      <c r="H960" s="2">
        <v>0.4</v>
      </c>
      <c r="I960" s="2">
        <v>0.4</v>
      </c>
      <c r="J960" s="2">
        <v>28</v>
      </c>
      <c r="K960" s="2" t="s">
        <v>21</v>
      </c>
      <c r="L960" s="2">
        <v>0.8</v>
      </c>
      <c r="M960" s="2" t="s">
        <v>37</v>
      </c>
      <c r="N960" s="2">
        <v>75.959999999999994</v>
      </c>
      <c r="O960" s="2" t="s">
        <v>30</v>
      </c>
      <c r="P960" s="2">
        <v>9.5299999999999994</v>
      </c>
      <c r="Q960" s="2">
        <v>6.07</v>
      </c>
      <c r="R960" s="3">
        <f t="shared" si="70"/>
        <v>6443.4235999999992</v>
      </c>
      <c r="S960" s="3">
        <f t="shared" si="71"/>
        <v>4104.0484000000006</v>
      </c>
      <c r="T960" s="3">
        <f t="shared" si="72"/>
        <v>-2339.3751999999986</v>
      </c>
      <c r="U960" s="4">
        <f t="shared" si="73"/>
        <v>-0.57001647446457948</v>
      </c>
      <c r="V960" s="5">
        <f t="shared" si="74"/>
        <v>5.4089600000000004</v>
      </c>
    </row>
    <row r="961" spans="1:22" x14ac:dyDescent="0.25">
      <c r="A961" s="2" t="s">
        <v>995</v>
      </c>
      <c r="B961" s="2" t="s">
        <v>18</v>
      </c>
      <c r="C961" s="2" t="s">
        <v>43</v>
      </c>
      <c r="D961" s="2" t="s">
        <v>20</v>
      </c>
      <c r="E961" s="2">
        <v>499.97</v>
      </c>
      <c r="F961" s="2">
        <v>8.5500000000000007</v>
      </c>
      <c r="G961" s="2">
        <v>25.05</v>
      </c>
      <c r="H961" s="2">
        <v>0.9</v>
      </c>
      <c r="I961" s="2">
        <v>0.3</v>
      </c>
      <c r="J961" s="2">
        <v>5</v>
      </c>
      <c r="K961" s="2" t="s">
        <v>21</v>
      </c>
      <c r="L961" s="2">
        <v>9.08</v>
      </c>
      <c r="M961" s="2" t="s">
        <v>37</v>
      </c>
      <c r="N961" s="2">
        <v>52.5</v>
      </c>
      <c r="O961" s="2" t="s">
        <v>30</v>
      </c>
      <c r="P961" s="2">
        <v>5.21</v>
      </c>
      <c r="Q961" s="2">
        <v>6.41</v>
      </c>
      <c r="R961" s="3">
        <f t="shared" si="70"/>
        <v>2604.8436999999999</v>
      </c>
      <c r="S961" s="3">
        <f t="shared" si="71"/>
        <v>3204.8077000000003</v>
      </c>
      <c r="T961" s="3">
        <f t="shared" si="72"/>
        <v>599.9640000000004</v>
      </c>
      <c r="U961" s="4">
        <f t="shared" si="73"/>
        <v>0.1872074882995321</v>
      </c>
      <c r="V961" s="5">
        <f t="shared" si="74"/>
        <v>45.397276000000005</v>
      </c>
    </row>
    <row r="962" spans="1:22" x14ac:dyDescent="0.25">
      <c r="A962" s="2" t="s">
        <v>996</v>
      </c>
      <c r="B962" s="2" t="s">
        <v>32</v>
      </c>
      <c r="C962" s="2" t="s">
        <v>19</v>
      </c>
      <c r="D962" s="2" t="s">
        <v>20</v>
      </c>
      <c r="E962" s="2">
        <v>381.81</v>
      </c>
      <c r="F962" s="2">
        <v>13.38</v>
      </c>
      <c r="G962" s="2">
        <v>28.74</v>
      </c>
      <c r="H962" s="2">
        <v>1.1000000000000001</v>
      </c>
      <c r="I962" s="2">
        <v>0.2</v>
      </c>
      <c r="J962" s="2">
        <v>27</v>
      </c>
      <c r="K962" s="2" t="s">
        <v>34</v>
      </c>
      <c r="L962" s="2">
        <v>0.87</v>
      </c>
      <c r="M962" s="2" t="s">
        <v>37</v>
      </c>
      <c r="N962" s="2">
        <v>64.430000000000007</v>
      </c>
      <c r="O962" s="2" t="s">
        <v>30</v>
      </c>
      <c r="P962" s="2">
        <v>7.85</v>
      </c>
      <c r="Q962" s="2">
        <v>13.75</v>
      </c>
      <c r="R962" s="3">
        <f t="shared" si="70"/>
        <v>2997.2084999999997</v>
      </c>
      <c r="S962" s="3">
        <f t="shared" si="71"/>
        <v>5249.8874999999998</v>
      </c>
      <c r="T962" s="3">
        <f t="shared" si="72"/>
        <v>2252.6790000000001</v>
      </c>
      <c r="U962" s="4">
        <f t="shared" si="73"/>
        <v>0.42909090909090913</v>
      </c>
      <c r="V962" s="5">
        <f t="shared" si="74"/>
        <v>3.3217469999999998</v>
      </c>
    </row>
    <row r="963" spans="1:22" x14ac:dyDescent="0.25">
      <c r="A963" s="2" t="s">
        <v>997</v>
      </c>
      <c r="B963" s="2" t="s">
        <v>32</v>
      </c>
      <c r="C963" s="2" t="s">
        <v>43</v>
      </c>
      <c r="D963" s="2" t="s">
        <v>28</v>
      </c>
      <c r="E963" s="2">
        <v>544.95000000000005</v>
      </c>
      <c r="F963" s="2">
        <v>8.7100000000000009</v>
      </c>
      <c r="G963" s="2">
        <v>30.4</v>
      </c>
      <c r="H963" s="2">
        <v>0.9</v>
      </c>
      <c r="I963" s="2">
        <v>0.1</v>
      </c>
      <c r="J963" s="2">
        <v>14</v>
      </c>
      <c r="K963" s="2" t="s">
        <v>29</v>
      </c>
      <c r="L963" s="2">
        <v>5.39</v>
      </c>
      <c r="M963" s="2" t="s">
        <v>40</v>
      </c>
      <c r="N963" s="2">
        <v>72.3</v>
      </c>
      <c r="O963" s="2" t="s">
        <v>30</v>
      </c>
      <c r="P963" s="2">
        <v>8.73</v>
      </c>
      <c r="Q963" s="2">
        <v>8</v>
      </c>
      <c r="R963" s="3">
        <f t="shared" ref="R963:R1026" si="75">E963*P963</f>
        <v>4757.4135000000006</v>
      </c>
      <c r="S963" s="3">
        <f t="shared" ref="S963:S1026" si="76">E963*Q963</f>
        <v>4359.6000000000004</v>
      </c>
      <c r="T963" s="3">
        <f t="shared" ref="T963:T1026" si="77">S963-R963</f>
        <v>-397.8135000000002</v>
      </c>
      <c r="U963" s="4">
        <f t="shared" ref="U963:U1026" si="78">T963/S963</f>
        <v>-9.1250000000000039E-2</v>
      </c>
      <c r="V963" s="5">
        <f t="shared" ref="V963:V1026" si="79">E963*L963/100</f>
        <v>29.372805</v>
      </c>
    </row>
    <row r="964" spans="1:22" x14ac:dyDescent="0.25">
      <c r="A964" s="2" t="s">
        <v>998</v>
      </c>
      <c r="B964" s="2" t="s">
        <v>45</v>
      </c>
      <c r="C964" s="2" t="s">
        <v>27</v>
      </c>
      <c r="D964" s="2" t="s">
        <v>20</v>
      </c>
      <c r="E964" s="2">
        <v>708.6</v>
      </c>
      <c r="F964" s="2">
        <v>17.34</v>
      </c>
      <c r="G964" s="2">
        <v>25.9</v>
      </c>
      <c r="H964" s="2">
        <v>3.2</v>
      </c>
      <c r="I964" s="2">
        <v>0.8</v>
      </c>
      <c r="J964" s="2">
        <v>10</v>
      </c>
      <c r="K964" s="2" t="s">
        <v>34</v>
      </c>
      <c r="L964" s="2">
        <v>0.97</v>
      </c>
      <c r="M964" s="2" t="s">
        <v>37</v>
      </c>
      <c r="N964" s="2">
        <v>76.709999999999994</v>
      </c>
      <c r="O964" s="2" t="s">
        <v>23</v>
      </c>
      <c r="P964" s="2">
        <v>8.19</v>
      </c>
      <c r="Q964" s="2">
        <v>8.0500000000000007</v>
      </c>
      <c r="R964" s="3">
        <f t="shared" si="75"/>
        <v>5803.4340000000002</v>
      </c>
      <c r="S964" s="3">
        <f t="shared" si="76"/>
        <v>5704.2300000000005</v>
      </c>
      <c r="T964" s="3">
        <f t="shared" si="77"/>
        <v>-99.203999999999724</v>
      </c>
      <c r="U964" s="4">
        <f t="shared" si="78"/>
        <v>-1.7391304347826039E-2</v>
      </c>
      <c r="V964" s="5">
        <f t="shared" si="79"/>
        <v>6.8734199999999994</v>
      </c>
    </row>
    <row r="965" spans="1:22" x14ac:dyDescent="0.25">
      <c r="A965" s="2" t="s">
        <v>999</v>
      </c>
      <c r="B965" s="2" t="s">
        <v>18</v>
      </c>
      <c r="C965" s="2" t="s">
        <v>33</v>
      </c>
      <c r="D965" s="2" t="s">
        <v>20</v>
      </c>
      <c r="E965" s="2">
        <v>398.52</v>
      </c>
      <c r="F965" s="2">
        <v>15.66</v>
      </c>
      <c r="G965" s="2">
        <v>20.309999999999999</v>
      </c>
      <c r="H965" s="2">
        <v>1.5</v>
      </c>
      <c r="I965" s="2">
        <v>0.9</v>
      </c>
      <c r="J965" s="2">
        <v>2</v>
      </c>
      <c r="K965" s="2" t="s">
        <v>29</v>
      </c>
      <c r="L965" s="2">
        <v>1.18</v>
      </c>
      <c r="M965" s="2" t="s">
        <v>37</v>
      </c>
      <c r="N965" s="2">
        <v>98.81</v>
      </c>
      <c r="O965" s="2" t="s">
        <v>24</v>
      </c>
      <c r="P965" s="2">
        <v>9.42</v>
      </c>
      <c r="Q965" s="2">
        <v>8.8699999999999992</v>
      </c>
      <c r="R965" s="3">
        <f t="shared" si="75"/>
        <v>3754.0583999999999</v>
      </c>
      <c r="S965" s="3">
        <f t="shared" si="76"/>
        <v>3534.8723999999997</v>
      </c>
      <c r="T965" s="3">
        <f t="shared" si="77"/>
        <v>-219.18600000000015</v>
      </c>
      <c r="U965" s="4">
        <f t="shared" si="78"/>
        <v>-6.2006764374295427E-2</v>
      </c>
      <c r="V965" s="5">
        <f t="shared" si="79"/>
        <v>4.7025359999999994</v>
      </c>
    </row>
    <row r="966" spans="1:22" x14ac:dyDescent="0.25">
      <c r="A966" s="2" t="s">
        <v>1000</v>
      </c>
      <c r="B966" s="2" t="s">
        <v>18</v>
      </c>
      <c r="C966" s="2" t="s">
        <v>33</v>
      </c>
      <c r="D966" s="2" t="s">
        <v>20</v>
      </c>
      <c r="E966" s="2">
        <v>463.85</v>
      </c>
      <c r="F966" s="2">
        <v>14.58</v>
      </c>
      <c r="G966" s="2">
        <v>24.4</v>
      </c>
      <c r="H966" s="2">
        <v>1.7</v>
      </c>
      <c r="I966" s="2">
        <v>1.2</v>
      </c>
      <c r="J966" s="2">
        <v>5</v>
      </c>
      <c r="K966" s="2" t="s">
        <v>21</v>
      </c>
      <c r="L966" s="2">
        <v>8.93</v>
      </c>
      <c r="M966" s="2" t="s">
        <v>22</v>
      </c>
      <c r="N966" s="2">
        <v>99.11</v>
      </c>
      <c r="O966" s="2" t="s">
        <v>24</v>
      </c>
      <c r="P966" s="2">
        <v>9.0500000000000007</v>
      </c>
      <c r="Q966" s="2">
        <v>14.66</v>
      </c>
      <c r="R966" s="3">
        <f t="shared" si="75"/>
        <v>4197.8425000000007</v>
      </c>
      <c r="S966" s="3">
        <f t="shared" si="76"/>
        <v>6800.0410000000002</v>
      </c>
      <c r="T966" s="3">
        <f t="shared" si="77"/>
        <v>2602.1984999999995</v>
      </c>
      <c r="U966" s="4">
        <f t="shared" si="78"/>
        <v>0.38267394270122773</v>
      </c>
      <c r="V966" s="5">
        <f t="shared" si="79"/>
        <v>41.421805000000006</v>
      </c>
    </row>
    <row r="967" spans="1:22" x14ac:dyDescent="0.25">
      <c r="A967" s="2" t="s">
        <v>1001</v>
      </c>
      <c r="B967" s="2" t="s">
        <v>32</v>
      </c>
      <c r="C967" s="2" t="s">
        <v>19</v>
      </c>
      <c r="D967" s="2" t="s">
        <v>20</v>
      </c>
      <c r="E967" s="2">
        <v>541.64</v>
      </c>
      <c r="F967" s="2">
        <v>16.239999999999998</v>
      </c>
      <c r="G967" s="2">
        <v>25.64</v>
      </c>
      <c r="H967" s="2">
        <v>3.8</v>
      </c>
      <c r="I967" s="2">
        <v>1.1000000000000001</v>
      </c>
      <c r="J967" s="2">
        <v>1</v>
      </c>
      <c r="K967" s="2" t="s">
        <v>34</v>
      </c>
      <c r="L967" s="2">
        <v>7.78</v>
      </c>
      <c r="M967" s="2" t="s">
        <v>40</v>
      </c>
      <c r="N967" s="2">
        <v>54.9</v>
      </c>
      <c r="O967" s="2" t="s">
        <v>24</v>
      </c>
      <c r="P967" s="2">
        <v>9.9600000000000009</v>
      </c>
      <c r="Q967" s="2">
        <v>5.84</v>
      </c>
      <c r="R967" s="3">
        <f t="shared" si="75"/>
        <v>5394.7344000000003</v>
      </c>
      <c r="S967" s="3">
        <f t="shared" si="76"/>
        <v>3163.1776</v>
      </c>
      <c r="T967" s="3">
        <f t="shared" si="77"/>
        <v>-2231.5568000000003</v>
      </c>
      <c r="U967" s="4">
        <f t="shared" si="78"/>
        <v>-0.70547945205479456</v>
      </c>
      <c r="V967" s="5">
        <f t="shared" si="79"/>
        <v>42.139592</v>
      </c>
    </row>
    <row r="968" spans="1:22" x14ac:dyDescent="0.25">
      <c r="A968" s="2" t="s">
        <v>1002</v>
      </c>
      <c r="B968" s="2" t="s">
        <v>32</v>
      </c>
      <c r="C968" s="2" t="s">
        <v>43</v>
      </c>
      <c r="D968" s="2" t="s">
        <v>28</v>
      </c>
      <c r="E968" s="2">
        <v>494.61</v>
      </c>
      <c r="F968" s="2">
        <v>14.48</v>
      </c>
      <c r="G968" s="2">
        <v>28.87</v>
      </c>
      <c r="H968" s="2">
        <v>3.3</v>
      </c>
      <c r="I968" s="2">
        <v>0.3</v>
      </c>
      <c r="J968" s="2">
        <v>25</v>
      </c>
      <c r="K968" s="2" t="s">
        <v>34</v>
      </c>
      <c r="L968" s="2">
        <v>2.37</v>
      </c>
      <c r="M968" s="2" t="s">
        <v>22</v>
      </c>
      <c r="N968" s="2">
        <v>76.91</v>
      </c>
      <c r="O968" s="2" t="s">
        <v>23</v>
      </c>
      <c r="P968" s="2">
        <v>4.28</v>
      </c>
      <c r="Q968" s="2">
        <v>13.19</v>
      </c>
      <c r="R968" s="3">
        <f t="shared" si="75"/>
        <v>2116.9308000000001</v>
      </c>
      <c r="S968" s="3">
        <f t="shared" si="76"/>
        <v>6523.9058999999997</v>
      </c>
      <c r="T968" s="3">
        <f t="shared" si="77"/>
        <v>4406.9750999999997</v>
      </c>
      <c r="U968" s="4">
        <f t="shared" si="78"/>
        <v>0.67551175132676267</v>
      </c>
      <c r="V968" s="5">
        <f t="shared" si="79"/>
        <v>11.722257000000003</v>
      </c>
    </row>
    <row r="969" spans="1:22" x14ac:dyDescent="0.25">
      <c r="A969" s="2" t="s">
        <v>1003</v>
      </c>
      <c r="B969" s="2" t="s">
        <v>45</v>
      </c>
      <c r="C969" s="2" t="s">
        <v>43</v>
      </c>
      <c r="D969" s="2" t="s">
        <v>28</v>
      </c>
      <c r="E969" s="2">
        <v>401.77</v>
      </c>
      <c r="F969" s="2">
        <v>17.690000000000001</v>
      </c>
      <c r="G969" s="2">
        <v>23.42</v>
      </c>
      <c r="H969" s="2">
        <v>0.3</v>
      </c>
      <c r="I969" s="2">
        <v>0.4</v>
      </c>
      <c r="J969" s="2">
        <v>10</v>
      </c>
      <c r="K969" s="2" t="s">
        <v>29</v>
      </c>
      <c r="L969" s="2">
        <v>6.39</v>
      </c>
      <c r="M969" s="2" t="s">
        <v>40</v>
      </c>
      <c r="N969" s="2">
        <v>90.86</v>
      </c>
      <c r="O969" s="2" t="s">
        <v>24</v>
      </c>
      <c r="P969" s="2">
        <v>5.13</v>
      </c>
      <c r="Q969" s="2">
        <v>8.42</v>
      </c>
      <c r="R969" s="3">
        <f t="shared" si="75"/>
        <v>2061.0800999999997</v>
      </c>
      <c r="S969" s="3">
        <f t="shared" si="76"/>
        <v>3382.9033999999997</v>
      </c>
      <c r="T969" s="3">
        <f t="shared" si="77"/>
        <v>1321.8233</v>
      </c>
      <c r="U969" s="4">
        <f t="shared" si="78"/>
        <v>0.39073634204275537</v>
      </c>
      <c r="V969" s="5">
        <f t="shared" si="79"/>
        <v>25.673102999999998</v>
      </c>
    </row>
    <row r="970" spans="1:22" x14ac:dyDescent="0.25">
      <c r="A970" s="2" t="s">
        <v>1004</v>
      </c>
      <c r="B970" s="2" t="s">
        <v>45</v>
      </c>
      <c r="C970" s="2" t="s">
        <v>19</v>
      </c>
      <c r="D970" s="2" t="s">
        <v>28</v>
      </c>
      <c r="E970" s="2">
        <v>612.19000000000005</v>
      </c>
      <c r="F970" s="2">
        <v>15.14</v>
      </c>
      <c r="G970" s="2">
        <v>37.47</v>
      </c>
      <c r="H970" s="2">
        <v>2.5</v>
      </c>
      <c r="I970" s="2">
        <v>1.1000000000000001</v>
      </c>
      <c r="J970" s="2">
        <v>29</v>
      </c>
      <c r="K970" s="2" t="s">
        <v>29</v>
      </c>
      <c r="L970" s="2">
        <v>8.0500000000000007</v>
      </c>
      <c r="M970" s="2" t="s">
        <v>22</v>
      </c>
      <c r="N970" s="2">
        <v>61.89</v>
      </c>
      <c r="O970" s="2" t="s">
        <v>24</v>
      </c>
      <c r="P970" s="2">
        <v>7.45</v>
      </c>
      <c r="Q970" s="2">
        <v>13.49</v>
      </c>
      <c r="R970" s="3">
        <f t="shared" si="75"/>
        <v>4560.8155000000006</v>
      </c>
      <c r="S970" s="3">
        <f t="shared" si="76"/>
        <v>8258.4431000000004</v>
      </c>
      <c r="T970" s="3">
        <f t="shared" si="77"/>
        <v>3697.6275999999998</v>
      </c>
      <c r="U970" s="4">
        <f t="shared" si="78"/>
        <v>0.44773906597479612</v>
      </c>
      <c r="V970" s="5">
        <f t="shared" si="79"/>
        <v>49.281295000000007</v>
      </c>
    </row>
    <row r="971" spans="1:22" x14ac:dyDescent="0.25">
      <c r="A971" s="2" t="s">
        <v>1005</v>
      </c>
      <c r="B971" s="2" t="s">
        <v>18</v>
      </c>
      <c r="C971" s="2" t="s">
        <v>43</v>
      </c>
      <c r="D971" s="2" t="s">
        <v>20</v>
      </c>
      <c r="E971" s="2">
        <v>732</v>
      </c>
      <c r="F971" s="2">
        <v>17.25</v>
      </c>
      <c r="G971" s="2">
        <v>34.1</v>
      </c>
      <c r="H971" s="2">
        <v>1.1000000000000001</v>
      </c>
      <c r="I971" s="2">
        <v>0.4</v>
      </c>
      <c r="J971" s="2">
        <v>26</v>
      </c>
      <c r="K971" s="2" t="s">
        <v>29</v>
      </c>
      <c r="L971" s="2">
        <v>8.9499999999999993</v>
      </c>
      <c r="M971" s="2" t="s">
        <v>22</v>
      </c>
      <c r="N971" s="2">
        <v>87.53</v>
      </c>
      <c r="O971" s="2" t="s">
        <v>24</v>
      </c>
      <c r="P971" s="2">
        <v>8.1300000000000008</v>
      </c>
      <c r="Q971" s="2">
        <v>14.92</v>
      </c>
      <c r="R971" s="3">
        <f t="shared" si="75"/>
        <v>5951.1600000000008</v>
      </c>
      <c r="S971" s="3">
        <f t="shared" si="76"/>
        <v>10921.44</v>
      </c>
      <c r="T971" s="3">
        <f t="shared" si="77"/>
        <v>4970.28</v>
      </c>
      <c r="U971" s="4">
        <f t="shared" si="78"/>
        <v>0.45509383378016083</v>
      </c>
      <c r="V971" s="5">
        <f t="shared" si="79"/>
        <v>65.513999999999996</v>
      </c>
    </row>
    <row r="972" spans="1:22" x14ac:dyDescent="0.25">
      <c r="A972" s="2" t="s">
        <v>1006</v>
      </c>
      <c r="B972" s="2" t="s">
        <v>26</v>
      </c>
      <c r="C972" s="2" t="s">
        <v>27</v>
      </c>
      <c r="D972" s="2" t="s">
        <v>20</v>
      </c>
      <c r="E972" s="2">
        <v>519.61</v>
      </c>
      <c r="F972" s="2">
        <v>13.17</v>
      </c>
      <c r="G972" s="2">
        <v>21.7</v>
      </c>
      <c r="H972" s="2">
        <v>0.7</v>
      </c>
      <c r="I972" s="2">
        <v>0.2</v>
      </c>
      <c r="J972" s="2">
        <v>25</v>
      </c>
      <c r="K972" s="2" t="s">
        <v>21</v>
      </c>
      <c r="L972" s="2">
        <v>4.95</v>
      </c>
      <c r="M972" s="2" t="s">
        <v>37</v>
      </c>
      <c r="N972" s="2">
        <v>93.93</v>
      </c>
      <c r="O972" s="2" t="s">
        <v>24</v>
      </c>
      <c r="P972" s="2">
        <v>6.74</v>
      </c>
      <c r="Q972" s="2">
        <v>8.49</v>
      </c>
      <c r="R972" s="3">
        <f t="shared" si="75"/>
        <v>3502.1714000000002</v>
      </c>
      <c r="S972" s="3">
        <f t="shared" si="76"/>
        <v>4411.4889000000003</v>
      </c>
      <c r="T972" s="3">
        <f t="shared" si="77"/>
        <v>909.31750000000011</v>
      </c>
      <c r="U972" s="4">
        <f t="shared" si="78"/>
        <v>0.20612485276796233</v>
      </c>
      <c r="V972" s="5">
        <f t="shared" si="79"/>
        <v>25.720694999999999</v>
      </c>
    </row>
    <row r="973" spans="1:22" x14ac:dyDescent="0.25">
      <c r="A973" s="2" t="s">
        <v>1007</v>
      </c>
      <c r="B973" s="2" t="s">
        <v>18</v>
      </c>
      <c r="C973" s="2" t="s">
        <v>33</v>
      </c>
      <c r="D973" s="2" t="s">
        <v>20</v>
      </c>
      <c r="E973" s="2">
        <v>409.59</v>
      </c>
      <c r="F973" s="2">
        <v>9.17</v>
      </c>
      <c r="G973" s="2">
        <v>33</v>
      </c>
      <c r="H973" s="2">
        <v>0.1</v>
      </c>
      <c r="I973" s="2">
        <v>0.5</v>
      </c>
      <c r="J973" s="2">
        <v>22</v>
      </c>
      <c r="K973" s="2" t="s">
        <v>29</v>
      </c>
      <c r="L973" s="2">
        <v>9.0299999999999994</v>
      </c>
      <c r="M973" s="2" t="s">
        <v>37</v>
      </c>
      <c r="N973" s="2">
        <v>83.12</v>
      </c>
      <c r="O973" s="2" t="s">
        <v>30</v>
      </c>
      <c r="P973" s="2">
        <v>3.52</v>
      </c>
      <c r="Q973" s="2">
        <v>6.29</v>
      </c>
      <c r="R973" s="3">
        <f t="shared" si="75"/>
        <v>1441.7567999999999</v>
      </c>
      <c r="S973" s="3">
        <f t="shared" si="76"/>
        <v>2576.3210999999997</v>
      </c>
      <c r="T973" s="3">
        <f t="shared" si="77"/>
        <v>1134.5642999999998</v>
      </c>
      <c r="U973" s="4">
        <f t="shared" si="78"/>
        <v>0.44038155802861684</v>
      </c>
      <c r="V973" s="5">
        <f t="shared" si="79"/>
        <v>36.985976999999991</v>
      </c>
    </row>
    <row r="974" spans="1:22" x14ac:dyDescent="0.25">
      <c r="A974" s="2" t="s">
        <v>1008</v>
      </c>
      <c r="B974" s="2" t="s">
        <v>32</v>
      </c>
      <c r="C974" s="2" t="s">
        <v>19</v>
      </c>
      <c r="D974" s="2" t="s">
        <v>20</v>
      </c>
      <c r="E974" s="2">
        <v>345.1</v>
      </c>
      <c r="F974" s="2">
        <v>13.28</v>
      </c>
      <c r="G974" s="2">
        <v>33.07</v>
      </c>
      <c r="H974" s="2">
        <v>1.3</v>
      </c>
      <c r="I974" s="2">
        <v>0.3</v>
      </c>
      <c r="J974" s="2">
        <v>27</v>
      </c>
      <c r="K974" s="2" t="s">
        <v>21</v>
      </c>
      <c r="L974" s="2">
        <v>5.32</v>
      </c>
      <c r="M974" s="2" t="s">
        <v>40</v>
      </c>
      <c r="N974" s="2">
        <v>66.39</v>
      </c>
      <c r="O974" s="2" t="s">
        <v>23</v>
      </c>
      <c r="P974" s="2">
        <v>8.89</v>
      </c>
      <c r="Q974" s="2">
        <v>6.44</v>
      </c>
      <c r="R974" s="3">
        <f t="shared" si="75"/>
        <v>3067.9390000000003</v>
      </c>
      <c r="S974" s="3">
        <f t="shared" si="76"/>
        <v>2222.4440000000004</v>
      </c>
      <c r="T974" s="3">
        <f t="shared" si="77"/>
        <v>-845.49499999999989</v>
      </c>
      <c r="U974" s="4">
        <f t="shared" si="78"/>
        <v>-0.38043478260869551</v>
      </c>
      <c r="V974" s="5">
        <f t="shared" si="79"/>
        <v>18.359320000000004</v>
      </c>
    </row>
    <row r="975" spans="1:22" x14ac:dyDescent="0.25">
      <c r="A975" s="2" t="s">
        <v>1009</v>
      </c>
      <c r="B975" s="2" t="s">
        <v>18</v>
      </c>
      <c r="C975" s="2" t="s">
        <v>19</v>
      </c>
      <c r="D975" s="2" t="s">
        <v>20</v>
      </c>
      <c r="E975" s="2">
        <v>525.79999999999995</v>
      </c>
      <c r="F975" s="2">
        <v>9.27</v>
      </c>
      <c r="G975" s="2">
        <v>39.119999999999997</v>
      </c>
      <c r="H975" s="2">
        <v>0.9</v>
      </c>
      <c r="I975" s="2">
        <v>0.1</v>
      </c>
      <c r="J975" s="2">
        <v>9</v>
      </c>
      <c r="K975" s="2" t="s">
        <v>29</v>
      </c>
      <c r="L975" s="2">
        <v>7.04</v>
      </c>
      <c r="M975" s="2" t="s">
        <v>40</v>
      </c>
      <c r="N975" s="2">
        <v>96.16</v>
      </c>
      <c r="O975" s="2" t="s">
        <v>24</v>
      </c>
      <c r="P975" s="2">
        <v>9.73</v>
      </c>
      <c r="Q975" s="2">
        <v>12.59</v>
      </c>
      <c r="R975" s="3">
        <f t="shared" si="75"/>
        <v>5116.0339999999997</v>
      </c>
      <c r="S975" s="3">
        <f t="shared" si="76"/>
        <v>6619.8219999999992</v>
      </c>
      <c r="T975" s="3">
        <f t="shared" si="77"/>
        <v>1503.7879999999996</v>
      </c>
      <c r="U975" s="4">
        <f t="shared" si="78"/>
        <v>0.22716441620333594</v>
      </c>
      <c r="V975" s="5">
        <f t="shared" si="79"/>
        <v>37.016319999999993</v>
      </c>
    </row>
    <row r="976" spans="1:22" x14ac:dyDescent="0.25">
      <c r="A976" s="2" t="s">
        <v>1010</v>
      </c>
      <c r="B976" s="2" t="s">
        <v>26</v>
      </c>
      <c r="C976" s="2" t="s">
        <v>43</v>
      </c>
      <c r="D976" s="2" t="s">
        <v>20</v>
      </c>
      <c r="E976" s="2">
        <v>610.39</v>
      </c>
      <c r="F976" s="2">
        <v>13.92</v>
      </c>
      <c r="G976" s="2">
        <v>20.059999999999999</v>
      </c>
      <c r="H976" s="2">
        <v>0.6</v>
      </c>
      <c r="I976" s="2">
        <v>1.8</v>
      </c>
      <c r="J976" s="2">
        <v>3</v>
      </c>
      <c r="K976" s="2" t="s">
        <v>29</v>
      </c>
      <c r="L976" s="2">
        <v>9.8000000000000007</v>
      </c>
      <c r="M976" s="2" t="s">
        <v>40</v>
      </c>
      <c r="N976" s="2">
        <v>94.18</v>
      </c>
      <c r="O976" s="2" t="s">
        <v>30</v>
      </c>
      <c r="P976" s="2">
        <v>5.84</v>
      </c>
      <c r="Q976" s="2">
        <v>6.45</v>
      </c>
      <c r="R976" s="3">
        <f t="shared" si="75"/>
        <v>3564.6776</v>
      </c>
      <c r="S976" s="3">
        <f t="shared" si="76"/>
        <v>3937.0155</v>
      </c>
      <c r="T976" s="3">
        <f t="shared" si="77"/>
        <v>372.33789999999999</v>
      </c>
      <c r="U976" s="4">
        <f t="shared" si="78"/>
        <v>9.4573643410852712E-2</v>
      </c>
      <c r="V976" s="5">
        <f t="shared" si="79"/>
        <v>59.818220000000004</v>
      </c>
    </row>
    <row r="977" spans="1:22" x14ac:dyDescent="0.25">
      <c r="A977" s="2" t="s">
        <v>1011</v>
      </c>
      <c r="B977" s="2" t="s">
        <v>45</v>
      </c>
      <c r="C977" s="2" t="s">
        <v>19</v>
      </c>
      <c r="D977" s="2" t="s">
        <v>20</v>
      </c>
      <c r="E977" s="2">
        <v>547.52</v>
      </c>
      <c r="F977" s="2">
        <v>12.82</v>
      </c>
      <c r="G977" s="2">
        <v>24.96</v>
      </c>
      <c r="H977" s="2">
        <v>2.4</v>
      </c>
      <c r="I977" s="2">
        <v>1.9</v>
      </c>
      <c r="J977" s="2">
        <v>15</v>
      </c>
      <c r="K977" s="2" t="s">
        <v>21</v>
      </c>
      <c r="L977" s="2">
        <v>2.74</v>
      </c>
      <c r="M977" s="2" t="s">
        <v>37</v>
      </c>
      <c r="N977" s="2">
        <v>85.79</v>
      </c>
      <c r="O977" s="2" t="s">
        <v>24</v>
      </c>
      <c r="P977" s="2">
        <v>4.57</v>
      </c>
      <c r="Q977" s="2">
        <v>7.6</v>
      </c>
      <c r="R977" s="3">
        <f t="shared" si="75"/>
        <v>2502.1664000000001</v>
      </c>
      <c r="S977" s="3">
        <f t="shared" si="76"/>
        <v>4161.152</v>
      </c>
      <c r="T977" s="3">
        <f t="shared" si="77"/>
        <v>1658.9856</v>
      </c>
      <c r="U977" s="4">
        <f t="shared" si="78"/>
        <v>0.39868421052631575</v>
      </c>
      <c r="V977" s="5">
        <f t="shared" si="79"/>
        <v>15.002048</v>
      </c>
    </row>
    <row r="978" spans="1:22" x14ac:dyDescent="0.25">
      <c r="A978" s="2" t="s">
        <v>1012</v>
      </c>
      <c r="B978" s="2" t="s">
        <v>26</v>
      </c>
      <c r="C978" s="2" t="s">
        <v>27</v>
      </c>
      <c r="D978" s="2" t="s">
        <v>28</v>
      </c>
      <c r="E978" s="2">
        <v>499.76</v>
      </c>
      <c r="F978" s="2">
        <v>14.23</v>
      </c>
      <c r="G978" s="2">
        <v>38.56</v>
      </c>
      <c r="H978" s="2">
        <v>2.9</v>
      </c>
      <c r="I978" s="2">
        <v>0.2</v>
      </c>
      <c r="J978" s="2">
        <v>4</v>
      </c>
      <c r="K978" s="2" t="s">
        <v>29</v>
      </c>
      <c r="L978" s="2">
        <v>2.1</v>
      </c>
      <c r="M978" s="2" t="s">
        <v>22</v>
      </c>
      <c r="N978" s="2">
        <v>68.180000000000007</v>
      </c>
      <c r="O978" s="2" t="s">
        <v>24</v>
      </c>
      <c r="P978" s="2">
        <v>3.14</v>
      </c>
      <c r="Q978" s="2">
        <v>7.04</v>
      </c>
      <c r="R978" s="3">
        <f t="shared" si="75"/>
        <v>1569.2464</v>
      </c>
      <c r="S978" s="3">
        <f t="shared" si="76"/>
        <v>3518.3103999999998</v>
      </c>
      <c r="T978" s="3">
        <f t="shared" si="77"/>
        <v>1949.0639999999999</v>
      </c>
      <c r="U978" s="4">
        <f t="shared" si="78"/>
        <v>0.55397727272727271</v>
      </c>
      <c r="V978" s="5">
        <f t="shared" si="79"/>
        <v>10.494960000000001</v>
      </c>
    </row>
    <row r="979" spans="1:22" x14ac:dyDescent="0.25">
      <c r="A979" s="2" t="s">
        <v>1013</v>
      </c>
      <c r="B979" s="2" t="s">
        <v>26</v>
      </c>
      <c r="C979" s="2" t="s">
        <v>43</v>
      </c>
      <c r="D979" s="2" t="s">
        <v>28</v>
      </c>
      <c r="E979" s="2">
        <v>441.07</v>
      </c>
      <c r="F979" s="2">
        <v>8.1</v>
      </c>
      <c r="G979" s="2">
        <v>38.64</v>
      </c>
      <c r="H979" s="2">
        <v>0.6</v>
      </c>
      <c r="I979" s="2">
        <v>0.1</v>
      </c>
      <c r="J979" s="2">
        <v>13</v>
      </c>
      <c r="K979" s="2" t="s">
        <v>21</v>
      </c>
      <c r="L979" s="2">
        <v>3.75</v>
      </c>
      <c r="M979" s="2" t="s">
        <v>40</v>
      </c>
      <c r="N979" s="2">
        <v>89.59</v>
      </c>
      <c r="O979" s="2" t="s">
        <v>24</v>
      </c>
      <c r="P979" s="2">
        <v>4.66</v>
      </c>
      <c r="Q979" s="2">
        <v>8.56</v>
      </c>
      <c r="R979" s="3">
        <f t="shared" si="75"/>
        <v>2055.3861999999999</v>
      </c>
      <c r="S979" s="3">
        <f t="shared" si="76"/>
        <v>3775.5592000000001</v>
      </c>
      <c r="T979" s="3">
        <f t="shared" si="77"/>
        <v>1720.1730000000002</v>
      </c>
      <c r="U979" s="4">
        <f t="shared" si="78"/>
        <v>0.45560747663551404</v>
      </c>
      <c r="V979" s="5">
        <f t="shared" si="79"/>
        <v>16.540125</v>
      </c>
    </row>
    <row r="980" spans="1:22" x14ac:dyDescent="0.25">
      <c r="A980" s="2" t="s">
        <v>1014</v>
      </c>
      <c r="B980" s="2" t="s">
        <v>26</v>
      </c>
      <c r="C980" s="2" t="s">
        <v>43</v>
      </c>
      <c r="D980" s="2" t="s">
        <v>20</v>
      </c>
      <c r="E980" s="2">
        <v>390.78</v>
      </c>
      <c r="F980" s="2">
        <v>9.9499999999999993</v>
      </c>
      <c r="G980" s="2">
        <v>34.409999999999997</v>
      </c>
      <c r="H980" s="2">
        <v>0.1</v>
      </c>
      <c r="I980" s="2">
        <v>1.3</v>
      </c>
      <c r="J980" s="2">
        <v>6</v>
      </c>
      <c r="K980" s="2" t="s">
        <v>21</v>
      </c>
      <c r="L980" s="2">
        <v>2.06</v>
      </c>
      <c r="M980" s="2" t="s">
        <v>37</v>
      </c>
      <c r="N980" s="2">
        <v>65.81</v>
      </c>
      <c r="O980" s="2" t="s">
        <v>24</v>
      </c>
      <c r="P980" s="2">
        <v>7.9</v>
      </c>
      <c r="Q980" s="2">
        <v>5.74</v>
      </c>
      <c r="R980" s="3">
        <f t="shared" si="75"/>
        <v>3087.1619999999998</v>
      </c>
      <c r="S980" s="3">
        <f t="shared" si="76"/>
        <v>2243.0771999999997</v>
      </c>
      <c r="T980" s="3">
        <f t="shared" si="77"/>
        <v>-844.08480000000009</v>
      </c>
      <c r="U980" s="4">
        <f t="shared" si="78"/>
        <v>-0.37630662020905931</v>
      </c>
      <c r="V980" s="5">
        <f t="shared" si="79"/>
        <v>8.0500679999999996</v>
      </c>
    </row>
    <row r="981" spans="1:22" x14ac:dyDescent="0.25">
      <c r="A981" s="2" t="s">
        <v>1015</v>
      </c>
      <c r="B981" s="2" t="s">
        <v>45</v>
      </c>
      <c r="C981" s="2" t="s">
        <v>43</v>
      </c>
      <c r="D981" s="2" t="s">
        <v>20</v>
      </c>
      <c r="E981" s="2">
        <v>583.48</v>
      </c>
      <c r="F981" s="2">
        <v>12.91</v>
      </c>
      <c r="G981" s="2">
        <v>35.32</v>
      </c>
      <c r="H981" s="2">
        <v>3.8</v>
      </c>
      <c r="I981" s="2">
        <v>0.2</v>
      </c>
      <c r="J981" s="2">
        <v>20</v>
      </c>
      <c r="K981" s="2" t="s">
        <v>29</v>
      </c>
      <c r="L981" s="2">
        <v>3.2</v>
      </c>
      <c r="M981" s="2" t="s">
        <v>37</v>
      </c>
      <c r="N981" s="2">
        <v>62.65</v>
      </c>
      <c r="O981" s="2" t="s">
        <v>24</v>
      </c>
      <c r="P981" s="2">
        <v>9.3800000000000008</v>
      </c>
      <c r="Q981" s="2">
        <v>13.57</v>
      </c>
      <c r="R981" s="3">
        <f t="shared" si="75"/>
        <v>5473.0424000000003</v>
      </c>
      <c r="S981" s="3">
        <f t="shared" si="76"/>
        <v>7917.8236000000006</v>
      </c>
      <c r="T981" s="3">
        <f t="shared" si="77"/>
        <v>2444.7812000000004</v>
      </c>
      <c r="U981" s="4">
        <f t="shared" si="78"/>
        <v>0.3087693441414886</v>
      </c>
      <c r="V981" s="5">
        <f t="shared" si="79"/>
        <v>18.671360000000004</v>
      </c>
    </row>
    <row r="982" spans="1:22" x14ac:dyDescent="0.25">
      <c r="A982" s="2" t="s">
        <v>1016</v>
      </c>
      <c r="B982" s="2" t="s">
        <v>26</v>
      </c>
      <c r="C982" s="2" t="s">
        <v>43</v>
      </c>
      <c r="D982" s="2" t="s">
        <v>20</v>
      </c>
      <c r="E982" s="2">
        <v>591.38</v>
      </c>
      <c r="F982" s="2">
        <v>17.510000000000002</v>
      </c>
      <c r="G982" s="2">
        <v>21.83</v>
      </c>
      <c r="H982" s="2">
        <v>0</v>
      </c>
      <c r="I982" s="2">
        <v>0.5</v>
      </c>
      <c r="J982" s="2">
        <v>17</v>
      </c>
      <c r="K982" s="2" t="s">
        <v>29</v>
      </c>
      <c r="L982" s="2">
        <v>7.56</v>
      </c>
      <c r="M982" s="2" t="s">
        <v>22</v>
      </c>
      <c r="N982" s="2">
        <v>75.75</v>
      </c>
      <c r="O982" s="2" t="s">
        <v>30</v>
      </c>
      <c r="P982" s="2">
        <v>3.65</v>
      </c>
      <c r="Q982" s="2">
        <v>13.6</v>
      </c>
      <c r="R982" s="3">
        <f t="shared" si="75"/>
        <v>2158.5369999999998</v>
      </c>
      <c r="S982" s="3">
        <f t="shared" si="76"/>
        <v>8042.768</v>
      </c>
      <c r="T982" s="3">
        <f t="shared" si="77"/>
        <v>5884.2309999999998</v>
      </c>
      <c r="U982" s="4">
        <f t="shared" si="78"/>
        <v>0.73161764705882348</v>
      </c>
      <c r="V982" s="5">
        <f t="shared" si="79"/>
        <v>44.708328000000002</v>
      </c>
    </row>
    <row r="983" spans="1:22" x14ac:dyDescent="0.25">
      <c r="A983" s="2" t="s">
        <v>1017</v>
      </c>
      <c r="B983" s="2" t="s">
        <v>26</v>
      </c>
      <c r="C983" s="2" t="s">
        <v>27</v>
      </c>
      <c r="D983" s="2" t="s">
        <v>28</v>
      </c>
      <c r="E983" s="2">
        <v>345.43</v>
      </c>
      <c r="F983" s="2">
        <v>11.84</v>
      </c>
      <c r="G983" s="2">
        <v>30.28</v>
      </c>
      <c r="H983" s="2">
        <v>5.5</v>
      </c>
      <c r="I983" s="2">
        <v>0.1</v>
      </c>
      <c r="J983" s="2">
        <v>23</v>
      </c>
      <c r="K983" s="2" t="s">
        <v>34</v>
      </c>
      <c r="L983" s="2">
        <v>5.04</v>
      </c>
      <c r="M983" s="2" t="s">
        <v>22</v>
      </c>
      <c r="N983" s="2">
        <v>99.86</v>
      </c>
      <c r="O983" s="2" t="s">
        <v>24</v>
      </c>
      <c r="P983" s="2">
        <v>6.87</v>
      </c>
      <c r="Q983" s="2">
        <v>9.1300000000000008</v>
      </c>
      <c r="R983" s="3">
        <f t="shared" si="75"/>
        <v>2373.1041</v>
      </c>
      <c r="S983" s="3">
        <f t="shared" si="76"/>
        <v>3153.7759000000005</v>
      </c>
      <c r="T983" s="3">
        <f t="shared" si="77"/>
        <v>780.67180000000053</v>
      </c>
      <c r="U983" s="4">
        <f t="shared" si="78"/>
        <v>0.24753559693318741</v>
      </c>
      <c r="V983" s="5">
        <f t="shared" si="79"/>
        <v>17.409672</v>
      </c>
    </row>
    <row r="984" spans="1:22" x14ac:dyDescent="0.25">
      <c r="A984" s="2" t="s">
        <v>1018</v>
      </c>
      <c r="B984" s="2" t="s">
        <v>26</v>
      </c>
      <c r="C984" s="2" t="s">
        <v>43</v>
      </c>
      <c r="D984" s="2" t="s">
        <v>28</v>
      </c>
      <c r="E984" s="2">
        <v>658.98</v>
      </c>
      <c r="F984" s="2">
        <v>12.24</v>
      </c>
      <c r="G984" s="2">
        <v>24.63</v>
      </c>
      <c r="H984" s="2">
        <v>2</v>
      </c>
      <c r="I984" s="2">
        <v>0.3</v>
      </c>
      <c r="J984" s="2">
        <v>5</v>
      </c>
      <c r="K984" s="2" t="s">
        <v>29</v>
      </c>
      <c r="L984" s="2">
        <v>4.0599999999999996</v>
      </c>
      <c r="M984" s="2" t="s">
        <v>37</v>
      </c>
      <c r="N984" s="2">
        <v>90.22</v>
      </c>
      <c r="O984" s="2" t="s">
        <v>30</v>
      </c>
      <c r="P984" s="2">
        <v>7.87</v>
      </c>
      <c r="Q984" s="2">
        <v>11.12</v>
      </c>
      <c r="R984" s="3">
        <f t="shared" si="75"/>
        <v>5186.1725999999999</v>
      </c>
      <c r="S984" s="3">
        <f t="shared" si="76"/>
        <v>7327.8575999999994</v>
      </c>
      <c r="T984" s="3">
        <f t="shared" si="77"/>
        <v>2141.6849999999995</v>
      </c>
      <c r="U984" s="4">
        <f t="shared" si="78"/>
        <v>0.29226618705035967</v>
      </c>
      <c r="V984" s="5">
        <f t="shared" si="79"/>
        <v>26.754587999999998</v>
      </c>
    </row>
    <row r="985" spans="1:22" x14ac:dyDescent="0.25">
      <c r="A985" s="2" t="s">
        <v>1019</v>
      </c>
      <c r="B985" s="2" t="s">
        <v>32</v>
      </c>
      <c r="C985" s="2" t="s">
        <v>19</v>
      </c>
      <c r="D985" s="2" t="s">
        <v>20</v>
      </c>
      <c r="E985" s="2">
        <v>557.41</v>
      </c>
      <c r="F985" s="2">
        <v>15.15</v>
      </c>
      <c r="G985" s="2">
        <v>23.62</v>
      </c>
      <c r="H985" s="2">
        <v>0.8</v>
      </c>
      <c r="I985" s="2">
        <v>1.6</v>
      </c>
      <c r="J985" s="2">
        <v>15</v>
      </c>
      <c r="K985" s="2" t="s">
        <v>34</v>
      </c>
      <c r="L985" s="2">
        <v>4</v>
      </c>
      <c r="M985" s="2" t="s">
        <v>22</v>
      </c>
      <c r="N985" s="2">
        <v>86.49</v>
      </c>
      <c r="O985" s="2" t="s">
        <v>24</v>
      </c>
      <c r="P985" s="2">
        <v>4.93</v>
      </c>
      <c r="Q985" s="2">
        <v>11.42</v>
      </c>
      <c r="R985" s="3">
        <f t="shared" si="75"/>
        <v>2748.0312999999996</v>
      </c>
      <c r="S985" s="3">
        <f t="shared" si="76"/>
        <v>6365.6221999999998</v>
      </c>
      <c r="T985" s="3">
        <f t="shared" si="77"/>
        <v>3617.5909000000001</v>
      </c>
      <c r="U985" s="4">
        <f t="shared" si="78"/>
        <v>0.56830122591943966</v>
      </c>
      <c r="V985" s="5">
        <f t="shared" si="79"/>
        <v>22.296399999999998</v>
      </c>
    </row>
    <row r="986" spans="1:22" x14ac:dyDescent="0.25">
      <c r="A986" s="2" t="s">
        <v>1020</v>
      </c>
      <c r="B986" s="2" t="s">
        <v>26</v>
      </c>
      <c r="C986" s="2" t="s">
        <v>27</v>
      </c>
      <c r="D986" s="2" t="s">
        <v>20</v>
      </c>
      <c r="E986" s="2">
        <v>639.96</v>
      </c>
      <c r="F986" s="2">
        <v>14.04</v>
      </c>
      <c r="G986" s="2">
        <v>36.21</v>
      </c>
      <c r="H986" s="2">
        <v>0.6</v>
      </c>
      <c r="I986" s="2">
        <v>1.6</v>
      </c>
      <c r="J986" s="2">
        <v>8</v>
      </c>
      <c r="K986" s="2" t="s">
        <v>29</v>
      </c>
      <c r="L986" s="2">
        <v>2.35</v>
      </c>
      <c r="M986" s="2" t="s">
        <v>22</v>
      </c>
      <c r="N986" s="2">
        <v>72.599999999999994</v>
      </c>
      <c r="O986" s="2" t="s">
        <v>23</v>
      </c>
      <c r="P986" s="2">
        <v>6.99</v>
      </c>
      <c r="Q986" s="2">
        <v>12.49</v>
      </c>
      <c r="R986" s="3">
        <f t="shared" si="75"/>
        <v>4473.3204000000005</v>
      </c>
      <c r="S986" s="3">
        <f t="shared" si="76"/>
        <v>7993.1004000000003</v>
      </c>
      <c r="T986" s="3">
        <f t="shared" si="77"/>
        <v>3519.7799999999997</v>
      </c>
      <c r="U986" s="4">
        <f t="shared" si="78"/>
        <v>0.44035228182546032</v>
      </c>
      <c r="V986" s="5">
        <f t="shared" si="79"/>
        <v>15.039060000000001</v>
      </c>
    </row>
    <row r="987" spans="1:22" x14ac:dyDescent="0.25">
      <c r="A987" s="2" t="s">
        <v>1021</v>
      </c>
      <c r="B987" s="2" t="s">
        <v>45</v>
      </c>
      <c r="C987" s="2" t="s">
        <v>33</v>
      </c>
      <c r="D987" s="2" t="s">
        <v>28</v>
      </c>
      <c r="E987" s="2">
        <v>365.79</v>
      </c>
      <c r="F987" s="2">
        <v>10.99</v>
      </c>
      <c r="G987" s="2">
        <v>22.7</v>
      </c>
      <c r="H987" s="2">
        <v>0</v>
      </c>
      <c r="I987" s="2">
        <v>0.2</v>
      </c>
      <c r="J987" s="2">
        <v>25</v>
      </c>
      <c r="K987" s="2" t="s">
        <v>21</v>
      </c>
      <c r="L987" s="2">
        <v>4.75</v>
      </c>
      <c r="M987" s="2" t="s">
        <v>37</v>
      </c>
      <c r="N987" s="2">
        <v>65.599999999999994</v>
      </c>
      <c r="O987" s="2" t="s">
        <v>30</v>
      </c>
      <c r="P987" s="2">
        <v>8.01</v>
      </c>
      <c r="Q987" s="2">
        <v>10.210000000000001</v>
      </c>
      <c r="R987" s="3">
        <f t="shared" si="75"/>
        <v>2929.9778999999999</v>
      </c>
      <c r="S987" s="3">
        <f t="shared" si="76"/>
        <v>3734.7159000000006</v>
      </c>
      <c r="T987" s="3">
        <f t="shared" si="77"/>
        <v>804.73800000000074</v>
      </c>
      <c r="U987" s="4">
        <f t="shared" si="78"/>
        <v>0.21547502448579839</v>
      </c>
      <c r="V987" s="5">
        <f t="shared" si="79"/>
        <v>17.375025000000001</v>
      </c>
    </row>
    <row r="988" spans="1:22" x14ac:dyDescent="0.25">
      <c r="A988" s="2" t="s">
        <v>1022</v>
      </c>
      <c r="B988" s="2" t="s">
        <v>26</v>
      </c>
      <c r="C988" s="2" t="s">
        <v>33</v>
      </c>
      <c r="D988" s="2" t="s">
        <v>28</v>
      </c>
      <c r="E988" s="2">
        <v>363.42</v>
      </c>
      <c r="F988" s="2">
        <v>12.11</v>
      </c>
      <c r="G988" s="2">
        <v>29.37</v>
      </c>
      <c r="H988" s="2">
        <v>0.5</v>
      </c>
      <c r="I988" s="2">
        <v>0.4</v>
      </c>
      <c r="J988" s="2">
        <v>5</v>
      </c>
      <c r="K988" s="2" t="s">
        <v>21</v>
      </c>
      <c r="L988" s="2">
        <v>6.43</v>
      </c>
      <c r="M988" s="2" t="s">
        <v>40</v>
      </c>
      <c r="N988" s="2">
        <v>92.8</v>
      </c>
      <c r="O988" s="2" t="s">
        <v>24</v>
      </c>
      <c r="P988" s="2">
        <v>8.86</v>
      </c>
      <c r="Q988" s="2">
        <v>10.1</v>
      </c>
      <c r="R988" s="3">
        <f t="shared" si="75"/>
        <v>3219.9011999999998</v>
      </c>
      <c r="S988" s="3">
        <f t="shared" si="76"/>
        <v>3670.5419999999999</v>
      </c>
      <c r="T988" s="3">
        <f t="shared" si="77"/>
        <v>450.64080000000013</v>
      </c>
      <c r="U988" s="4">
        <f t="shared" si="78"/>
        <v>0.12277227722772281</v>
      </c>
      <c r="V988" s="5">
        <f t="shared" si="79"/>
        <v>23.367905999999998</v>
      </c>
    </row>
    <row r="989" spans="1:22" x14ac:dyDescent="0.25">
      <c r="A989" s="2" t="s">
        <v>1023</v>
      </c>
      <c r="B989" s="2" t="s">
        <v>26</v>
      </c>
      <c r="C989" s="2" t="s">
        <v>19</v>
      </c>
      <c r="D989" s="2" t="s">
        <v>28</v>
      </c>
      <c r="E989" s="2">
        <v>485.1</v>
      </c>
      <c r="F989" s="2">
        <v>10.18</v>
      </c>
      <c r="G989" s="2">
        <v>38.770000000000003</v>
      </c>
      <c r="H989" s="2">
        <v>0.3</v>
      </c>
      <c r="I989" s="2">
        <v>0.1</v>
      </c>
      <c r="J989" s="2">
        <v>24</v>
      </c>
      <c r="K989" s="2" t="s">
        <v>34</v>
      </c>
      <c r="L989" s="2">
        <v>1.82</v>
      </c>
      <c r="M989" s="2" t="s">
        <v>40</v>
      </c>
      <c r="N989" s="2">
        <v>78.39</v>
      </c>
      <c r="O989" s="2" t="s">
        <v>30</v>
      </c>
      <c r="P989" s="2">
        <v>6.17</v>
      </c>
      <c r="Q989" s="2">
        <v>11.31</v>
      </c>
      <c r="R989" s="3">
        <f t="shared" si="75"/>
        <v>2993.067</v>
      </c>
      <c r="S989" s="3">
        <f t="shared" si="76"/>
        <v>5486.4810000000007</v>
      </c>
      <c r="T989" s="3">
        <f t="shared" si="77"/>
        <v>2493.4140000000007</v>
      </c>
      <c r="U989" s="4">
        <f t="shared" si="78"/>
        <v>0.45446507515473039</v>
      </c>
      <c r="V989" s="5">
        <f t="shared" si="79"/>
        <v>8.8288200000000003</v>
      </c>
    </row>
    <row r="990" spans="1:22" x14ac:dyDescent="0.25">
      <c r="A990" s="2" t="s">
        <v>1024</v>
      </c>
      <c r="B990" s="2" t="s">
        <v>45</v>
      </c>
      <c r="C990" s="2" t="s">
        <v>19</v>
      </c>
      <c r="D990" s="2" t="s">
        <v>28</v>
      </c>
      <c r="E990" s="2">
        <v>550.28</v>
      </c>
      <c r="F990" s="2">
        <v>17.66</v>
      </c>
      <c r="G990" s="2">
        <v>23.72</v>
      </c>
      <c r="H990" s="2">
        <v>1.9</v>
      </c>
      <c r="I990" s="2">
        <v>0.1</v>
      </c>
      <c r="J990" s="2">
        <v>13</v>
      </c>
      <c r="K990" s="2" t="s">
        <v>29</v>
      </c>
      <c r="L990" s="2">
        <v>9.74</v>
      </c>
      <c r="M990" s="2" t="s">
        <v>37</v>
      </c>
      <c r="N990" s="2">
        <v>90.66</v>
      </c>
      <c r="O990" s="2" t="s">
        <v>24</v>
      </c>
      <c r="P990" s="2">
        <v>8.24</v>
      </c>
      <c r="Q990" s="2">
        <v>12.03</v>
      </c>
      <c r="R990" s="3">
        <f t="shared" si="75"/>
        <v>4534.3072000000002</v>
      </c>
      <c r="S990" s="3">
        <f t="shared" si="76"/>
        <v>6619.8683999999994</v>
      </c>
      <c r="T990" s="3">
        <f t="shared" si="77"/>
        <v>2085.5611999999992</v>
      </c>
      <c r="U990" s="4">
        <f t="shared" si="78"/>
        <v>0.31504571903574385</v>
      </c>
      <c r="V990" s="5">
        <f t="shared" si="79"/>
        <v>53.597272000000004</v>
      </c>
    </row>
    <row r="991" spans="1:22" x14ac:dyDescent="0.25">
      <c r="A991" s="2" t="s">
        <v>1025</v>
      </c>
      <c r="B991" s="2" t="s">
        <v>26</v>
      </c>
      <c r="C991" s="2" t="s">
        <v>27</v>
      </c>
      <c r="D991" s="2" t="s">
        <v>20</v>
      </c>
      <c r="E991" s="2">
        <v>679.64</v>
      </c>
      <c r="F991" s="2">
        <v>9.31</v>
      </c>
      <c r="G991" s="2">
        <v>39.56</v>
      </c>
      <c r="H991" s="2">
        <v>0.4</v>
      </c>
      <c r="I991" s="2">
        <v>4.9000000000000004</v>
      </c>
      <c r="J991" s="2">
        <v>1</v>
      </c>
      <c r="K991" s="2" t="s">
        <v>34</v>
      </c>
      <c r="L991" s="2">
        <v>4.71</v>
      </c>
      <c r="M991" s="2" t="s">
        <v>40</v>
      </c>
      <c r="N991" s="2">
        <v>74.39</v>
      </c>
      <c r="O991" s="2" t="s">
        <v>24</v>
      </c>
      <c r="P991" s="2">
        <v>5.1100000000000003</v>
      </c>
      <c r="Q991" s="2">
        <v>8.4700000000000006</v>
      </c>
      <c r="R991" s="3">
        <f t="shared" si="75"/>
        <v>3472.9603999999999</v>
      </c>
      <c r="S991" s="3">
        <f t="shared" si="76"/>
        <v>5756.5508</v>
      </c>
      <c r="T991" s="3">
        <f t="shared" si="77"/>
        <v>2283.5904</v>
      </c>
      <c r="U991" s="4">
        <f t="shared" si="78"/>
        <v>0.39669421487603307</v>
      </c>
      <c r="V991" s="5">
        <f t="shared" si="79"/>
        <v>32.011043999999998</v>
      </c>
    </row>
    <row r="992" spans="1:22" x14ac:dyDescent="0.25">
      <c r="A992" s="2" t="s">
        <v>1026</v>
      </c>
      <c r="B992" s="2" t="s">
        <v>45</v>
      </c>
      <c r="C992" s="2" t="s">
        <v>33</v>
      </c>
      <c r="D992" s="2" t="s">
        <v>28</v>
      </c>
      <c r="E992" s="2">
        <v>570.61</v>
      </c>
      <c r="F992" s="2">
        <v>11.72</v>
      </c>
      <c r="G992" s="2">
        <v>39.89</v>
      </c>
      <c r="H992" s="2">
        <v>1.5</v>
      </c>
      <c r="I992" s="2">
        <v>1.1000000000000001</v>
      </c>
      <c r="J992" s="2">
        <v>1</v>
      </c>
      <c r="K992" s="2" t="s">
        <v>29</v>
      </c>
      <c r="L992" s="2">
        <v>9.51</v>
      </c>
      <c r="M992" s="2" t="s">
        <v>37</v>
      </c>
      <c r="N992" s="2">
        <v>87.7</v>
      </c>
      <c r="O992" s="2" t="s">
        <v>30</v>
      </c>
      <c r="P992" s="2">
        <v>4.49</v>
      </c>
      <c r="Q992" s="2">
        <v>8.3000000000000007</v>
      </c>
      <c r="R992" s="3">
        <f t="shared" si="75"/>
        <v>2562.0389</v>
      </c>
      <c r="S992" s="3">
        <f t="shared" si="76"/>
        <v>4736.0630000000001</v>
      </c>
      <c r="T992" s="3">
        <f t="shared" si="77"/>
        <v>2174.0241000000001</v>
      </c>
      <c r="U992" s="4">
        <f t="shared" si="78"/>
        <v>0.45903614457831327</v>
      </c>
      <c r="V992" s="5">
        <f t="shared" si="79"/>
        <v>54.265011000000001</v>
      </c>
    </row>
    <row r="993" spans="1:22" x14ac:dyDescent="0.25">
      <c r="A993" s="2" t="s">
        <v>1027</v>
      </c>
      <c r="B993" s="2" t="s">
        <v>26</v>
      </c>
      <c r="C993" s="2" t="s">
        <v>33</v>
      </c>
      <c r="D993" s="2" t="s">
        <v>28</v>
      </c>
      <c r="E993" s="2">
        <v>475.73</v>
      </c>
      <c r="F993" s="2">
        <v>8.26</v>
      </c>
      <c r="G993" s="2">
        <v>31.11</v>
      </c>
      <c r="H993" s="2">
        <v>1.8</v>
      </c>
      <c r="I993" s="2">
        <v>0.8</v>
      </c>
      <c r="J993" s="2">
        <v>7</v>
      </c>
      <c r="K993" s="2" t="s">
        <v>29</v>
      </c>
      <c r="L993" s="2">
        <v>1.78</v>
      </c>
      <c r="M993" s="2" t="s">
        <v>37</v>
      </c>
      <c r="N993" s="2">
        <v>93.39</v>
      </c>
      <c r="O993" s="2" t="s">
        <v>24</v>
      </c>
      <c r="P993" s="2">
        <v>4.3099999999999996</v>
      </c>
      <c r="Q993" s="2">
        <v>7.7</v>
      </c>
      <c r="R993" s="3">
        <f t="shared" si="75"/>
        <v>2050.3962999999999</v>
      </c>
      <c r="S993" s="3">
        <f t="shared" si="76"/>
        <v>3663.1210000000001</v>
      </c>
      <c r="T993" s="3">
        <f t="shared" si="77"/>
        <v>1612.7247000000002</v>
      </c>
      <c r="U993" s="4">
        <f t="shared" si="78"/>
        <v>0.4402597402597403</v>
      </c>
      <c r="V993" s="5">
        <f t="shared" si="79"/>
        <v>8.4679939999999991</v>
      </c>
    </row>
    <row r="994" spans="1:22" x14ac:dyDescent="0.25">
      <c r="A994" s="2" t="s">
        <v>1028</v>
      </c>
      <c r="B994" s="2" t="s">
        <v>45</v>
      </c>
      <c r="C994" s="2" t="s">
        <v>33</v>
      </c>
      <c r="D994" s="2" t="s">
        <v>20</v>
      </c>
      <c r="E994" s="2">
        <v>397.36</v>
      </c>
      <c r="F994" s="2">
        <v>10.220000000000001</v>
      </c>
      <c r="G994" s="2">
        <v>23.4</v>
      </c>
      <c r="H994" s="2">
        <v>0.7</v>
      </c>
      <c r="I994" s="2">
        <v>1.5</v>
      </c>
      <c r="J994" s="2">
        <v>22</v>
      </c>
      <c r="K994" s="2" t="s">
        <v>21</v>
      </c>
      <c r="L994" s="2">
        <v>7.79</v>
      </c>
      <c r="M994" s="2" t="s">
        <v>22</v>
      </c>
      <c r="N994" s="2">
        <v>69.569999999999993</v>
      </c>
      <c r="O994" s="2" t="s">
        <v>24</v>
      </c>
      <c r="P994" s="2">
        <v>5.51</v>
      </c>
      <c r="Q994" s="2">
        <v>10.49</v>
      </c>
      <c r="R994" s="3">
        <f t="shared" si="75"/>
        <v>2189.4535999999998</v>
      </c>
      <c r="S994" s="3">
        <f t="shared" si="76"/>
        <v>4168.3064000000004</v>
      </c>
      <c r="T994" s="3">
        <f t="shared" si="77"/>
        <v>1978.8528000000006</v>
      </c>
      <c r="U994" s="4">
        <f t="shared" si="78"/>
        <v>0.47473784556720694</v>
      </c>
      <c r="V994" s="5">
        <f t="shared" si="79"/>
        <v>30.954344000000003</v>
      </c>
    </row>
    <row r="995" spans="1:22" x14ac:dyDescent="0.25">
      <c r="A995" s="2" t="s">
        <v>1029</v>
      </c>
      <c r="B995" s="2" t="s">
        <v>26</v>
      </c>
      <c r="C995" s="2" t="s">
        <v>33</v>
      </c>
      <c r="D995" s="2" t="s">
        <v>28</v>
      </c>
      <c r="E995" s="2">
        <v>623</v>
      </c>
      <c r="F995" s="2">
        <v>15.8</v>
      </c>
      <c r="G995" s="2">
        <v>26.32</v>
      </c>
      <c r="H995" s="2">
        <v>0.1</v>
      </c>
      <c r="I995" s="2">
        <v>1.8</v>
      </c>
      <c r="J995" s="2">
        <v>5</v>
      </c>
      <c r="K995" s="2" t="s">
        <v>34</v>
      </c>
      <c r="L995" s="2">
        <v>6.37</v>
      </c>
      <c r="M995" s="2" t="s">
        <v>40</v>
      </c>
      <c r="N995" s="2">
        <v>50.68</v>
      </c>
      <c r="O995" s="2" t="s">
        <v>24</v>
      </c>
      <c r="P995" s="2">
        <v>3.25</v>
      </c>
      <c r="Q995" s="2">
        <v>8.6</v>
      </c>
      <c r="R995" s="3">
        <f t="shared" si="75"/>
        <v>2024.75</v>
      </c>
      <c r="S995" s="3">
        <f t="shared" si="76"/>
        <v>5357.8</v>
      </c>
      <c r="T995" s="3">
        <f t="shared" si="77"/>
        <v>3333.05</v>
      </c>
      <c r="U995" s="4">
        <f t="shared" si="78"/>
        <v>0.62209302325581395</v>
      </c>
      <c r="V995" s="5">
        <f t="shared" si="79"/>
        <v>39.685100000000006</v>
      </c>
    </row>
    <row r="996" spans="1:22" x14ac:dyDescent="0.25">
      <c r="A996" s="2" t="s">
        <v>1030</v>
      </c>
      <c r="B996" s="2" t="s">
        <v>26</v>
      </c>
      <c r="C996" s="2" t="s">
        <v>33</v>
      </c>
      <c r="D996" s="2" t="s">
        <v>28</v>
      </c>
      <c r="E996" s="2">
        <v>403.53</v>
      </c>
      <c r="F996" s="2">
        <v>10.01</v>
      </c>
      <c r="G996" s="2">
        <v>28.49</v>
      </c>
      <c r="H996" s="2">
        <v>0.1</v>
      </c>
      <c r="I996" s="2">
        <v>1.6</v>
      </c>
      <c r="J996" s="2">
        <v>14</v>
      </c>
      <c r="K996" s="2" t="s">
        <v>21</v>
      </c>
      <c r="L996" s="2">
        <v>8.2899999999999991</v>
      </c>
      <c r="M996" s="2" t="s">
        <v>37</v>
      </c>
      <c r="N996" s="2">
        <v>62.75</v>
      </c>
      <c r="O996" s="2" t="s">
        <v>24</v>
      </c>
      <c r="P996" s="2">
        <v>4.9800000000000004</v>
      </c>
      <c r="Q996" s="2">
        <v>10.4</v>
      </c>
      <c r="R996" s="3">
        <f t="shared" si="75"/>
        <v>2009.5794000000001</v>
      </c>
      <c r="S996" s="3">
        <f t="shared" si="76"/>
        <v>4196.7119999999995</v>
      </c>
      <c r="T996" s="3">
        <f t="shared" si="77"/>
        <v>2187.1325999999995</v>
      </c>
      <c r="U996" s="4">
        <f t="shared" si="78"/>
        <v>0.52115384615384608</v>
      </c>
      <c r="V996" s="5">
        <f t="shared" si="79"/>
        <v>33.452636999999996</v>
      </c>
    </row>
    <row r="997" spans="1:22" x14ac:dyDescent="0.25">
      <c r="A997" s="2" t="s">
        <v>1031</v>
      </c>
      <c r="B997" s="2" t="s">
        <v>32</v>
      </c>
      <c r="C997" s="2" t="s">
        <v>43</v>
      </c>
      <c r="D997" s="2" t="s">
        <v>28</v>
      </c>
      <c r="E997" s="2">
        <v>662.85</v>
      </c>
      <c r="F997" s="2">
        <v>8.8000000000000007</v>
      </c>
      <c r="G997" s="2">
        <v>26.19</v>
      </c>
      <c r="H997" s="2">
        <v>0.1</v>
      </c>
      <c r="I997" s="2">
        <v>0</v>
      </c>
      <c r="J997" s="2">
        <v>15</v>
      </c>
      <c r="K997" s="2" t="s">
        <v>21</v>
      </c>
      <c r="L997" s="2">
        <v>6.21</v>
      </c>
      <c r="M997" s="2" t="s">
        <v>40</v>
      </c>
      <c r="N997" s="2">
        <v>95.75</v>
      </c>
      <c r="O997" s="2" t="s">
        <v>24</v>
      </c>
      <c r="P997" s="2">
        <v>7.57</v>
      </c>
      <c r="Q997" s="2">
        <v>9.06</v>
      </c>
      <c r="R997" s="3">
        <f t="shared" si="75"/>
        <v>5017.7745000000004</v>
      </c>
      <c r="S997" s="3">
        <f t="shared" si="76"/>
        <v>6005.4210000000003</v>
      </c>
      <c r="T997" s="3">
        <f t="shared" si="77"/>
        <v>987.64649999999983</v>
      </c>
      <c r="U997" s="4">
        <f t="shared" si="78"/>
        <v>0.16445916114790282</v>
      </c>
      <c r="V997" s="5">
        <f t="shared" si="79"/>
        <v>41.162984999999999</v>
      </c>
    </row>
    <row r="998" spans="1:22" x14ac:dyDescent="0.25">
      <c r="A998" s="2" t="s">
        <v>1032</v>
      </c>
      <c r="B998" s="2" t="s">
        <v>32</v>
      </c>
      <c r="C998" s="2" t="s">
        <v>19</v>
      </c>
      <c r="D998" s="2" t="s">
        <v>20</v>
      </c>
      <c r="E998" s="2">
        <v>471.56</v>
      </c>
      <c r="F998" s="2">
        <v>12.74</v>
      </c>
      <c r="G998" s="2">
        <v>25.61</v>
      </c>
      <c r="H998" s="2">
        <v>2.7</v>
      </c>
      <c r="I998" s="2">
        <v>0.2</v>
      </c>
      <c r="J998" s="2">
        <v>21</v>
      </c>
      <c r="K998" s="2" t="s">
        <v>21</v>
      </c>
      <c r="L998" s="2">
        <v>9.65</v>
      </c>
      <c r="M998" s="2" t="s">
        <v>40</v>
      </c>
      <c r="N998" s="2">
        <v>84.38</v>
      </c>
      <c r="O998" s="2" t="s">
        <v>24</v>
      </c>
      <c r="P998" s="2">
        <v>7.54</v>
      </c>
      <c r="Q998" s="2">
        <v>13.37</v>
      </c>
      <c r="R998" s="3">
        <f t="shared" si="75"/>
        <v>3555.5624000000003</v>
      </c>
      <c r="S998" s="3">
        <f t="shared" si="76"/>
        <v>6304.7572</v>
      </c>
      <c r="T998" s="3">
        <f t="shared" si="77"/>
        <v>2749.1947999999998</v>
      </c>
      <c r="U998" s="4">
        <f t="shared" si="78"/>
        <v>0.43605086013462974</v>
      </c>
      <c r="V998" s="5">
        <f t="shared" si="79"/>
        <v>45.505540000000003</v>
      </c>
    </row>
    <row r="999" spans="1:22" x14ac:dyDescent="0.25">
      <c r="A999" s="2" t="s">
        <v>1033</v>
      </c>
      <c r="B999" s="2" t="s">
        <v>26</v>
      </c>
      <c r="C999" s="2" t="s">
        <v>43</v>
      </c>
      <c r="D999" s="2" t="s">
        <v>28</v>
      </c>
      <c r="E999" s="2">
        <v>659.06</v>
      </c>
      <c r="F999" s="2">
        <v>8.1</v>
      </c>
      <c r="G999" s="2">
        <v>39.44</v>
      </c>
      <c r="H999" s="2">
        <v>0.8</v>
      </c>
      <c r="I999" s="2">
        <v>1.1000000000000001</v>
      </c>
      <c r="J999" s="2">
        <v>25</v>
      </c>
      <c r="K999" s="2" t="s">
        <v>34</v>
      </c>
      <c r="L999" s="2">
        <v>6.46</v>
      </c>
      <c r="M999" s="2" t="s">
        <v>40</v>
      </c>
      <c r="N999" s="2">
        <v>86.86</v>
      </c>
      <c r="O999" s="2" t="s">
        <v>30</v>
      </c>
      <c r="P999" s="2">
        <v>3.51</v>
      </c>
      <c r="Q999" s="2">
        <v>5.73</v>
      </c>
      <c r="R999" s="3">
        <f t="shared" si="75"/>
        <v>2313.3005999999996</v>
      </c>
      <c r="S999" s="3">
        <f t="shared" si="76"/>
        <v>3776.4137999999998</v>
      </c>
      <c r="T999" s="3">
        <f t="shared" si="77"/>
        <v>1463.1132000000002</v>
      </c>
      <c r="U999" s="4">
        <f t="shared" si="78"/>
        <v>0.38743455497382207</v>
      </c>
      <c r="V999" s="5">
        <f t="shared" si="79"/>
        <v>42.575275999999995</v>
      </c>
    </row>
    <row r="1000" spans="1:22" x14ac:dyDescent="0.25">
      <c r="A1000" s="2" t="s">
        <v>1034</v>
      </c>
      <c r="B1000" s="2" t="s">
        <v>26</v>
      </c>
      <c r="C1000" s="2" t="s">
        <v>33</v>
      </c>
      <c r="D1000" s="2" t="s">
        <v>20</v>
      </c>
      <c r="E1000" s="2">
        <v>567.89</v>
      </c>
      <c r="F1000" s="2">
        <v>8.85</v>
      </c>
      <c r="G1000" s="2">
        <v>23.07</v>
      </c>
      <c r="H1000" s="2">
        <v>3.2</v>
      </c>
      <c r="I1000" s="2">
        <v>0.5</v>
      </c>
      <c r="J1000" s="2">
        <v>17</v>
      </c>
      <c r="K1000" s="2" t="s">
        <v>29</v>
      </c>
      <c r="L1000" s="2">
        <v>7.95</v>
      </c>
      <c r="M1000" s="2" t="s">
        <v>37</v>
      </c>
      <c r="N1000" s="2">
        <v>66.260000000000005</v>
      </c>
      <c r="O1000" s="2" t="s">
        <v>23</v>
      </c>
      <c r="P1000" s="2">
        <v>5.01</v>
      </c>
      <c r="Q1000" s="2">
        <v>10.72</v>
      </c>
      <c r="R1000" s="3">
        <f t="shared" si="75"/>
        <v>2845.1288999999997</v>
      </c>
      <c r="S1000" s="3">
        <f t="shared" si="76"/>
        <v>6087.7808000000005</v>
      </c>
      <c r="T1000" s="3">
        <f t="shared" si="77"/>
        <v>3242.6519000000008</v>
      </c>
      <c r="U1000" s="4">
        <f t="shared" si="78"/>
        <v>0.53264925373134342</v>
      </c>
      <c r="V1000" s="5">
        <f t="shared" si="79"/>
        <v>45.147254999999994</v>
      </c>
    </row>
    <row r="1001" spans="1:22" x14ac:dyDescent="0.25">
      <c r="A1001" s="2" t="s">
        <v>1035</v>
      </c>
      <c r="B1001" s="2" t="s">
        <v>18</v>
      </c>
      <c r="C1001" s="2" t="s">
        <v>27</v>
      </c>
      <c r="D1001" s="2" t="s">
        <v>20</v>
      </c>
      <c r="E1001" s="2">
        <v>486.3</v>
      </c>
      <c r="F1001" s="2">
        <v>16.079999999999998</v>
      </c>
      <c r="G1001" s="2">
        <v>34.67</v>
      </c>
      <c r="H1001" s="2">
        <v>1.1000000000000001</v>
      </c>
      <c r="I1001" s="2">
        <v>4</v>
      </c>
      <c r="J1001" s="2">
        <v>24</v>
      </c>
      <c r="K1001" s="2" t="s">
        <v>29</v>
      </c>
      <c r="L1001" s="2">
        <v>8.84</v>
      </c>
      <c r="M1001" s="2" t="s">
        <v>22</v>
      </c>
      <c r="N1001" s="2">
        <v>85.06</v>
      </c>
      <c r="O1001" s="2" t="s">
        <v>24</v>
      </c>
      <c r="P1001" s="2">
        <v>6.99</v>
      </c>
      <c r="Q1001" s="2">
        <v>10.76</v>
      </c>
      <c r="R1001" s="3">
        <f t="shared" si="75"/>
        <v>3399.2370000000001</v>
      </c>
      <c r="S1001" s="3">
        <f t="shared" si="76"/>
        <v>5232.5879999999997</v>
      </c>
      <c r="T1001" s="3">
        <f t="shared" si="77"/>
        <v>1833.3509999999997</v>
      </c>
      <c r="U1001" s="4">
        <f t="shared" si="78"/>
        <v>0.35037174721189585</v>
      </c>
      <c r="V1001" s="5">
        <f t="shared" si="79"/>
        <v>42.98892</v>
      </c>
    </row>
    <row r="1002" spans="1:22" x14ac:dyDescent="0.25">
      <c r="A1002" s="2" t="s">
        <v>1036</v>
      </c>
      <c r="B1002" s="2" t="s">
        <v>45</v>
      </c>
      <c r="C1002" s="2" t="s">
        <v>27</v>
      </c>
      <c r="D1002" s="2" t="s">
        <v>28</v>
      </c>
      <c r="E1002" s="2">
        <v>448.06</v>
      </c>
      <c r="F1002" s="2">
        <v>15.71</v>
      </c>
      <c r="G1002" s="2">
        <v>20.010000000000002</v>
      </c>
      <c r="H1002" s="2">
        <v>1.2</v>
      </c>
      <c r="I1002" s="2">
        <v>1.1000000000000001</v>
      </c>
      <c r="J1002" s="2">
        <v>18</v>
      </c>
      <c r="K1002" s="2" t="s">
        <v>34</v>
      </c>
      <c r="L1002" s="2">
        <v>7.29</v>
      </c>
      <c r="M1002" s="2" t="s">
        <v>40</v>
      </c>
      <c r="N1002" s="2">
        <v>82.31</v>
      </c>
      <c r="O1002" s="2" t="s">
        <v>30</v>
      </c>
      <c r="P1002" s="2">
        <v>5.23</v>
      </c>
      <c r="Q1002" s="2">
        <v>8.84</v>
      </c>
      <c r="R1002" s="3">
        <f t="shared" si="75"/>
        <v>2343.3538000000003</v>
      </c>
      <c r="S1002" s="3">
        <f t="shared" si="76"/>
        <v>3960.8503999999998</v>
      </c>
      <c r="T1002" s="3">
        <f t="shared" si="77"/>
        <v>1617.4965999999995</v>
      </c>
      <c r="U1002" s="4">
        <f t="shared" si="78"/>
        <v>0.40837104072398178</v>
      </c>
      <c r="V1002" s="5">
        <f t="shared" si="79"/>
        <v>32.663573999999997</v>
      </c>
    </row>
    <row r="1003" spans="1:22" x14ac:dyDescent="0.25">
      <c r="A1003" s="2" t="s">
        <v>1037</v>
      </c>
      <c r="B1003" s="2" t="s">
        <v>18</v>
      </c>
      <c r="C1003" s="2" t="s">
        <v>33</v>
      </c>
      <c r="D1003" s="2" t="s">
        <v>28</v>
      </c>
      <c r="E1003" s="2">
        <v>465.91</v>
      </c>
      <c r="F1003" s="2">
        <v>17.149999999999999</v>
      </c>
      <c r="G1003" s="2">
        <v>31.92</v>
      </c>
      <c r="H1003" s="2">
        <v>1.4</v>
      </c>
      <c r="I1003" s="2">
        <v>3.1</v>
      </c>
      <c r="J1003" s="2">
        <v>7</v>
      </c>
      <c r="K1003" s="2" t="s">
        <v>29</v>
      </c>
      <c r="L1003" s="2">
        <v>5.48</v>
      </c>
      <c r="M1003" s="2" t="s">
        <v>37</v>
      </c>
      <c r="N1003" s="2">
        <v>58.92</v>
      </c>
      <c r="O1003" s="2" t="s">
        <v>23</v>
      </c>
      <c r="P1003" s="2">
        <v>5.93</v>
      </c>
      <c r="Q1003" s="2">
        <v>9.2100000000000009</v>
      </c>
      <c r="R1003" s="3">
        <f t="shared" si="75"/>
        <v>2762.8463000000002</v>
      </c>
      <c r="S1003" s="3">
        <f t="shared" si="76"/>
        <v>4291.0311000000011</v>
      </c>
      <c r="T1003" s="3">
        <f t="shared" si="77"/>
        <v>1528.1848000000009</v>
      </c>
      <c r="U1003" s="4">
        <f t="shared" si="78"/>
        <v>0.35613463626492953</v>
      </c>
      <c r="V1003" s="5">
        <f t="shared" si="79"/>
        <v>25.531868000000003</v>
      </c>
    </row>
    <row r="1004" spans="1:22" x14ac:dyDescent="0.25">
      <c r="A1004" s="2" t="s">
        <v>1038</v>
      </c>
      <c r="B1004" s="2" t="s">
        <v>32</v>
      </c>
      <c r="C1004" s="2" t="s">
        <v>33</v>
      </c>
      <c r="D1004" s="2" t="s">
        <v>28</v>
      </c>
      <c r="E1004" s="2">
        <v>542.83000000000004</v>
      </c>
      <c r="F1004" s="2">
        <v>16.55</v>
      </c>
      <c r="G1004" s="2">
        <v>38.32</v>
      </c>
      <c r="H1004" s="2">
        <v>2.5</v>
      </c>
      <c r="I1004" s="2">
        <v>0.2</v>
      </c>
      <c r="J1004" s="2">
        <v>22</v>
      </c>
      <c r="K1004" s="2" t="s">
        <v>34</v>
      </c>
      <c r="L1004" s="2">
        <v>3.09</v>
      </c>
      <c r="M1004" s="2" t="s">
        <v>40</v>
      </c>
      <c r="N1004" s="2">
        <v>98.43</v>
      </c>
      <c r="O1004" s="2" t="s">
        <v>30</v>
      </c>
      <c r="P1004" s="2">
        <v>7.99</v>
      </c>
      <c r="Q1004" s="2">
        <v>13</v>
      </c>
      <c r="R1004" s="3">
        <f t="shared" si="75"/>
        <v>4337.2117000000007</v>
      </c>
      <c r="S1004" s="3">
        <f t="shared" si="76"/>
        <v>7056.7900000000009</v>
      </c>
      <c r="T1004" s="3">
        <f t="shared" si="77"/>
        <v>2719.5783000000001</v>
      </c>
      <c r="U1004" s="4">
        <f t="shared" si="78"/>
        <v>0.38538461538461538</v>
      </c>
      <c r="V1004" s="5">
        <f t="shared" si="79"/>
        <v>16.773447000000001</v>
      </c>
    </row>
    <row r="1005" spans="1:22" x14ac:dyDescent="0.25">
      <c r="A1005" s="2" t="s">
        <v>1039</v>
      </c>
      <c r="B1005" s="2" t="s">
        <v>32</v>
      </c>
      <c r="C1005" s="2" t="s">
        <v>27</v>
      </c>
      <c r="D1005" s="2" t="s">
        <v>28</v>
      </c>
      <c r="E1005" s="2">
        <v>507.72</v>
      </c>
      <c r="F1005" s="2">
        <v>14.83</v>
      </c>
      <c r="G1005" s="2">
        <v>25.76</v>
      </c>
      <c r="H1005" s="2">
        <v>0.6</v>
      </c>
      <c r="I1005" s="2">
        <v>2</v>
      </c>
      <c r="J1005" s="2">
        <v>26</v>
      </c>
      <c r="K1005" s="2" t="s">
        <v>34</v>
      </c>
      <c r="L1005" s="2">
        <v>8.6199999999999992</v>
      </c>
      <c r="M1005" s="2" t="s">
        <v>22</v>
      </c>
      <c r="N1005" s="2">
        <v>67.7</v>
      </c>
      <c r="O1005" s="2" t="s">
        <v>23</v>
      </c>
      <c r="P1005" s="2">
        <v>3.06</v>
      </c>
      <c r="Q1005" s="2">
        <v>7.81</v>
      </c>
      <c r="R1005" s="3">
        <f t="shared" si="75"/>
        <v>1553.6232</v>
      </c>
      <c r="S1005" s="3">
        <f t="shared" si="76"/>
        <v>3965.2932000000001</v>
      </c>
      <c r="T1005" s="3">
        <f t="shared" si="77"/>
        <v>2411.67</v>
      </c>
      <c r="U1005" s="4">
        <f t="shared" si="78"/>
        <v>0.60819462227912935</v>
      </c>
      <c r="V1005" s="5">
        <f t="shared" si="79"/>
        <v>43.765464000000001</v>
      </c>
    </row>
    <row r="1006" spans="1:22" x14ac:dyDescent="0.25">
      <c r="A1006" s="2" t="s">
        <v>1040</v>
      </c>
      <c r="B1006" s="2" t="s">
        <v>32</v>
      </c>
      <c r="C1006" s="2" t="s">
        <v>43</v>
      </c>
      <c r="D1006" s="2" t="s">
        <v>20</v>
      </c>
      <c r="E1006" s="2">
        <v>440.62</v>
      </c>
      <c r="F1006" s="2">
        <v>8.52</v>
      </c>
      <c r="G1006" s="2">
        <v>23.71</v>
      </c>
      <c r="H1006" s="2">
        <v>0.3</v>
      </c>
      <c r="I1006" s="2">
        <v>0.4</v>
      </c>
      <c r="J1006" s="2">
        <v>18</v>
      </c>
      <c r="K1006" s="2" t="s">
        <v>29</v>
      </c>
      <c r="L1006" s="2">
        <v>5.07</v>
      </c>
      <c r="M1006" s="2" t="s">
        <v>40</v>
      </c>
      <c r="N1006" s="2">
        <v>66.459999999999994</v>
      </c>
      <c r="O1006" s="2" t="s">
        <v>23</v>
      </c>
      <c r="P1006" s="2">
        <v>4.93</v>
      </c>
      <c r="Q1006" s="2">
        <v>13.71</v>
      </c>
      <c r="R1006" s="3">
        <f t="shared" si="75"/>
        <v>2172.2565999999997</v>
      </c>
      <c r="S1006" s="3">
        <f t="shared" si="76"/>
        <v>6040.9002</v>
      </c>
      <c r="T1006" s="3">
        <f t="shared" si="77"/>
        <v>3868.6436000000003</v>
      </c>
      <c r="U1006" s="4">
        <f t="shared" si="78"/>
        <v>0.64040846097738879</v>
      </c>
      <c r="V1006" s="5">
        <f t="shared" si="79"/>
        <v>22.339434000000001</v>
      </c>
    </row>
    <row r="1007" spans="1:22" x14ac:dyDescent="0.25">
      <c r="A1007" s="2" t="s">
        <v>1041</v>
      </c>
      <c r="B1007" s="2" t="s">
        <v>32</v>
      </c>
      <c r="C1007" s="2" t="s">
        <v>43</v>
      </c>
      <c r="D1007" s="2" t="s">
        <v>28</v>
      </c>
      <c r="E1007" s="2">
        <v>483.44</v>
      </c>
      <c r="F1007" s="2">
        <v>15.83</v>
      </c>
      <c r="G1007" s="2">
        <v>33.03</v>
      </c>
      <c r="H1007" s="2">
        <v>1.6</v>
      </c>
      <c r="I1007" s="2">
        <v>4.5999999999999996</v>
      </c>
      <c r="J1007" s="2">
        <v>28</v>
      </c>
      <c r="K1007" s="2" t="s">
        <v>21</v>
      </c>
      <c r="L1007" s="2">
        <v>6.4</v>
      </c>
      <c r="M1007" s="2" t="s">
        <v>37</v>
      </c>
      <c r="N1007" s="2">
        <v>68.459999999999994</v>
      </c>
      <c r="O1007" s="2" t="s">
        <v>23</v>
      </c>
      <c r="P1007" s="2">
        <v>4</v>
      </c>
      <c r="Q1007" s="2">
        <v>13.96</v>
      </c>
      <c r="R1007" s="3">
        <f t="shared" si="75"/>
        <v>1933.76</v>
      </c>
      <c r="S1007" s="3">
        <f t="shared" si="76"/>
        <v>6748.8224</v>
      </c>
      <c r="T1007" s="3">
        <f t="shared" si="77"/>
        <v>4815.0623999999998</v>
      </c>
      <c r="U1007" s="4">
        <f t="shared" si="78"/>
        <v>0.71346704871060174</v>
      </c>
      <c r="V1007" s="5">
        <f t="shared" si="79"/>
        <v>30.940160000000002</v>
      </c>
    </row>
    <row r="1008" spans="1:22" x14ac:dyDescent="0.25">
      <c r="A1008" s="2" t="s">
        <v>1042</v>
      </c>
      <c r="B1008" s="2" t="s">
        <v>26</v>
      </c>
      <c r="C1008" s="2" t="s">
        <v>33</v>
      </c>
      <c r="D1008" s="2" t="s">
        <v>28</v>
      </c>
      <c r="E1008" s="2">
        <v>507.86</v>
      </c>
      <c r="F1008" s="2">
        <v>16.46</v>
      </c>
      <c r="G1008" s="2">
        <v>34.25</v>
      </c>
      <c r="H1008" s="2">
        <v>0.8</v>
      </c>
      <c r="I1008" s="2">
        <v>0.2</v>
      </c>
      <c r="J1008" s="2">
        <v>29</v>
      </c>
      <c r="K1008" s="2" t="s">
        <v>34</v>
      </c>
      <c r="L1008" s="2">
        <v>1.25</v>
      </c>
      <c r="M1008" s="2" t="s">
        <v>40</v>
      </c>
      <c r="N1008" s="2">
        <v>54.59</v>
      </c>
      <c r="O1008" s="2" t="s">
        <v>30</v>
      </c>
      <c r="P1008" s="2">
        <v>3.89</v>
      </c>
      <c r="Q1008" s="2">
        <v>11.51</v>
      </c>
      <c r="R1008" s="3">
        <f t="shared" si="75"/>
        <v>1975.5754000000002</v>
      </c>
      <c r="S1008" s="3">
        <f t="shared" si="76"/>
        <v>5845.4686000000002</v>
      </c>
      <c r="T1008" s="3">
        <f t="shared" si="77"/>
        <v>3869.8932</v>
      </c>
      <c r="U1008" s="4">
        <f t="shared" si="78"/>
        <v>0.66203301476976539</v>
      </c>
      <c r="V1008" s="5">
        <f t="shared" si="79"/>
        <v>6.3482500000000002</v>
      </c>
    </row>
    <row r="1009" spans="1:22" x14ac:dyDescent="0.25">
      <c r="A1009" s="2" t="s">
        <v>1043</v>
      </c>
      <c r="B1009" s="2" t="s">
        <v>32</v>
      </c>
      <c r="C1009" s="2" t="s">
        <v>43</v>
      </c>
      <c r="D1009" s="2" t="s">
        <v>28</v>
      </c>
      <c r="E1009" s="2">
        <v>287.13</v>
      </c>
      <c r="F1009" s="2">
        <v>15.99</v>
      </c>
      <c r="G1009" s="2">
        <v>33.76</v>
      </c>
      <c r="H1009" s="2">
        <v>1.2</v>
      </c>
      <c r="I1009" s="2">
        <v>0.7</v>
      </c>
      <c r="J1009" s="2">
        <v>19</v>
      </c>
      <c r="K1009" s="2" t="s">
        <v>34</v>
      </c>
      <c r="L1009" s="2">
        <v>5.22</v>
      </c>
      <c r="M1009" s="2" t="s">
        <v>40</v>
      </c>
      <c r="N1009" s="2">
        <v>81.25</v>
      </c>
      <c r="O1009" s="2" t="s">
        <v>23</v>
      </c>
      <c r="P1009" s="2">
        <v>9.7100000000000009</v>
      </c>
      <c r="Q1009" s="2">
        <v>12.73</v>
      </c>
      <c r="R1009" s="3">
        <f t="shared" si="75"/>
        <v>2788.0323000000003</v>
      </c>
      <c r="S1009" s="3">
        <f t="shared" si="76"/>
        <v>3655.1649000000002</v>
      </c>
      <c r="T1009" s="3">
        <f t="shared" si="77"/>
        <v>867.13259999999991</v>
      </c>
      <c r="U1009" s="4">
        <f t="shared" si="78"/>
        <v>0.23723487824037703</v>
      </c>
      <c r="V1009" s="5">
        <f t="shared" si="79"/>
        <v>14.988185999999999</v>
      </c>
    </row>
    <row r="1010" spans="1:22" x14ac:dyDescent="0.25">
      <c r="A1010" s="2" t="s">
        <v>1044</v>
      </c>
      <c r="B1010" s="2" t="s">
        <v>26</v>
      </c>
      <c r="C1010" s="2" t="s">
        <v>27</v>
      </c>
      <c r="D1010" s="2" t="s">
        <v>20</v>
      </c>
      <c r="E1010" s="2">
        <v>545.82000000000005</v>
      </c>
      <c r="F1010" s="2">
        <v>13.08</v>
      </c>
      <c r="G1010" s="2">
        <v>26.39</v>
      </c>
      <c r="H1010" s="2">
        <v>2.1</v>
      </c>
      <c r="I1010" s="2">
        <v>1.6</v>
      </c>
      <c r="J1010" s="2">
        <v>20</v>
      </c>
      <c r="K1010" s="2" t="s">
        <v>34</v>
      </c>
      <c r="L1010" s="2">
        <v>7.13</v>
      </c>
      <c r="M1010" s="2" t="s">
        <v>40</v>
      </c>
      <c r="N1010" s="2">
        <v>61.93</v>
      </c>
      <c r="O1010" s="2" t="s">
        <v>24</v>
      </c>
      <c r="P1010" s="2">
        <v>5.64</v>
      </c>
      <c r="Q1010" s="2">
        <v>11.13</v>
      </c>
      <c r="R1010" s="3">
        <f t="shared" si="75"/>
        <v>3078.4248000000002</v>
      </c>
      <c r="S1010" s="3">
        <f t="shared" si="76"/>
        <v>6074.9766000000009</v>
      </c>
      <c r="T1010" s="3">
        <f t="shared" si="77"/>
        <v>2996.5518000000006</v>
      </c>
      <c r="U1010" s="4">
        <f t="shared" si="78"/>
        <v>0.49326145552560652</v>
      </c>
      <c r="V1010" s="5">
        <f t="shared" si="79"/>
        <v>38.916966000000002</v>
      </c>
    </row>
    <row r="1011" spans="1:22" x14ac:dyDescent="0.25">
      <c r="A1011" s="2" t="s">
        <v>1045</v>
      </c>
      <c r="B1011" s="2" t="s">
        <v>26</v>
      </c>
      <c r="C1011" s="2" t="s">
        <v>43</v>
      </c>
      <c r="D1011" s="2" t="s">
        <v>28</v>
      </c>
      <c r="E1011" s="2">
        <v>402.03</v>
      </c>
      <c r="F1011" s="2">
        <v>10.33</v>
      </c>
      <c r="G1011" s="2">
        <v>25.04</v>
      </c>
      <c r="H1011" s="2">
        <v>1.4</v>
      </c>
      <c r="I1011" s="2">
        <v>0.6</v>
      </c>
      <c r="J1011" s="2">
        <v>7</v>
      </c>
      <c r="K1011" s="2" t="s">
        <v>34</v>
      </c>
      <c r="L1011" s="2">
        <v>6.05</v>
      </c>
      <c r="M1011" s="2" t="s">
        <v>22</v>
      </c>
      <c r="N1011" s="2">
        <v>90.17</v>
      </c>
      <c r="O1011" s="2" t="s">
        <v>24</v>
      </c>
      <c r="P1011" s="2">
        <v>6.69</v>
      </c>
      <c r="Q1011" s="2">
        <v>10.25</v>
      </c>
      <c r="R1011" s="3">
        <f t="shared" si="75"/>
        <v>2689.5807</v>
      </c>
      <c r="S1011" s="3">
        <f t="shared" si="76"/>
        <v>4120.8074999999999</v>
      </c>
      <c r="T1011" s="3">
        <f t="shared" si="77"/>
        <v>1431.2267999999999</v>
      </c>
      <c r="U1011" s="4">
        <f t="shared" si="78"/>
        <v>0.34731707317073168</v>
      </c>
      <c r="V1011" s="5">
        <f t="shared" si="79"/>
        <v>24.322814999999995</v>
      </c>
    </row>
    <row r="1012" spans="1:22" x14ac:dyDescent="0.25">
      <c r="A1012" s="2" t="s">
        <v>1046</v>
      </c>
      <c r="B1012" s="2" t="s">
        <v>32</v>
      </c>
      <c r="C1012" s="2" t="s">
        <v>33</v>
      </c>
      <c r="D1012" s="2" t="s">
        <v>28</v>
      </c>
      <c r="E1012" s="2">
        <v>384.67</v>
      </c>
      <c r="F1012" s="2">
        <v>16.45</v>
      </c>
      <c r="G1012" s="2">
        <v>39.119999999999997</v>
      </c>
      <c r="H1012" s="2">
        <v>1.9</v>
      </c>
      <c r="I1012" s="2">
        <v>0.6</v>
      </c>
      <c r="J1012" s="2">
        <v>8</v>
      </c>
      <c r="K1012" s="2" t="s">
        <v>29</v>
      </c>
      <c r="L1012" s="2">
        <v>4.76</v>
      </c>
      <c r="M1012" s="2" t="s">
        <v>40</v>
      </c>
      <c r="N1012" s="2">
        <v>69.709999999999994</v>
      </c>
      <c r="O1012" s="2" t="s">
        <v>23</v>
      </c>
      <c r="P1012" s="2">
        <v>8.14</v>
      </c>
      <c r="Q1012" s="2">
        <v>14.67</v>
      </c>
      <c r="R1012" s="3">
        <f t="shared" si="75"/>
        <v>3131.2138000000004</v>
      </c>
      <c r="S1012" s="3">
        <f t="shared" si="76"/>
        <v>5643.1089000000002</v>
      </c>
      <c r="T1012" s="3">
        <f t="shared" si="77"/>
        <v>2511.8950999999997</v>
      </c>
      <c r="U1012" s="4">
        <f t="shared" si="78"/>
        <v>0.44512610770279476</v>
      </c>
      <c r="V1012" s="5">
        <f t="shared" si="79"/>
        <v>18.310292</v>
      </c>
    </row>
    <row r="1013" spans="1:22" x14ac:dyDescent="0.25">
      <c r="A1013" s="2" t="s">
        <v>1047</v>
      </c>
      <c r="B1013" s="2" t="s">
        <v>32</v>
      </c>
      <c r="C1013" s="2" t="s">
        <v>27</v>
      </c>
      <c r="D1013" s="2" t="s">
        <v>20</v>
      </c>
      <c r="E1013" s="2">
        <v>331.27</v>
      </c>
      <c r="F1013" s="2">
        <v>15.27</v>
      </c>
      <c r="G1013" s="2">
        <v>38.47</v>
      </c>
      <c r="H1013" s="2">
        <v>1.6</v>
      </c>
      <c r="I1013" s="2">
        <v>4.3</v>
      </c>
      <c r="J1013" s="2">
        <v>13</v>
      </c>
      <c r="K1013" s="2" t="s">
        <v>29</v>
      </c>
      <c r="L1013" s="2">
        <v>2.62</v>
      </c>
      <c r="M1013" s="2" t="s">
        <v>37</v>
      </c>
      <c r="N1013" s="2">
        <v>72.930000000000007</v>
      </c>
      <c r="O1013" s="2" t="s">
        <v>23</v>
      </c>
      <c r="P1013" s="2">
        <v>3.33</v>
      </c>
      <c r="Q1013" s="2">
        <v>7.83</v>
      </c>
      <c r="R1013" s="3">
        <f t="shared" si="75"/>
        <v>1103.1290999999999</v>
      </c>
      <c r="S1013" s="3">
        <f t="shared" si="76"/>
        <v>2593.8440999999998</v>
      </c>
      <c r="T1013" s="3">
        <f t="shared" si="77"/>
        <v>1490.7149999999999</v>
      </c>
      <c r="U1013" s="4">
        <f t="shared" si="78"/>
        <v>0.57471264367816088</v>
      </c>
      <c r="V1013" s="5">
        <f t="shared" si="79"/>
        <v>8.6792739999999995</v>
      </c>
    </row>
    <row r="1014" spans="1:22" x14ac:dyDescent="0.25">
      <c r="A1014" s="2" t="s">
        <v>1048</v>
      </c>
      <c r="B1014" s="2" t="s">
        <v>45</v>
      </c>
      <c r="C1014" s="2" t="s">
        <v>43</v>
      </c>
      <c r="D1014" s="2" t="s">
        <v>20</v>
      </c>
      <c r="E1014" s="2">
        <v>320.61</v>
      </c>
      <c r="F1014" s="2">
        <v>17.809999999999999</v>
      </c>
      <c r="G1014" s="2">
        <v>29.15</v>
      </c>
      <c r="H1014" s="2">
        <v>2.7</v>
      </c>
      <c r="I1014" s="2">
        <v>0.6</v>
      </c>
      <c r="J1014" s="2">
        <v>27</v>
      </c>
      <c r="K1014" s="2" t="s">
        <v>34</v>
      </c>
      <c r="L1014" s="2">
        <v>3.44</v>
      </c>
      <c r="M1014" s="2" t="s">
        <v>40</v>
      </c>
      <c r="N1014" s="2">
        <v>82.32</v>
      </c>
      <c r="O1014" s="2" t="s">
        <v>24</v>
      </c>
      <c r="P1014" s="2">
        <v>4.6900000000000004</v>
      </c>
      <c r="Q1014" s="2">
        <v>6.54</v>
      </c>
      <c r="R1014" s="3">
        <f t="shared" si="75"/>
        <v>1503.6609000000001</v>
      </c>
      <c r="S1014" s="3">
        <f t="shared" si="76"/>
        <v>2096.7894000000001</v>
      </c>
      <c r="T1014" s="3">
        <f t="shared" si="77"/>
        <v>593.12850000000003</v>
      </c>
      <c r="U1014" s="4">
        <f t="shared" si="78"/>
        <v>0.28287461773700306</v>
      </c>
      <c r="V1014" s="5">
        <f t="shared" si="79"/>
        <v>11.028984000000001</v>
      </c>
    </row>
    <row r="1015" spans="1:22" x14ac:dyDescent="0.25">
      <c r="A1015" s="2" t="s">
        <v>1049</v>
      </c>
      <c r="B1015" s="2" t="s">
        <v>18</v>
      </c>
      <c r="C1015" s="2" t="s">
        <v>19</v>
      </c>
      <c r="D1015" s="2" t="s">
        <v>28</v>
      </c>
      <c r="E1015" s="2">
        <v>364.46</v>
      </c>
      <c r="F1015" s="2">
        <v>9.56</v>
      </c>
      <c r="G1015" s="2">
        <v>36.92</v>
      </c>
      <c r="H1015" s="2">
        <v>2.4</v>
      </c>
      <c r="I1015" s="2">
        <v>0.9</v>
      </c>
      <c r="J1015" s="2">
        <v>18</v>
      </c>
      <c r="K1015" s="2" t="s">
        <v>21</v>
      </c>
      <c r="L1015" s="2">
        <v>7.16</v>
      </c>
      <c r="M1015" s="2" t="s">
        <v>40</v>
      </c>
      <c r="N1015" s="2">
        <v>88.09</v>
      </c>
      <c r="O1015" s="2" t="s">
        <v>30</v>
      </c>
      <c r="P1015" s="2">
        <v>8.83</v>
      </c>
      <c r="Q1015" s="2">
        <v>7.87</v>
      </c>
      <c r="R1015" s="3">
        <f t="shared" si="75"/>
        <v>3218.1817999999998</v>
      </c>
      <c r="S1015" s="3">
        <f t="shared" si="76"/>
        <v>2868.3001999999997</v>
      </c>
      <c r="T1015" s="3">
        <f t="shared" si="77"/>
        <v>-349.88160000000016</v>
      </c>
      <c r="U1015" s="4">
        <f t="shared" si="78"/>
        <v>-0.12198221092757314</v>
      </c>
      <c r="V1015" s="5">
        <f t="shared" si="79"/>
        <v>26.095335999999996</v>
      </c>
    </row>
    <row r="1016" spans="1:22" x14ac:dyDescent="0.25">
      <c r="A1016" s="2" t="s">
        <v>1050</v>
      </c>
      <c r="B1016" s="2" t="s">
        <v>32</v>
      </c>
      <c r="C1016" s="2" t="s">
        <v>27</v>
      </c>
      <c r="D1016" s="2" t="s">
        <v>28</v>
      </c>
      <c r="E1016" s="2">
        <v>429.1</v>
      </c>
      <c r="F1016" s="2">
        <v>10.26</v>
      </c>
      <c r="G1016" s="2">
        <v>29.05</v>
      </c>
      <c r="H1016" s="2">
        <v>1.5</v>
      </c>
      <c r="I1016" s="2">
        <v>0.1</v>
      </c>
      <c r="J1016" s="2">
        <v>24</v>
      </c>
      <c r="K1016" s="2" t="s">
        <v>29</v>
      </c>
      <c r="L1016" s="2">
        <v>2.63</v>
      </c>
      <c r="M1016" s="2" t="s">
        <v>40</v>
      </c>
      <c r="N1016" s="2">
        <v>61.56</v>
      </c>
      <c r="O1016" s="2" t="s">
        <v>30</v>
      </c>
      <c r="P1016" s="2">
        <v>9.0299999999999994</v>
      </c>
      <c r="Q1016" s="2">
        <v>11.15</v>
      </c>
      <c r="R1016" s="3">
        <f t="shared" si="75"/>
        <v>3874.7730000000001</v>
      </c>
      <c r="S1016" s="3">
        <f t="shared" si="76"/>
        <v>4784.4650000000001</v>
      </c>
      <c r="T1016" s="3">
        <f t="shared" si="77"/>
        <v>909.69200000000001</v>
      </c>
      <c r="U1016" s="4">
        <f t="shared" si="78"/>
        <v>0.19013452914798207</v>
      </c>
      <c r="V1016" s="5">
        <f t="shared" si="79"/>
        <v>11.285329999999998</v>
      </c>
    </row>
    <row r="1017" spans="1:22" x14ac:dyDescent="0.25">
      <c r="A1017" s="2" t="s">
        <v>1051</v>
      </c>
      <c r="B1017" s="2" t="s">
        <v>45</v>
      </c>
      <c r="C1017" s="2" t="s">
        <v>27</v>
      </c>
      <c r="D1017" s="2" t="s">
        <v>28</v>
      </c>
      <c r="E1017" s="2">
        <v>695.33</v>
      </c>
      <c r="F1017" s="2">
        <v>10.119999999999999</v>
      </c>
      <c r="G1017" s="2">
        <v>28.49</v>
      </c>
      <c r="H1017" s="2">
        <v>2.2999999999999998</v>
      </c>
      <c r="I1017" s="2">
        <v>1.8</v>
      </c>
      <c r="J1017" s="2">
        <v>11</v>
      </c>
      <c r="K1017" s="2" t="s">
        <v>21</v>
      </c>
      <c r="L1017" s="2">
        <v>6.41</v>
      </c>
      <c r="M1017" s="2" t="s">
        <v>22</v>
      </c>
      <c r="N1017" s="2">
        <v>98.31</v>
      </c>
      <c r="O1017" s="2" t="s">
        <v>24</v>
      </c>
      <c r="P1017" s="2">
        <v>5.61</v>
      </c>
      <c r="Q1017" s="2">
        <v>6.85</v>
      </c>
      <c r="R1017" s="3">
        <f t="shared" si="75"/>
        <v>3900.8013000000005</v>
      </c>
      <c r="S1017" s="3">
        <f t="shared" si="76"/>
        <v>4763.0105000000003</v>
      </c>
      <c r="T1017" s="3">
        <f t="shared" si="77"/>
        <v>862.20919999999978</v>
      </c>
      <c r="U1017" s="4">
        <f t="shared" si="78"/>
        <v>0.18102189781021891</v>
      </c>
      <c r="V1017" s="5">
        <f t="shared" si="79"/>
        <v>44.570653</v>
      </c>
    </row>
    <row r="1018" spans="1:22" x14ac:dyDescent="0.25">
      <c r="A1018" s="2" t="s">
        <v>1052</v>
      </c>
      <c r="B1018" s="2" t="s">
        <v>45</v>
      </c>
      <c r="C1018" s="2" t="s">
        <v>19</v>
      </c>
      <c r="D1018" s="2" t="s">
        <v>28</v>
      </c>
      <c r="E1018" s="2">
        <v>447.41</v>
      </c>
      <c r="F1018" s="2">
        <v>15.93</v>
      </c>
      <c r="G1018" s="2">
        <v>23.14</v>
      </c>
      <c r="H1018" s="2">
        <v>4.0999999999999996</v>
      </c>
      <c r="I1018" s="2">
        <v>1</v>
      </c>
      <c r="J1018" s="2">
        <v>9</v>
      </c>
      <c r="K1018" s="2" t="s">
        <v>21</v>
      </c>
      <c r="L1018" s="2">
        <v>6.1</v>
      </c>
      <c r="M1018" s="2" t="s">
        <v>37</v>
      </c>
      <c r="N1018" s="2">
        <v>81.12</v>
      </c>
      <c r="O1018" s="2" t="s">
        <v>30</v>
      </c>
      <c r="P1018" s="2">
        <v>5.62</v>
      </c>
      <c r="Q1018" s="2">
        <v>14.09</v>
      </c>
      <c r="R1018" s="3">
        <f t="shared" si="75"/>
        <v>2514.4442000000004</v>
      </c>
      <c r="S1018" s="3">
        <f t="shared" si="76"/>
        <v>6304.0069000000003</v>
      </c>
      <c r="T1018" s="3">
        <f t="shared" si="77"/>
        <v>3789.5626999999999</v>
      </c>
      <c r="U1018" s="4">
        <f t="shared" si="78"/>
        <v>0.60113555713271816</v>
      </c>
      <c r="V1018" s="5">
        <f t="shared" si="79"/>
        <v>27.292010000000001</v>
      </c>
    </row>
    <row r="1019" spans="1:22" x14ac:dyDescent="0.25">
      <c r="A1019" s="2" t="s">
        <v>1053</v>
      </c>
      <c r="B1019" s="2" t="s">
        <v>18</v>
      </c>
      <c r="C1019" s="2" t="s">
        <v>19</v>
      </c>
      <c r="D1019" s="2" t="s">
        <v>28</v>
      </c>
      <c r="E1019" s="2">
        <v>517.78</v>
      </c>
      <c r="F1019" s="2">
        <v>9.8699999999999992</v>
      </c>
      <c r="G1019" s="2">
        <v>28.53</v>
      </c>
      <c r="H1019" s="2">
        <v>1.1000000000000001</v>
      </c>
      <c r="I1019" s="2">
        <v>0.5</v>
      </c>
      <c r="J1019" s="2">
        <v>23</v>
      </c>
      <c r="K1019" s="2" t="s">
        <v>34</v>
      </c>
      <c r="L1019" s="2">
        <v>9.7200000000000006</v>
      </c>
      <c r="M1019" s="2" t="s">
        <v>40</v>
      </c>
      <c r="N1019" s="2">
        <v>50.28</v>
      </c>
      <c r="O1019" s="2" t="s">
        <v>30</v>
      </c>
      <c r="P1019" s="2">
        <v>8.3000000000000007</v>
      </c>
      <c r="Q1019" s="2">
        <v>9.11</v>
      </c>
      <c r="R1019" s="3">
        <f t="shared" si="75"/>
        <v>4297.5740000000005</v>
      </c>
      <c r="S1019" s="3">
        <f t="shared" si="76"/>
        <v>4716.9757999999993</v>
      </c>
      <c r="T1019" s="3">
        <f t="shared" si="77"/>
        <v>419.40179999999873</v>
      </c>
      <c r="U1019" s="4">
        <f t="shared" si="78"/>
        <v>8.8913282107573835E-2</v>
      </c>
      <c r="V1019" s="5">
        <f t="shared" si="79"/>
        <v>50.328216000000005</v>
      </c>
    </row>
    <row r="1020" spans="1:22" x14ac:dyDescent="0.25">
      <c r="A1020" s="2" t="s">
        <v>1054</v>
      </c>
      <c r="B1020" s="2" t="s">
        <v>26</v>
      </c>
      <c r="C1020" s="2" t="s">
        <v>27</v>
      </c>
      <c r="D1020" s="2" t="s">
        <v>20</v>
      </c>
      <c r="E1020" s="2">
        <v>540.04999999999995</v>
      </c>
      <c r="F1020" s="2">
        <v>8.67</v>
      </c>
      <c r="G1020" s="2">
        <v>30.75</v>
      </c>
      <c r="H1020" s="2">
        <v>1.1000000000000001</v>
      </c>
      <c r="I1020" s="2">
        <v>0</v>
      </c>
      <c r="J1020" s="2">
        <v>1</v>
      </c>
      <c r="K1020" s="2" t="s">
        <v>29</v>
      </c>
      <c r="L1020" s="2">
        <v>1.08</v>
      </c>
      <c r="M1020" s="2" t="s">
        <v>37</v>
      </c>
      <c r="N1020" s="2">
        <v>70.78</v>
      </c>
      <c r="O1020" s="2" t="s">
        <v>23</v>
      </c>
      <c r="P1020" s="2">
        <v>5.07</v>
      </c>
      <c r="Q1020" s="2">
        <v>13.5</v>
      </c>
      <c r="R1020" s="3">
        <f t="shared" si="75"/>
        <v>2738.0535</v>
      </c>
      <c r="S1020" s="3">
        <f t="shared" si="76"/>
        <v>7290.6749999999993</v>
      </c>
      <c r="T1020" s="3">
        <f t="shared" si="77"/>
        <v>4552.6214999999993</v>
      </c>
      <c r="U1020" s="4">
        <f t="shared" si="78"/>
        <v>0.62444444444444436</v>
      </c>
      <c r="V1020" s="5">
        <f t="shared" si="79"/>
        <v>5.8325399999999998</v>
      </c>
    </row>
    <row r="1021" spans="1:22" x14ac:dyDescent="0.25">
      <c r="A1021" s="2" t="s">
        <v>1055</v>
      </c>
      <c r="B1021" s="2" t="s">
        <v>32</v>
      </c>
      <c r="C1021" s="2" t="s">
        <v>19</v>
      </c>
      <c r="D1021" s="2" t="s">
        <v>20</v>
      </c>
      <c r="E1021" s="2">
        <v>513.11</v>
      </c>
      <c r="F1021" s="2">
        <v>17.989999999999998</v>
      </c>
      <c r="G1021" s="2">
        <v>20.45</v>
      </c>
      <c r="H1021" s="2">
        <v>2.9</v>
      </c>
      <c r="I1021" s="2">
        <v>0.9</v>
      </c>
      <c r="J1021" s="2">
        <v>22</v>
      </c>
      <c r="K1021" s="2" t="s">
        <v>34</v>
      </c>
      <c r="L1021" s="2">
        <v>1.53</v>
      </c>
      <c r="M1021" s="2" t="s">
        <v>37</v>
      </c>
      <c r="N1021" s="2">
        <v>71.84</v>
      </c>
      <c r="O1021" s="2" t="s">
        <v>30</v>
      </c>
      <c r="P1021" s="2">
        <v>3.82</v>
      </c>
      <c r="Q1021" s="2">
        <v>7.49</v>
      </c>
      <c r="R1021" s="3">
        <f t="shared" si="75"/>
        <v>1960.0801999999999</v>
      </c>
      <c r="S1021" s="3">
        <f t="shared" si="76"/>
        <v>3843.1939000000002</v>
      </c>
      <c r="T1021" s="3">
        <f t="shared" si="77"/>
        <v>1883.1137000000003</v>
      </c>
      <c r="U1021" s="4">
        <f t="shared" si="78"/>
        <v>0.48998664886515358</v>
      </c>
      <c r="V1021" s="5">
        <f t="shared" si="79"/>
        <v>7.8505830000000003</v>
      </c>
    </row>
    <row r="1022" spans="1:22" x14ac:dyDescent="0.25">
      <c r="A1022" s="2" t="s">
        <v>1056</v>
      </c>
      <c r="B1022" s="2" t="s">
        <v>18</v>
      </c>
      <c r="C1022" s="2" t="s">
        <v>33</v>
      </c>
      <c r="D1022" s="2" t="s">
        <v>28</v>
      </c>
      <c r="E1022" s="2">
        <v>492.26</v>
      </c>
      <c r="F1022" s="2">
        <v>8.25</v>
      </c>
      <c r="G1022" s="2">
        <v>28.88</v>
      </c>
      <c r="H1022" s="2">
        <v>1.7</v>
      </c>
      <c r="I1022" s="2">
        <v>0</v>
      </c>
      <c r="J1022" s="2">
        <v>8</v>
      </c>
      <c r="K1022" s="2" t="s">
        <v>34</v>
      </c>
      <c r="L1022" s="2">
        <v>5.31</v>
      </c>
      <c r="M1022" s="2" t="s">
        <v>22</v>
      </c>
      <c r="N1022" s="2">
        <v>90.46</v>
      </c>
      <c r="O1022" s="2" t="s">
        <v>24</v>
      </c>
      <c r="P1022" s="2">
        <v>4.8</v>
      </c>
      <c r="Q1022" s="2">
        <v>8.1300000000000008</v>
      </c>
      <c r="R1022" s="3">
        <f t="shared" si="75"/>
        <v>2362.848</v>
      </c>
      <c r="S1022" s="3">
        <f t="shared" si="76"/>
        <v>4002.0738000000001</v>
      </c>
      <c r="T1022" s="3">
        <f t="shared" si="77"/>
        <v>1639.2258000000002</v>
      </c>
      <c r="U1022" s="4">
        <f t="shared" si="78"/>
        <v>0.40959409594095941</v>
      </c>
      <c r="V1022" s="5">
        <f t="shared" si="79"/>
        <v>26.139005999999998</v>
      </c>
    </row>
    <row r="1023" spans="1:22" x14ac:dyDescent="0.25">
      <c r="A1023" s="2" t="s">
        <v>1057</v>
      </c>
      <c r="B1023" s="2" t="s">
        <v>32</v>
      </c>
      <c r="C1023" s="2" t="s">
        <v>33</v>
      </c>
      <c r="D1023" s="2" t="s">
        <v>28</v>
      </c>
      <c r="E1023" s="2">
        <v>380.47</v>
      </c>
      <c r="F1023" s="2">
        <v>16.350000000000001</v>
      </c>
      <c r="G1023" s="2">
        <v>35.630000000000003</v>
      </c>
      <c r="H1023" s="2">
        <v>0.1</v>
      </c>
      <c r="I1023" s="2">
        <v>0</v>
      </c>
      <c r="J1023" s="2">
        <v>21</v>
      </c>
      <c r="K1023" s="2" t="s">
        <v>21</v>
      </c>
      <c r="L1023" s="2">
        <v>5.51</v>
      </c>
      <c r="M1023" s="2" t="s">
        <v>37</v>
      </c>
      <c r="N1023" s="2">
        <v>65.260000000000005</v>
      </c>
      <c r="O1023" s="2" t="s">
        <v>30</v>
      </c>
      <c r="P1023" s="2">
        <v>5.71</v>
      </c>
      <c r="Q1023" s="2">
        <v>5.59</v>
      </c>
      <c r="R1023" s="3">
        <f t="shared" si="75"/>
        <v>2172.4837000000002</v>
      </c>
      <c r="S1023" s="3">
        <f t="shared" si="76"/>
        <v>2126.8272999999999</v>
      </c>
      <c r="T1023" s="3">
        <f t="shared" si="77"/>
        <v>-45.656400000000303</v>
      </c>
      <c r="U1023" s="4">
        <f t="shared" si="78"/>
        <v>-2.1466905187835564E-2</v>
      </c>
      <c r="V1023" s="5">
        <f t="shared" si="79"/>
        <v>20.963897000000003</v>
      </c>
    </row>
    <row r="1024" spans="1:22" x14ac:dyDescent="0.25">
      <c r="A1024" s="2" t="s">
        <v>1058</v>
      </c>
      <c r="B1024" s="2" t="s">
        <v>45</v>
      </c>
      <c r="C1024" s="2" t="s">
        <v>33</v>
      </c>
      <c r="D1024" s="2" t="s">
        <v>20</v>
      </c>
      <c r="E1024" s="2">
        <v>645.09</v>
      </c>
      <c r="F1024" s="2">
        <v>11.65</v>
      </c>
      <c r="G1024" s="2">
        <v>33.6</v>
      </c>
      <c r="H1024" s="2">
        <v>4.5</v>
      </c>
      <c r="I1024" s="2">
        <v>1</v>
      </c>
      <c r="J1024" s="2">
        <v>12</v>
      </c>
      <c r="K1024" s="2" t="s">
        <v>21</v>
      </c>
      <c r="L1024" s="2">
        <v>0.88</v>
      </c>
      <c r="M1024" s="2" t="s">
        <v>40</v>
      </c>
      <c r="N1024" s="2">
        <v>66.56</v>
      </c>
      <c r="O1024" s="2" t="s">
        <v>23</v>
      </c>
      <c r="P1024" s="2">
        <v>3.37</v>
      </c>
      <c r="Q1024" s="2">
        <v>7.58</v>
      </c>
      <c r="R1024" s="3">
        <f t="shared" si="75"/>
        <v>2173.9533000000001</v>
      </c>
      <c r="S1024" s="3">
        <f t="shared" si="76"/>
        <v>4889.7822000000006</v>
      </c>
      <c r="T1024" s="3">
        <f t="shared" si="77"/>
        <v>2715.8289000000004</v>
      </c>
      <c r="U1024" s="4">
        <f t="shared" si="78"/>
        <v>0.5554089709762533</v>
      </c>
      <c r="V1024" s="5">
        <f t="shared" si="79"/>
        <v>5.6767920000000007</v>
      </c>
    </row>
    <row r="1025" spans="1:22" x14ac:dyDescent="0.25">
      <c r="A1025" s="2" t="s">
        <v>1059</v>
      </c>
      <c r="B1025" s="2" t="s">
        <v>45</v>
      </c>
      <c r="C1025" s="2" t="s">
        <v>27</v>
      </c>
      <c r="D1025" s="2" t="s">
        <v>28</v>
      </c>
      <c r="E1025" s="2">
        <v>680.72</v>
      </c>
      <c r="F1025" s="2">
        <v>16.420000000000002</v>
      </c>
      <c r="G1025" s="2">
        <v>32.700000000000003</v>
      </c>
      <c r="H1025" s="2">
        <v>0.1</v>
      </c>
      <c r="I1025" s="2">
        <v>0.2</v>
      </c>
      <c r="J1025" s="2">
        <v>2</v>
      </c>
      <c r="K1025" s="2" t="s">
        <v>21</v>
      </c>
      <c r="L1025" s="2">
        <v>8.35</v>
      </c>
      <c r="M1025" s="2" t="s">
        <v>22</v>
      </c>
      <c r="N1025" s="2">
        <v>53.52</v>
      </c>
      <c r="O1025" s="2" t="s">
        <v>24</v>
      </c>
      <c r="P1025" s="2">
        <v>6.35</v>
      </c>
      <c r="Q1025" s="2">
        <v>9.9</v>
      </c>
      <c r="R1025" s="3">
        <f t="shared" si="75"/>
        <v>4322.5720000000001</v>
      </c>
      <c r="S1025" s="3">
        <f t="shared" si="76"/>
        <v>6739.1280000000006</v>
      </c>
      <c r="T1025" s="3">
        <f t="shared" si="77"/>
        <v>2416.5560000000005</v>
      </c>
      <c r="U1025" s="4">
        <f t="shared" si="78"/>
        <v>0.35858585858585862</v>
      </c>
      <c r="V1025" s="5">
        <f t="shared" si="79"/>
        <v>56.840119999999999</v>
      </c>
    </row>
    <row r="1026" spans="1:22" x14ac:dyDescent="0.25">
      <c r="A1026" s="2" t="s">
        <v>1060</v>
      </c>
      <c r="B1026" s="2" t="s">
        <v>26</v>
      </c>
      <c r="C1026" s="2" t="s">
        <v>19</v>
      </c>
      <c r="D1026" s="2" t="s">
        <v>28</v>
      </c>
      <c r="E1026" s="2">
        <v>331.73</v>
      </c>
      <c r="F1026" s="2">
        <v>13.55</v>
      </c>
      <c r="G1026" s="2">
        <v>38.19</v>
      </c>
      <c r="H1026" s="2">
        <v>2.8</v>
      </c>
      <c r="I1026" s="2">
        <v>0.2</v>
      </c>
      <c r="J1026" s="2">
        <v>15</v>
      </c>
      <c r="K1026" s="2" t="s">
        <v>34</v>
      </c>
      <c r="L1026" s="2">
        <v>5.2</v>
      </c>
      <c r="M1026" s="2" t="s">
        <v>22</v>
      </c>
      <c r="N1026" s="2">
        <v>64.180000000000007</v>
      </c>
      <c r="O1026" s="2" t="s">
        <v>24</v>
      </c>
      <c r="P1026" s="2">
        <v>8.18</v>
      </c>
      <c r="Q1026" s="2">
        <v>14.46</v>
      </c>
      <c r="R1026" s="3">
        <f t="shared" si="75"/>
        <v>2713.5513999999998</v>
      </c>
      <c r="S1026" s="3">
        <f t="shared" si="76"/>
        <v>4796.8158000000003</v>
      </c>
      <c r="T1026" s="3">
        <f t="shared" si="77"/>
        <v>2083.2644000000005</v>
      </c>
      <c r="U1026" s="4">
        <f t="shared" si="78"/>
        <v>0.43430152143845097</v>
      </c>
      <c r="V1026" s="5">
        <f t="shared" si="79"/>
        <v>17.249960000000002</v>
      </c>
    </row>
    <row r="1027" spans="1:22" x14ac:dyDescent="0.25">
      <c r="A1027" s="2" t="s">
        <v>1061</v>
      </c>
      <c r="B1027" s="2" t="s">
        <v>45</v>
      </c>
      <c r="C1027" s="2" t="s">
        <v>19</v>
      </c>
      <c r="D1027" s="2" t="s">
        <v>28</v>
      </c>
      <c r="E1027" s="2">
        <v>397.6</v>
      </c>
      <c r="F1027" s="2">
        <v>17.02</v>
      </c>
      <c r="G1027" s="2">
        <v>20.36</v>
      </c>
      <c r="H1027" s="2">
        <v>2.8</v>
      </c>
      <c r="I1027" s="2">
        <v>1.1000000000000001</v>
      </c>
      <c r="J1027" s="2">
        <v>21</v>
      </c>
      <c r="K1027" s="2" t="s">
        <v>34</v>
      </c>
      <c r="L1027" s="2">
        <v>3.79</v>
      </c>
      <c r="M1027" s="2" t="s">
        <v>37</v>
      </c>
      <c r="N1027" s="2">
        <v>85.85</v>
      </c>
      <c r="O1027" s="2" t="s">
        <v>24</v>
      </c>
      <c r="P1027" s="2">
        <v>6.6</v>
      </c>
      <c r="Q1027" s="2">
        <v>8.89</v>
      </c>
      <c r="R1027" s="3">
        <f t="shared" ref="R1027:R1090" si="80">E1027*P1027</f>
        <v>2624.16</v>
      </c>
      <c r="S1027" s="3">
        <f t="shared" ref="S1027:S1090" si="81">E1027*Q1027</f>
        <v>3534.6640000000002</v>
      </c>
      <c r="T1027" s="3">
        <f t="shared" ref="T1027:T1090" si="82">S1027-R1027</f>
        <v>910.50400000000036</v>
      </c>
      <c r="U1027" s="4">
        <f t="shared" ref="U1027:U1090" si="83">T1027/S1027</f>
        <v>0.25759280089988762</v>
      </c>
      <c r="V1027" s="5">
        <f t="shared" ref="V1027:V1090" si="84">E1027*L1027/100</f>
        <v>15.069039999999999</v>
      </c>
    </row>
    <row r="1028" spans="1:22" x14ac:dyDescent="0.25">
      <c r="A1028" s="2" t="s">
        <v>1062</v>
      </c>
      <c r="B1028" s="2" t="s">
        <v>45</v>
      </c>
      <c r="C1028" s="2" t="s">
        <v>43</v>
      </c>
      <c r="D1028" s="2" t="s">
        <v>28</v>
      </c>
      <c r="E1028" s="2">
        <v>472.02</v>
      </c>
      <c r="F1028" s="2">
        <v>17.260000000000002</v>
      </c>
      <c r="G1028" s="2">
        <v>31.14</v>
      </c>
      <c r="H1028" s="2">
        <v>6.1</v>
      </c>
      <c r="I1028" s="2">
        <v>0.1</v>
      </c>
      <c r="J1028" s="2">
        <v>24</v>
      </c>
      <c r="K1028" s="2" t="s">
        <v>34</v>
      </c>
      <c r="L1028" s="2">
        <v>3.53</v>
      </c>
      <c r="M1028" s="2" t="s">
        <v>22</v>
      </c>
      <c r="N1028" s="2">
        <v>81.739999999999995</v>
      </c>
      <c r="O1028" s="2" t="s">
        <v>23</v>
      </c>
      <c r="P1028" s="2">
        <v>3.5</v>
      </c>
      <c r="Q1028" s="2">
        <v>11.4</v>
      </c>
      <c r="R1028" s="3">
        <f t="shared" si="80"/>
        <v>1652.07</v>
      </c>
      <c r="S1028" s="3">
        <f t="shared" si="81"/>
        <v>5381.0280000000002</v>
      </c>
      <c r="T1028" s="3">
        <f t="shared" si="82"/>
        <v>3728.9580000000005</v>
      </c>
      <c r="U1028" s="4">
        <f t="shared" si="83"/>
        <v>0.69298245614035092</v>
      </c>
      <c r="V1028" s="5">
        <f t="shared" si="84"/>
        <v>16.662305999999997</v>
      </c>
    </row>
    <row r="1029" spans="1:22" x14ac:dyDescent="0.25">
      <c r="A1029" s="2" t="s">
        <v>1063</v>
      </c>
      <c r="B1029" s="2" t="s">
        <v>18</v>
      </c>
      <c r="C1029" s="2" t="s">
        <v>43</v>
      </c>
      <c r="D1029" s="2" t="s">
        <v>28</v>
      </c>
      <c r="E1029" s="2">
        <v>403.55</v>
      </c>
      <c r="F1029" s="2">
        <v>8.09</v>
      </c>
      <c r="G1029" s="2">
        <v>35.75</v>
      </c>
      <c r="H1029" s="2">
        <v>0.1</v>
      </c>
      <c r="I1029" s="2">
        <v>0.4</v>
      </c>
      <c r="J1029" s="2">
        <v>18</v>
      </c>
      <c r="K1029" s="2" t="s">
        <v>34</v>
      </c>
      <c r="L1029" s="2">
        <v>8.68</v>
      </c>
      <c r="M1029" s="2" t="s">
        <v>37</v>
      </c>
      <c r="N1029" s="2">
        <v>54.07</v>
      </c>
      <c r="O1029" s="2" t="s">
        <v>24</v>
      </c>
      <c r="P1029" s="2">
        <v>6.08</v>
      </c>
      <c r="Q1029" s="2">
        <v>9.2799999999999994</v>
      </c>
      <c r="R1029" s="3">
        <f t="shared" si="80"/>
        <v>2453.5840000000003</v>
      </c>
      <c r="S1029" s="3">
        <f t="shared" si="81"/>
        <v>3744.944</v>
      </c>
      <c r="T1029" s="3">
        <f t="shared" si="82"/>
        <v>1291.3599999999997</v>
      </c>
      <c r="U1029" s="4">
        <f t="shared" si="83"/>
        <v>0.34482758620689646</v>
      </c>
      <c r="V1029" s="5">
        <f t="shared" si="84"/>
        <v>35.02814</v>
      </c>
    </row>
    <row r="1030" spans="1:22" x14ac:dyDescent="0.25">
      <c r="A1030" s="2" t="s">
        <v>1064</v>
      </c>
      <c r="B1030" s="2" t="s">
        <v>32</v>
      </c>
      <c r="C1030" s="2" t="s">
        <v>19</v>
      </c>
      <c r="D1030" s="2" t="s">
        <v>20</v>
      </c>
      <c r="E1030" s="2">
        <v>550.6</v>
      </c>
      <c r="F1030" s="2">
        <v>8.75</v>
      </c>
      <c r="G1030" s="2">
        <v>30.83</v>
      </c>
      <c r="H1030" s="2">
        <v>1.8</v>
      </c>
      <c r="I1030" s="2">
        <v>0.2</v>
      </c>
      <c r="J1030" s="2">
        <v>17</v>
      </c>
      <c r="K1030" s="2" t="s">
        <v>34</v>
      </c>
      <c r="L1030" s="2">
        <v>2.37</v>
      </c>
      <c r="M1030" s="2" t="s">
        <v>37</v>
      </c>
      <c r="N1030" s="2">
        <v>55.73</v>
      </c>
      <c r="O1030" s="2" t="s">
        <v>23</v>
      </c>
      <c r="P1030" s="2">
        <v>7.96</v>
      </c>
      <c r="Q1030" s="2">
        <v>5.47</v>
      </c>
      <c r="R1030" s="3">
        <f t="shared" si="80"/>
        <v>4382.7759999999998</v>
      </c>
      <c r="S1030" s="3">
        <f t="shared" si="81"/>
        <v>3011.7820000000002</v>
      </c>
      <c r="T1030" s="3">
        <f t="shared" si="82"/>
        <v>-1370.9939999999997</v>
      </c>
      <c r="U1030" s="4">
        <f t="shared" si="83"/>
        <v>-0.45521023765996332</v>
      </c>
      <c r="V1030" s="5">
        <f t="shared" si="84"/>
        <v>13.04922</v>
      </c>
    </row>
    <row r="1031" spans="1:22" x14ac:dyDescent="0.25">
      <c r="A1031" s="2" t="s">
        <v>1065</v>
      </c>
      <c r="B1031" s="2" t="s">
        <v>32</v>
      </c>
      <c r="C1031" s="2" t="s">
        <v>19</v>
      </c>
      <c r="D1031" s="2" t="s">
        <v>28</v>
      </c>
      <c r="E1031" s="2">
        <v>427.17</v>
      </c>
      <c r="F1031" s="2">
        <v>10.5</v>
      </c>
      <c r="G1031" s="2">
        <v>26.48</v>
      </c>
      <c r="H1031" s="2">
        <v>1.1000000000000001</v>
      </c>
      <c r="I1031" s="2">
        <v>0.9</v>
      </c>
      <c r="J1031" s="2">
        <v>15</v>
      </c>
      <c r="K1031" s="2" t="s">
        <v>34</v>
      </c>
      <c r="L1031" s="2">
        <v>2.02</v>
      </c>
      <c r="M1031" s="2" t="s">
        <v>22</v>
      </c>
      <c r="N1031" s="2">
        <v>68.849999999999994</v>
      </c>
      <c r="O1031" s="2" t="s">
        <v>23</v>
      </c>
      <c r="P1031" s="2">
        <v>3.41</v>
      </c>
      <c r="Q1031" s="2">
        <v>10.039999999999999</v>
      </c>
      <c r="R1031" s="3">
        <f t="shared" si="80"/>
        <v>1456.6497000000002</v>
      </c>
      <c r="S1031" s="3">
        <f t="shared" si="81"/>
        <v>4288.7867999999999</v>
      </c>
      <c r="T1031" s="3">
        <f t="shared" si="82"/>
        <v>2832.1370999999999</v>
      </c>
      <c r="U1031" s="4">
        <f t="shared" si="83"/>
        <v>0.66035856573705176</v>
      </c>
      <c r="V1031" s="5">
        <f t="shared" si="84"/>
        <v>8.6288340000000012</v>
      </c>
    </row>
    <row r="1032" spans="1:22" x14ac:dyDescent="0.25">
      <c r="A1032" s="2" t="s">
        <v>1066</v>
      </c>
      <c r="B1032" s="2" t="s">
        <v>18</v>
      </c>
      <c r="C1032" s="2" t="s">
        <v>19</v>
      </c>
      <c r="D1032" s="2" t="s">
        <v>28</v>
      </c>
      <c r="E1032" s="2">
        <v>716.51</v>
      </c>
      <c r="F1032" s="2">
        <v>14.69</v>
      </c>
      <c r="G1032" s="2">
        <v>22.73</v>
      </c>
      <c r="H1032" s="2">
        <v>0.8</v>
      </c>
      <c r="I1032" s="2">
        <v>1.1000000000000001</v>
      </c>
      <c r="J1032" s="2">
        <v>20</v>
      </c>
      <c r="K1032" s="2" t="s">
        <v>34</v>
      </c>
      <c r="L1032" s="2">
        <v>2.5299999999999998</v>
      </c>
      <c r="M1032" s="2" t="s">
        <v>40</v>
      </c>
      <c r="N1032" s="2">
        <v>87.19</v>
      </c>
      <c r="O1032" s="2" t="s">
        <v>30</v>
      </c>
      <c r="P1032" s="2">
        <v>3.42</v>
      </c>
      <c r="Q1032" s="2">
        <v>5.66</v>
      </c>
      <c r="R1032" s="3">
        <f t="shared" si="80"/>
        <v>2450.4641999999999</v>
      </c>
      <c r="S1032" s="3">
        <f t="shared" si="81"/>
        <v>4055.4466000000002</v>
      </c>
      <c r="T1032" s="3">
        <f t="shared" si="82"/>
        <v>1604.9824000000003</v>
      </c>
      <c r="U1032" s="4">
        <f t="shared" si="83"/>
        <v>0.39575971731448767</v>
      </c>
      <c r="V1032" s="5">
        <f t="shared" si="84"/>
        <v>18.127703</v>
      </c>
    </row>
    <row r="1033" spans="1:22" x14ac:dyDescent="0.25">
      <c r="A1033" s="2" t="s">
        <v>1067</v>
      </c>
      <c r="B1033" s="2" t="s">
        <v>26</v>
      </c>
      <c r="C1033" s="2" t="s">
        <v>27</v>
      </c>
      <c r="D1033" s="2" t="s">
        <v>28</v>
      </c>
      <c r="E1033" s="2">
        <v>619.04999999999995</v>
      </c>
      <c r="F1033" s="2">
        <v>16.88</v>
      </c>
      <c r="G1033" s="2">
        <v>37.75</v>
      </c>
      <c r="H1033" s="2">
        <v>0.2</v>
      </c>
      <c r="I1033" s="2">
        <v>1.3</v>
      </c>
      <c r="J1033" s="2">
        <v>20</v>
      </c>
      <c r="K1033" s="2" t="s">
        <v>34</v>
      </c>
      <c r="L1033" s="2">
        <v>6.44</v>
      </c>
      <c r="M1033" s="2" t="s">
        <v>37</v>
      </c>
      <c r="N1033" s="2">
        <v>91.65</v>
      </c>
      <c r="O1033" s="2" t="s">
        <v>24</v>
      </c>
      <c r="P1033" s="2">
        <v>5.59</v>
      </c>
      <c r="Q1033" s="2">
        <v>13.84</v>
      </c>
      <c r="R1033" s="3">
        <f t="shared" si="80"/>
        <v>3460.4894999999997</v>
      </c>
      <c r="S1033" s="3">
        <f t="shared" si="81"/>
        <v>8567.652</v>
      </c>
      <c r="T1033" s="3">
        <f t="shared" si="82"/>
        <v>5107.1625000000004</v>
      </c>
      <c r="U1033" s="4">
        <f t="shared" si="83"/>
        <v>0.59609826589595383</v>
      </c>
      <c r="V1033" s="5">
        <f t="shared" si="84"/>
        <v>39.866819999999997</v>
      </c>
    </row>
    <row r="1034" spans="1:22" x14ac:dyDescent="0.25">
      <c r="A1034" s="2" t="s">
        <v>1068</v>
      </c>
      <c r="B1034" s="2" t="s">
        <v>32</v>
      </c>
      <c r="C1034" s="2" t="s">
        <v>19</v>
      </c>
      <c r="D1034" s="2" t="s">
        <v>20</v>
      </c>
      <c r="E1034" s="2">
        <v>521.26</v>
      </c>
      <c r="F1034" s="2">
        <v>12.6</v>
      </c>
      <c r="G1034" s="2">
        <v>29.42</v>
      </c>
      <c r="H1034" s="2">
        <v>1.7</v>
      </c>
      <c r="I1034" s="2">
        <v>0.3</v>
      </c>
      <c r="J1034" s="2">
        <v>9</v>
      </c>
      <c r="K1034" s="2" t="s">
        <v>29</v>
      </c>
      <c r="L1034" s="2">
        <v>8.1999999999999993</v>
      </c>
      <c r="M1034" s="2" t="s">
        <v>22</v>
      </c>
      <c r="N1034" s="2">
        <v>50.73</v>
      </c>
      <c r="O1034" s="2" t="s">
        <v>30</v>
      </c>
      <c r="P1034" s="2">
        <v>4.3600000000000003</v>
      </c>
      <c r="Q1034" s="2">
        <v>12.53</v>
      </c>
      <c r="R1034" s="3">
        <f t="shared" si="80"/>
        <v>2272.6936000000001</v>
      </c>
      <c r="S1034" s="3">
        <f t="shared" si="81"/>
        <v>6531.3877999999995</v>
      </c>
      <c r="T1034" s="3">
        <f t="shared" si="82"/>
        <v>4258.6941999999999</v>
      </c>
      <c r="U1034" s="4">
        <f t="shared" si="83"/>
        <v>0.65203511572226658</v>
      </c>
      <c r="V1034" s="5">
        <f t="shared" si="84"/>
        <v>42.743319999999997</v>
      </c>
    </row>
    <row r="1035" spans="1:22" x14ac:dyDescent="0.25">
      <c r="A1035" s="2" t="s">
        <v>1069</v>
      </c>
      <c r="B1035" s="2" t="s">
        <v>45</v>
      </c>
      <c r="C1035" s="2" t="s">
        <v>43</v>
      </c>
      <c r="D1035" s="2" t="s">
        <v>20</v>
      </c>
      <c r="E1035" s="2">
        <v>602.70000000000005</v>
      </c>
      <c r="F1035" s="2">
        <v>14.07</v>
      </c>
      <c r="G1035" s="2">
        <v>37.56</v>
      </c>
      <c r="H1035" s="2">
        <v>1.3</v>
      </c>
      <c r="I1035" s="2">
        <v>0.1</v>
      </c>
      <c r="J1035" s="2">
        <v>3</v>
      </c>
      <c r="K1035" s="2" t="s">
        <v>29</v>
      </c>
      <c r="L1035" s="2">
        <v>3.64</v>
      </c>
      <c r="M1035" s="2" t="s">
        <v>22</v>
      </c>
      <c r="N1035" s="2">
        <v>66.45</v>
      </c>
      <c r="O1035" s="2" t="s">
        <v>30</v>
      </c>
      <c r="P1035" s="2">
        <v>9.5399999999999991</v>
      </c>
      <c r="Q1035" s="2">
        <v>8.7899999999999991</v>
      </c>
      <c r="R1035" s="3">
        <f t="shared" si="80"/>
        <v>5749.7579999999998</v>
      </c>
      <c r="S1035" s="3">
        <f t="shared" si="81"/>
        <v>5297.7330000000002</v>
      </c>
      <c r="T1035" s="3">
        <f t="shared" si="82"/>
        <v>-452.02499999999964</v>
      </c>
      <c r="U1035" s="4">
        <f t="shared" si="83"/>
        <v>-8.5324232081911186E-2</v>
      </c>
      <c r="V1035" s="5">
        <f t="shared" si="84"/>
        <v>21.938280000000006</v>
      </c>
    </row>
    <row r="1036" spans="1:22" x14ac:dyDescent="0.25">
      <c r="A1036" s="2" t="s">
        <v>1070</v>
      </c>
      <c r="B1036" s="2" t="s">
        <v>32</v>
      </c>
      <c r="C1036" s="2" t="s">
        <v>27</v>
      </c>
      <c r="D1036" s="2" t="s">
        <v>20</v>
      </c>
      <c r="E1036" s="2">
        <v>610.59</v>
      </c>
      <c r="F1036" s="2">
        <v>9.8800000000000008</v>
      </c>
      <c r="G1036" s="2">
        <v>31.72</v>
      </c>
      <c r="H1036" s="2">
        <v>0.2</v>
      </c>
      <c r="I1036" s="2">
        <v>0.1</v>
      </c>
      <c r="J1036" s="2">
        <v>20</v>
      </c>
      <c r="K1036" s="2" t="s">
        <v>29</v>
      </c>
      <c r="L1036" s="2">
        <v>2.15</v>
      </c>
      <c r="M1036" s="2" t="s">
        <v>37</v>
      </c>
      <c r="N1036" s="2">
        <v>71.209999999999994</v>
      </c>
      <c r="O1036" s="2" t="s">
        <v>23</v>
      </c>
      <c r="P1036" s="2">
        <v>7.07</v>
      </c>
      <c r="Q1036" s="2">
        <v>11.4</v>
      </c>
      <c r="R1036" s="3">
        <f t="shared" si="80"/>
        <v>4316.8713000000007</v>
      </c>
      <c r="S1036" s="3">
        <f t="shared" si="81"/>
        <v>6960.7260000000006</v>
      </c>
      <c r="T1036" s="3">
        <f t="shared" si="82"/>
        <v>2643.8546999999999</v>
      </c>
      <c r="U1036" s="4">
        <f t="shared" si="83"/>
        <v>0.37982456140350873</v>
      </c>
      <c r="V1036" s="5">
        <f t="shared" si="84"/>
        <v>13.127685</v>
      </c>
    </row>
    <row r="1037" spans="1:22" x14ac:dyDescent="0.25">
      <c r="A1037" s="2" t="s">
        <v>1071</v>
      </c>
      <c r="B1037" s="2" t="s">
        <v>45</v>
      </c>
      <c r="C1037" s="2" t="s">
        <v>19</v>
      </c>
      <c r="D1037" s="2" t="s">
        <v>20</v>
      </c>
      <c r="E1037" s="2">
        <v>443.61</v>
      </c>
      <c r="F1037" s="2">
        <v>16.05</v>
      </c>
      <c r="G1037" s="2">
        <v>33.479999999999997</v>
      </c>
      <c r="H1037" s="2">
        <v>1.9</v>
      </c>
      <c r="I1037" s="2">
        <v>0.6</v>
      </c>
      <c r="J1037" s="2">
        <v>19</v>
      </c>
      <c r="K1037" s="2" t="s">
        <v>29</v>
      </c>
      <c r="L1037" s="2">
        <v>2.4900000000000002</v>
      </c>
      <c r="M1037" s="2" t="s">
        <v>37</v>
      </c>
      <c r="N1037" s="2">
        <v>95.56</v>
      </c>
      <c r="O1037" s="2" t="s">
        <v>30</v>
      </c>
      <c r="P1037" s="2">
        <v>5.01</v>
      </c>
      <c r="Q1037" s="2">
        <v>6.12</v>
      </c>
      <c r="R1037" s="3">
        <f t="shared" si="80"/>
        <v>2222.4861000000001</v>
      </c>
      <c r="S1037" s="3">
        <f t="shared" si="81"/>
        <v>2714.8932</v>
      </c>
      <c r="T1037" s="3">
        <f t="shared" si="82"/>
        <v>492.4070999999999</v>
      </c>
      <c r="U1037" s="4">
        <f t="shared" si="83"/>
        <v>0.18137254901960781</v>
      </c>
      <c r="V1037" s="5">
        <f t="shared" si="84"/>
        <v>11.045889000000003</v>
      </c>
    </row>
    <row r="1038" spans="1:22" x14ac:dyDescent="0.25">
      <c r="A1038" s="2" t="s">
        <v>1072</v>
      </c>
      <c r="B1038" s="2" t="s">
        <v>26</v>
      </c>
      <c r="C1038" s="2" t="s">
        <v>43</v>
      </c>
      <c r="D1038" s="2" t="s">
        <v>28</v>
      </c>
      <c r="E1038" s="2">
        <v>418.38</v>
      </c>
      <c r="F1038" s="2">
        <v>17.670000000000002</v>
      </c>
      <c r="G1038" s="2">
        <v>36.090000000000003</v>
      </c>
      <c r="H1038" s="2">
        <v>2.7</v>
      </c>
      <c r="I1038" s="2">
        <v>2.9</v>
      </c>
      <c r="J1038" s="2">
        <v>18</v>
      </c>
      <c r="K1038" s="2" t="s">
        <v>34</v>
      </c>
      <c r="L1038" s="2">
        <v>6.38</v>
      </c>
      <c r="M1038" s="2" t="s">
        <v>37</v>
      </c>
      <c r="N1038" s="2">
        <v>75.069999999999993</v>
      </c>
      <c r="O1038" s="2" t="s">
        <v>30</v>
      </c>
      <c r="P1038" s="2">
        <v>7.93</v>
      </c>
      <c r="Q1038" s="2">
        <v>12.03</v>
      </c>
      <c r="R1038" s="3">
        <f t="shared" si="80"/>
        <v>3317.7534000000001</v>
      </c>
      <c r="S1038" s="3">
        <f t="shared" si="81"/>
        <v>5033.1113999999998</v>
      </c>
      <c r="T1038" s="3">
        <f t="shared" si="82"/>
        <v>1715.3579999999997</v>
      </c>
      <c r="U1038" s="4">
        <f t="shared" si="83"/>
        <v>0.34081463009143803</v>
      </c>
      <c r="V1038" s="5">
        <f t="shared" si="84"/>
        <v>26.692644000000001</v>
      </c>
    </row>
    <row r="1039" spans="1:22" x14ac:dyDescent="0.25">
      <c r="A1039" s="2" t="s">
        <v>1073</v>
      </c>
      <c r="B1039" s="2" t="s">
        <v>18</v>
      </c>
      <c r="C1039" s="2" t="s">
        <v>27</v>
      </c>
      <c r="D1039" s="2" t="s">
        <v>20</v>
      </c>
      <c r="E1039" s="2">
        <v>507.81</v>
      </c>
      <c r="F1039" s="2">
        <v>10.69</v>
      </c>
      <c r="G1039" s="2">
        <v>33.18</v>
      </c>
      <c r="H1039" s="2">
        <v>2.9</v>
      </c>
      <c r="I1039" s="2">
        <v>0.2</v>
      </c>
      <c r="J1039" s="2">
        <v>20</v>
      </c>
      <c r="K1039" s="2" t="s">
        <v>34</v>
      </c>
      <c r="L1039" s="2">
        <v>2.84</v>
      </c>
      <c r="M1039" s="2" t="s">
        <v>37</v>
      </c>
      <c r="N1039" s="2">
        <v>63.49</v>
      </c>
      <c r="O1039" s="2" t="s">
        <v>30</v>
      </c>
      <c r="P1039" s="2">
        <v>5.62</v>
      </c>
      <c r="Q1039" s="2">
        <v>13.23</v>
      </c>
      <c r="R1039" s="3">
        <f t="shared" si="80"/>
        <v>2853.8922000000002</v>
      </c>
      <c r="S1039" s="3">
        <f t="shared" si="81"/>
        <v>6718.3263000000006</v>
      </c>
      <c r="T1039" s="3">
        <f t="shared" si="82"/>
        <v>3864.4341000000004</v>
      </c>
      <c r="U1039" s="4">
        <f t="shared" si="83"/>
        <v>0.5752078609221466</v>
      </c>
      <c r="V1039" s="5">
        <f t="shared" si="84"/>
        <v>14.421804</v>
      </c>
    </row>
    <row r="1040" spans="1:22" x14ac:dyDescent="0.25">
      <c r="A1040" s="2" t="s">
        <v>1074</v>
      </c>
      <c r="B1040" s="2" t="s">
        <v>32</v>
      </c>
      <c r="C1040" s="2" t="s">
        <v>19</v>
      </c>
      <c r="D1040" s="2" t="s">
        <v>28</v>
      </c>
      <c r="E1040" s="2">
        <v>586.16</v>
      </c>
      <c r="F1040" s="2">
        <v>12.95</v>
      </c>
      <c r="G1040" s="2">
        <v>27.96</v>
      </c>
      <c r="H1040" s="2">
        <v>4.7</v>
      </c>
      <c r="I1040" s="2">
        <v>0.3</v>
      </c>
      <c r="J1040" s="2">
        <v>8</v>
      </c>
      <c r="K1040" s="2" t="s">
        <v>21</v>
      </c>
      <c r="L1040" s="2">
        <v>8.83</v>
      </c>
      <c r="M1040" s="2" t="s">
        <v>40</v>
      </c>
      <c r="N1040" s="2">
        <v>69.5</v>
      </c>
      <c r="O1040" s="2" t="s">
        <v>24</v>
      </c>
      <c r="P1040" s="2">
        <v>3.92</v>
      </c>
      <c r="Q1040" s="2">
        <v>13.22</v>
      </c>
      <c r="R1040" s="3">
        <f t="shared" si="80"/>
        <v>2297.7471999999998</v>
      </c>
      <c r="S1040" s="3">
        <f t="shared" si="81"/>
        <v>7749.0352000000003</v>
      </c>
      <c r="T1040" s="3">
        <f t="shared" si="82"/>
        <v>5451.2880000000005</v>
      </c>
      <c r="U1040" s="4">
        <f t="shared" si="83"/>
        <v>0.70347957639939485</v>
      </c>
      <c r="V1040" s="5">
        <f t="shared" si="84"/>
        <v>51.757928</v>
      </c>
    </row>
    <row r="1041" spans="1:22" x14ac:dyDescent="0.25">
      <c r="A1041" s="2" t="s">
        <v>1075</v>
      </c>
      <c r="B1041" s="2" t="s">
        <v>18</v>
      </c>
      <c r="C1041" s="2" t="s">
        <v>19</v>
      </c>
      <c r="D1041" s="2" t="s">
        <v>28</v>
      </c>
      <c r="E1041" s="2">
        <v>513.91</v>
      </c>
      <c r="F1041" s="2">
        <v>8.86</v>
      </c>
      <c r="G1041" s="2">
        <v>30.27</v>
      </c>
      <c r="H1041" s="2">
        <v>1.1000000000000001</v>
      </c>
      <c r="I1041" s="2">
        <v>0.1</v>
      </c>
      <c r="J1041" s="2">
        <v>1</v>
      </c>
      <c r="K1041" s="2" t="s">
        <v>21</v>
      </c>
      <c r="L1041" s="2">
        <v>1.49</v>
      </c>
      <c r="M1041" s="2" t="s">
        <v>40</v>
      </c>
      <c r="N1041" s="2">
        <v>71.819999999999993</v>
      </c>
      <c r="O1041" s="2" t="s">
        <v>30</v>
      </c>
      <c r="P1041" s="2">
        <v>4.66</v>
      </c>
      <c r="Q1041" s="2">
        <v>7.84</v>
      </c>
      <c r="R1041" s="3">
        <f t="shared" si="80"/>
        <v>2394.8206</v>
      </c>
      <c r="S1041" s="3">
        <f t="shared" si="81"/>
        <v>4029.0543999999995</v>
      </c>
      <c r="T1041" s="3">
        <f t="shared" si="82"/>
        <v>1634.2337999999995</v>
      </c>
      <c r="U1041" s="4">
        <f t="shared" si="83"/>
        <v>0.40561224489795911</v>
      </c>
      <c r="V1041" s="5">
        <f t="shared" si="84"/>
        <v>7.6572589999999989</v>
      </c>
    </row>
    <row r="1042" spans="1:22" x14ac:dyDescent="0.25">
      <c r="A1042" s="2" t="s">
        <v>1076</v>
      </c>
      <c r="B1042" s="2" t="s">
        <v>32</v>
      </c>
      <c r="C1042" s="2" t="s">
        <v>19</v>
      </c>
      <c r="D1042" s="2" t="s">
        <v>20</v>
      </c>
      <c r="E1042" s="2">
        <v>342.3</v>
      </c>
      <c r="F1042" s="2">
        <v>13.59</v>
      </c>
      <c r="G1042" s="2">
        <v>36.06</v>
      </c>
      <c r="H1042" s="2">
        <v>6.1</v>
      </c>
      <c r="I1042" s="2">
        <v>0.9</v>
      </c>
      <c r="J1042" s="2">
        <v>24</v>
      </c>
      <c r="K1042" s="2" t="s">
        <v>29</v>
      </c>
      <c r="L1042" s="2">
        <v>0.81</v>
      </c>
      <c r="M1042" s="2" t="s">
        <v>40</v>
      </c>
      <c r="N1042" s="2">
        <v>83.5</v>
      </c>
      <c r="O1042" s="2" t="s">
        <v>23</v>
      </c>
      <c r="P1042" s="2">
        <v>7.5</v>
      </c>
      <c r="Q1042" s="2">
        <v>7.64</v>
      </c>
      <c r="R1042" s="3">
        <f t="shared" si="80"/>
        <v>2567.25</v>
      </c>
      <c r="S1042" s="3">
        <f t="shared" si="81"/>
        <v>2615.172</v>
      </c>
      <c r="T1042" s="3">
        <f t="shared" si="82"/>
        <v>47.922000000000025</v>
      </c>
      <c r="U1042" s="4">
        <f t="shared" si="83"/>
        <v>1.8324607329842941E-2</v>
      </c>
      <c r="V1042" s="5">
        <f t="shared" si="84"/>
        <v>2.7726300000000004</v>
      </c>
    </row>
    <row r="1043" spans="1:22" x14ac:dyDescent="0.25">
      <c r="A1043" s="2" t="s">
        <v>1077</v>
      </c>
      <c r="B1043" s="2" t="s">
        <v>45</v>
      </c>
      <c r="C1043" s="2" t="s">
        <v>27</v>
      </c>
      <c r="D1043" s="2" t="s">
        <v>20</v>
      </c>
      <c r="E1043" s="2">
        <v>419.72</v>
      </c>
      <c r="F1043" s="2">
        <v>13.03</v>
      </c>
      <c r="G1043" s="2">
        <v>27.47</v>
      </c>
      <c r="H1043" s="2">
        <v>4</v>
      </c>
      <c r="I1043" s="2">
        <v>1.1000000000000001</v>
      </c>
      <c r="J1043" s="2">
        <v>24</v>
      </c>
      <c r="K1043" s="2" t="s">
        <v>21</v>
      </c>
      <c r="L1043" s="2">
        <v>1.34</v>
      </c>
      <c r="M1043" s="2" t="s">
        <v>40</v>
      </c>
      <c r="N1043" s="2">
        <v>52.05</v>
      </c>
      <c r="O1043" s="2" t="s">
        <v>24</v>
      </c>
      <c r="P1043" s="2">
        <v>3.36</v>
      </c>
      <c r="Q1043" s="2">
        <v>10.210000000000001</v>
      </c>
      <c r="R1043" s="3">
        <f t="shared" si="80"/>
        <v>1410.2592</v>
      </c>
      <c r="S1043" s="3">
        <f t="shared" si="81"/>
        <v>4285.3412000000008</v>
      </c>
      <c r="T1043" s="3">
        <f t="shared" si="82"/>
        <v>2875.0820000000008</v>
      </c>
      <c r="U1043" s="4">
        <f t="shared" si="83"/>
        <v>0.67091087169441732</v>
      </c>
      <c r="V1043" s="5">
        <f t="shared" si="84"/>
        <v>5.6242480000000015</v>
      </c>
    </row>
    <row r="1044" spans="1:22" x14ac:dyDescent="0.25">
      <c r="A1044" s="2" t="s">
        <v>1078</v>
      </c>
      <c r="B1044" s="2" t="s">
        <v>18</v>
      </c>
      <c r="C1044" s="2" t="s">
        <v>43</v>
      </c>
      <c r="D1044" s="2" t="s">
        <v>20</v>
      </c>
      <c r="E1044" s="2">
        <v>492.6</v>
      </c>
      <c r="F1044" s="2">
        <v>9.44</v>
      </c>
      <c r="G1044" s="2">
        <v>27.76</v>
      </c>
      <c r="H1044" s="2">
        <v>0.7</v>
      </c>
      <c r="I1044" s="2">
        <v>1</v>
      </c>
      <c r="J1044" s="2">
        <v>15</v>
      </c>
      <c r="K1044" s="2" t="s">
        <v>29</v>
      </c>
      <c r="L1044" s="2">
        <v>8.5299999999999994</v>
      </c>
      <c r="M1044" s="2" t="s">
        <v>22</v>
      </c>
      <c r="N1044" s="2">
        <v>69.47</v>
      </c>
      <c r="O1044" s="2" t="s">
        <v>23</v>
      </c>
      <c r="P1044" s="2">
        <v>4.91</v>
      </c>
      <c r="Q1044" s="2">
        <v>14.68</v>
      </c>
      <c r="R1044" s="3">
        <f t="shared" si="80"/>
        <v>2418.6660000000002</v>
      </c>
      <c r="S1044" s="3">
        <f t="shared" si="81"/>
        <v>7231.3680000000004</v>
      </c>
      <c r="T1044" s="3">
        <f t="shared" si="82"/>
        <v>4812.7020000000002</v>
      </c>
      <c r="U1044" s="4">
        <f t="shared" si="83"/>
        <v>0.66553133514986373</v>
      </c>
      <c r="V1044" s="5">
        <f t="shared" si="84"/>
        <v>42.01878</v>
      </c>
    </row>
    <row r="1045" spans="1:22" x14ac:dyDescent="0.25">
      <c r="A1045" s="2" t="s">
        <v>1079</v>
      </c>
      <c r="B1045" s="2" t="s">
        <v>32</v>
      </c>
      <c r="C1045" s="2" t="s">
        <v>43</v>
      </c>
      <c r="D1045" s="2" t="s">
        <v>20</v>
      </c>
      <c r="E1045" s="2">
        <v>492.43</v>
      </c>
      <c r="F1045" s="2">
        <v>12.42</v>
      </c>
      <c r="G1045" s="2">
        <v>21.91</v>
      </c>
      <c r="H1045" s="2">
        <v>0.3</v>
      </c>
      <c r="I1045" s="2">
        <v>2</v>
      </c>
      <c r="J1045" s="2">
        <v>19</v>
      </c>
      <c r="K1045" s="2" t="s">
        <v>34</v>
      </c>
      <c r="L1045" s="2">
        <v>6.69</v>
      </c>
      <c r="M1045" s="2" t="s">
        <v>37</v>
      </c>
      <c r="N1045" s="2">
        <v>82.33</v>
      </c>
      <c r="O1045" s="2" t="s">
        <v>24</v>
      </c>
      <c r="P1045" s="2">
        <v>4.46</v>
      </c>
      <c r="Q1045" s="2">
        <v>14.21</v>
      </c>
      <c r="R1045" s="3">
        <f t="shared" si="80"/>
        <v>2196.2377999999999</v>
      </c>
      <c r="S1045" s="3">
        <f t="shared" si="81"/>
        <v>6997.4303000000009</v>
      </c>
      <c r="T1045" s="3">
        <f t="shared" si="82"/>
        <v>4801.192500000001</v>
      </c>
      <c r="U1045" s="4">
        <f t="shared" si="83"/>
        <v>0.68613652357494725</v>
      </c>
      <c r="V1045" s="5">
        <f t="shared" si="84"/>
        <v>32.943567000000002</v>
      </c>
    </row>
    <row r="1046" spans="1:22" x14ac:dyDescent="0.25">
      <c r="A1046" s="2" t="s">
        <v>1080</v>
      </c>
      <c r="B1046" s="2" t="s">
        <v>45</v>
      </c>
      <c r="C1046" s="2" t="s">
        <v>33</v>
      </c>
      <c r="D1046" s="2" t="s">
        <v>20</v>
      </c>
      <c r="E1046" s="2">
        <v>697.25</v>
      </c>
      <c r="F1046" s="2">
        <v>11.34</v>
      </c>
      <c r="G1046" s="2">
        <v>38.29</v>
      </c>
      <c r="H1046" s="2">
        <v>1.1000000000000001</v>
      </c>
      <c r="I1046" s="2">
        <v>0.7</v>
      </c>
      <c r="J1046" s="2">
        <v>26</v>
      </c>
      <c r="K1046" s="2" t="s">
        <v>34</v>
      </c>
      <c r="L1046" s="2">
        <v>9.6</v>
      </c>
      <c r="M1046" s="2" t="s">
        <v>22</v>
      </c>
      <c r="N1046" s="2">
        <v>64.17</v>
      </c>
      <c r="O1046" s="2" t="s">
        <v>24</v>
      </c>
      <c r="P1046" s="2">
        <v>4.41</v>
      </c>
      <c r="Q1046" s="2">
        <v>8.6</v>
      </c>
      <c r="R1046" s="3">
        <f t="shared" si="80"/>
        <v>3074.8724999999999</v>
      </c>
      <c r="S1046" s="3">
        <f t="shared" si="81"/>
        <v>5996.3499999999995</v>
      </c>
      <c r="T1046" s="3">
        <f t="shared" si="82"/>
        <v>2921.4774999999995</v>
      </c>
      <c r="U1046" s="4">
        <f t="shared" si="83"/>
        <v>0.48720930232558135</v>
      </c>
      <c r="V1046" s="5">
        <f t="shared" si="84"/>
        <v>66.935999999999993</v>
      </c>
    </row>
    <row r="1047" spans="1:22" x14ac:dyDescent="0.25">
      <c r="A1047" s="2" t="s">
        <v>1081</v>
      </c>
      <c r="B1047" s="2" t="s">
        <v>18</v>
      </c>
      <c r="C1047" s="2" t="s">
        <v>19</v>
      </c>
      <c r="D1047" s="2" t="s">
        <v>28</v>
      </c>
      <c r="E1047" s="2">
        <v>361.4</v>
      </c>
      <c r="F1047" s="2">
        <v>13.22</v>
      </c>
      <c r="G1047" s="2">
        <v>21.82</v>
      </c>
      <c r="H1047" s="2">
        <v>1</v>
      </c>
      <c r="I1047" s="2">
        <v>0.1</v>
      </c>
      <c r="J1047" s="2">
        <v>10</v>
      </c>
      <c r="K1047" s="2" t="s">
        <v>21</v>
      </c>
      <c r="L1047" s="2">
        <v>3.69</v>
      </c>
      <c r="M1047" s="2" t="s">
        <v>22</v>
      </c>
      <c r="N1047" s="2">
        <v>79.59</v>
      </c>
      <c r="O1047" s="2" t="s">
        <v>24</v>
      </c>
      <c r="P1047" s="2">
        <v>7.78</v>
      </c>
      <c r="Q1047" s="2">
        <v>12.8</v>
      </c>
      <c r="R1047" s="3">
        <f t="shared" si="80"/>
        <v>2811.692</v>
      </c>
      <c r="S1047" s="3">
        <f t="shared" si="81"/>
        <v>4625.92</v>
      </c>
      <c r="T1047" s="3">
        <f t="shared" si="82"/>
        <v>1814.2280000000001</v>
      </c>
      <c r="U1047" s="4">
        <f t="shared" si="83"/>
        <v>0.39218750000000002</v>
      </c>
      <c r="V1047" s="5">
        <f t="shared" si="84"/>
        <v>13.335659999999997</v>
      </c>
    </row>
    <row r="1048" spans="1:22" x14ac:dyDescent="0.25">
      <c r="A1048" s="2" t="s">
        <v>1082</v>
      </c>
      <c r="B1048" s="2" t="s">
        <v>18</v>
      </c>
      <c r="C1048" s="2" t="s">
        <v>33</v>
      </c>
      <c r="D1048" s="2" t="s">
        <v>20</v>
      </c>
      <c r="E1048" s="2">
        <v>550.55999999999995</v>
      </c>
      <c r="F1048" s="2">
        <v>13.86</v>
      </c>
      <c r="G1048" s="2">
        <v>32.96</v>
      </c>
      <c r="H1048" s="2">
        <v>1.7</v>
      </c>
      <c r="I1048" s="2">
        <v>0.3</v>
      </c>
      <c r="J1048" s="2">
        <v>12</v>
      </c>
      <c r="K1048" s="2" t="s">
        <v>34</v>
      </c>
      <c r="L1048" s="2">
        <v>2.52</v>
      </c>
      <c r="M1048" s="2" t="s">
        <v>40</v>
      </c>
      <c r="N1048" s="2">
        <v>67.86</v>
      </c>
      <c r="O1048" s="2" t="s">
        <v>23</v>
      </c>
      <c r="P1048" s="2">
        <v>8.7799999999999994</v>
      </c>
      <c r="Q1048" s="2">
        <v>14.21</v>
      </c>
      <c r="R1048" s="3">
        <f t="shared" si="80"/>
        <v>4833.9167999999991</v>
      </c>
      <c r="S1048" s="3">
        <f t="shared" si="81"/>
        <v>7823.4575999999997</v>
      </c>
      <c r="T1048" s="3">
        <f t="shared" si="82"/>
        <v>2989.5408000000007</v>
      </c>
      <c r="U1048" s="4">
        <f t="shared" si="83"/>
        <v>0.38212526389866303</v>
      </c>
      <c r="V1048" s="5">
        <f t="shared" si="84"/>
        <v>13.874111999999998</v>
      </c>
    </row>
    <row r="1049" spans="1:22" x14ac:dyDescent="0.25">
      <c r="A1049" s="2" t="s">
        <v>1083</v>
      </c>
      <c r="B1049" s="2" t="s">
        <v>32</v>
      </c>
      <c r="C1049" s="2" t="s">
        <v>33</v>
      </c>
      <c r="D1049" s="2" t="s">
        <v>20</v>
      </c>
      <c r="E1049" s="2">
        <v>648.91</v>
      </c>
      <c r="F1049" s="2">
        <v>8.08</v>
      </c>
      <c r="G1049" s="2">
        <v>28.26</v>
      </c>
      <c r="H1049" s="2">
        <v>1.8</v>
      </c>
      <c r="I1049" s="2">
        <v>1.1000000000000001</v>
      </c>
      <c r="J1049" s="2">
        <v>28</v>
      </c>
      <c r="K1049" s="2" t="s">
        <v>34</v>
      </c>
      <c r="L1049" s="2">
        <v>5.84</v>
      </c>
      <c r="M1049" s="2" t="s">
        <v>22</v>
      </c>
      <c r="N1049" s="2">
        <v>87.94</v>
      </c>
      <c r="O1049" s="2" t="s">
        <v>30</v>
      </c>
      <c r="P1049" s="2">
        <v>8.01</v>
      </c>
      <c r="Q1049" s="2">
        <v>7.61</v>
      </c>
      <c r="R1049" s="3">
        <f t="shared" si="80"/>
        <v>5197.7690999999995</v>
      </c>
      <c r="S1049" s="3">
        <f t="shared" si="81"/>
        <v>4938.2051000000001</v>
      </c>
      <c r="T1049" s="3">
        <f t="shared" si="82"/>
        <v>-259.5639999999994</v>
      </c>
      <c r="U1049" s="4">
        <f t="shared" si="83"/>
        <v>-5.2562417871221956E-2</v>
      </c>
      <c r="V1049" s="5">
        <f t="shared" si="84"/>
        <v>37.896343999999999</v>
      </c>
    </row>
    <row r="1050" spans="1:22" x14ac:dyDescent="0.25">
      <c r="A1050" s="2" t="s">
        <v>1084</v>
      </c>
      <c r="B1050" s="2" t="s">
        <v>32</v>
      </c>
      <c r="C1050" s="2" t="s">
        <v>43</v>
      </c>
      <c r="D1050" s="2" t="s">
        <v>20</v>
      </c>
      <c r="E1050" s="2">
        <v>727.14</v>
      </c>
      <c r="F1050" s="2">
        <v>15.61</v>
      </c>
      <c r="G1050" s="2">
        <v>28.11</v>
      </c>
      <c r="H1050" s="2">
        <v>2.8</v>
      </c>
      <c r="I1050" s="2">
        <v>0.9</v>
      </c>
      <c r="J1050" s="2">
        <v>6</v>
      </c>
      <c r="K1050" s="2" t="s">
        <v>29</v>
      </c>
      <c r="L1050" s="2">
        <v>5.61</v>
      </c>
      <c r="M1050" s="2" t="s">
        <v>40</v>
      </c>
      <c r="N1050" s="2">
        <v>53.03</v>
      </c>
      <c r="O1050" s="2" t="s">
        <v>24</v>
      </c>
      <c r="P1050" s="2">
        <v>7.52</v>
      </c>
      <c r="Q1050" s="2">
        <v>13.3</v>
      </c>
      <c r="R1050" s="3">
        <f t="shared" si="80"/>
        <v>5468.0927999999994</v>
      </c>
      <c r="S1050" s="3">
        <f t="shared" si="81"/>
        <v>9670.9619999999995</v>
      </c>
      <c r="T1050" s="3">
        <f t="shared" si="82"/>
        <v>4202.8692000000001</v>
      </c>
      <c r="U1050" s="4">
        <f t="shared" si="83"/>
        <v>0.43458646616541358</v>
      </c>
      <c r="V1050" s="5">
        <f t="shared" si="84"/>
        <v>40.792554000000003</v>
      </c>
    </row>
    <row r="1051" spans="1:22" x14ac:dyDescent="0.25">
      <c r="A1051" s="2" t="s">
        <v>1085</v>
      </c>
      <c r="B1051" s="2" t="s">
        <v>32</v>
      </c>
      <c r="C1051" s="2" t="s">
        <v>27</v>
      </c>
      <c r="D1051" s="2" t="s">
        <v>28</v>
      </c>
      <c r="E1051" s="2">
        <v>459.56</v>
      </c>
      <c r="F1051" s="2">
        <v>15.13</v>
      </c>
      <c r="G1051" s="2">
        <v>33.590000000000003</v>
      </c>
      <c r="H1051" s="2">
        <v>1.4</v>
      </c>
      <c r="I1051" s="2">
        <v>0.8</v>
      </c>
      <c r="J1051" s="2">
        <v>29</v>
      </c>
      <c r="K1051" s="2" t="s">
        <v>21</v>
      </c>
      <c r="L1051" s="2">
        <v>6.11</v>
      </c>
      <c r="M1051" s="2" t="s">
        <v>37</v>
      </c>
      <c r="N1051" s="2">
        <v>95.9</v>
      </c>
      <c r="O1051" s="2" t="s">
        <v>23</v>
      </c>
      <c r="P1051" s="2">
        <v>9.42</v>
      </c>
      <c r="Q1051" s="2">
        <v>7.68</v>
      </c>
      <c r="R1051" s="3">
        <f t="shared" si="80"/>
        <v>4329.0551999999998</v>
      </c>
      <c r="S1051" s="3">
        <f t="shared" si="81"/>
        <v>3529.4207999999999</v>
      </c>
      <c r="T1051" s="3">
        <f t="shared" si="82"/>
        <v>-799.63439999999991</v>
      </c>
      <c r="U1051" s="4">
        <f t="shared" si="83"/>
        <v>-0.22656249999999997</v>
      </c>
      <c r="V1051" s="5">
        <f t="shared" si="84"/>
        <v>28.079116000000003</v>
      </c>
    </row>
    <row r="1052" spans="1:22" x14ac:dyDescent="0.25">
      <c r="A1052" s="2" t="s">
        <v>1086</v>
      </c>
      <c r="B1052" s="2" t="s">
        <v>45</v>
      </c>
      <c r="C1052" s="2" t="s">
        <v>27</v>
      </c>
      <c r="D1052" s="2" t="s">
        <v>20</v>
      </c>
      <c r="E1052" s="2">
        <v>549.14</v>
      </c>
      <c r="F1052" s="2">
        <v>11.66</v>
      </c>
      <c r="G1052" s="2">
        <v>21.34</v>
      </c>
      <c r="H1052" s="2">
        <v>0.2</v>
      </c>
      <c r="I1052" s="2">
        <v>1.1000000000000001</v>
      </c>
      <c r="J1052" s="2">
        <v>13</v>
      </c>
      <c r="K1052" s="2" t="s">
        <v>34</v>
      </c>
      <c r="L1052" s="2">
        <v>3.8</v>
      </c>
      <c r="M1052" s="2" t="s">
        <v>40</v>
      </c>
      <c r="N1052" s="2">
        <v>58.58</v>
      </c>
      <c r="O1052" s="2" t="s">
        <v>24</v>
      </c>
      <c r="P1052" s="2">
        <v>3.41</v>
      </c>
      <c r="Q1052" s="2">
        <v>8.43</v>
      </c>
      <c r="R1052" s="3">
        <f t="shared" si="80"/>
        <v>1872.5674000000001</v>
      </c>
      <c r="S1052" s="3">
        <f t="shared" si="81"/>
        <v>4629.2501999999995</v>
      </c>
      <c r="T1052" s="3">
        <f t="shared" si="82"/>
        <v>2756.6827999999996</v>
      </c>
      <c r="U1052" s="4">
        <f t="shared" si="83"/>
        <v>0.59549228944246735</v>
      </c>
      <c r="V1052" s="5">
        <f t="shared" si="84"/>
        <v>20.867319999999999</v>
      </c>
    </row>
    <row r="1053" spans="1:22" x14ac:dyDescent="0.25">
      <c r="A1053" s="2" t="s">
        <v>1087</v>
      </c>
      <c r="B1053" s="2" t="s">
        <v>32</v>
      </c>
      <c r="C1053" s="2" t="s">
        <v>43</v>
      </c>
      <c r="D1053" s="2" t="s">
        <v>28</v>
      </c>
      <c r="E1053" s="2">
        <v>556.98</v>
      </c>
      <c r="F1053" s="2">
        <v>8.5299999999999994</v>
      </c>
      <c r="G1053" s="2">
        <v>31.87</v>
      </c>
      <c r="H1053" s="2">
        <v>3.9</v>
      </c>
      <c r="I1053" s="2">
        <v>1</v>
      </c>
      <c r="J1053" s="2">
        <v>4</v>
      </c>
      <c r="K1053" s="2" t="s">
        <v>21</v>
      </c>
      <c r="L1053" s="2">
        <v>0.56000000000000005</v>
      </c>
      <c r="M1053" s="2" t="s">
        <v>37</v>
      </c>
      <c r="N1053" s="2">
        <v>57.93</v>
      </c>
      <c r="O1053" s="2" t="s">
        <v>30</v>
      </c>
      <c r="P1053" s="2">
        <v>4.17</v>
      </c>
      <c r="Q1053" s="2">
        <v>6.99</v>
      </c>
      <c r="R1053" s="3">
        <f t="shared" si="80"/>
        <v>2322.6066000000001</v>
      </c>
      <c r="S1053" s="3">
        <f t="shared" si="81"/>
        <v>3893.2902000000004</v>
      </c>
      <c r="T1053" s="3">
        <f t="shared" si="82"/>
        <v>1570.6836000000003</v>
      </c>
      <c r="U1053" s="4">
        <f t="shared" si="83"/>
        <v>0.40343347639484983</v>
      </c>
      <c r="V1053" s="5">
        <f t="shared" si="84"/>
        <v>3.1190880000000005</v>
      </c>
    </row>
    <row r="1054" spans="1:22" x14ac:dyDescent="0.25">
      <c r="A1054" s="2" t="s">
        <v>1088</v>
      </c>
      <c r="B1054" s="2" t="s">
        <v>18</v>
      </c>
      <c r="C1054" s="2" t="s">
        <v>27</v>
      </c>
      <c r="D1054" s="2" t="s">
        <v>20</v>
      </c>
      <c r="E1054" s="2">
        <v>519.54999999999995</v>
      </c>
      <c r="F1054" s="2">
        <v>15.55</v>
      </c>
      <c r="G1054" s="2">
        <v>35.44</v>
      </c>
      <c r="H1054" s="2">
        <v>0.7</v>
      </c>
      <c r="I1054" s="2">
        <v>2.1</v>
      </c>
      <c r="J1054" s="2">
        <v>13</v>
      </c>
      <c r="K1054" s="2" t="s">
        <v>34</v>
      </c>
      <c r="L1054" s="2">
        <v>0.83</v>
      </c>
      <c r="M1054" s="2" t="s">
        <v>40</v>
      </c>
      <c r="N1054" s="2">
        <v>92.03</v>
      </c>
      <c r="O1054" s="2" t="s">
        <v>24</v>
      </c>
      <c r="P1054" s="2">
        <v>5.9</v>
      </c>
      <c r="Q1054" s="2">
        <v>10.07</v>
      </c>
      <c r="R1054" s="3">
        <f t="shared" si="80"/>
        <v>3065.3449999999998</v>
      </c>
      <c r="S1054" s="3">
        <f t="shared" si="81"/>
        <v>5231.8684999999996</v>
      </c>
      <c r="T1054" s="3">
        <f t="shared" si="82"/>
        <v>2166.5234999999998</v>
      </c>
      <c r="U1054" s="4">
        <f t="shared" si="83"/>
        <v>0.41410129096325721</v>
      </c>
      <c r="V1054" s="5">
        <f t="shared" si="84"/>
        <v>4.3122649999999991</v>
      </c>
    </row>
    <row r="1055" spans="1:22" x14ac:dyDescent="0.25">
      <c r="A1055" s="2" t="s">
        <v>1089</v>
      </c>
      <c r="B1055" s="2" t="s">
        <v>18</v>
      </c>
      <c r="C1055" s="2" t="s">
        <v>33</v>
      </c>
      <c r="D1055" s="2" t="s">
        <v>20</v>
      </c>
      <c r="E1055" s="2">
        <v>490.12</v>
      </c>
      <c r="F1055" s="2">
        <v>17.55</v>
      </c>
      <c r="G1055" s="2">
        <v>36.56</v>
      </c>
      <c r="H1055" s="2">
        <v>7.1</v>
      </c>
      <c r="I1055" s="2">
        <v>0.9</v>
      </c>
      <c r="J1055" s="2">
        <v>17</v>
      </c>
      <c r="K1055" s="2" t="s">
        <v>29</v>
      </c>
      <c r="L1055" s="2">
        <v>6.81</v>
      </c>
      <c r="M1055" s="2" t="s">
        <v>22</v>
      </c>
      <c r="N1055" s="2">
        <v>93.46</v>
      </c>
      <c r="O1055" s="2" t="s">
        <v>23</v>
      </c>
      <c r="P1055" s="2">
        <v>5.61</v>
      </c>
      <c r="Q1055" s="2">
        <v>13.43</v>
      </c>
      <c r="R1055" s="3">
        <f t="shared" si="80"/>
        <v>2749.5732000000003</v>
      </c>
      <c r="S1055" s="3">
        <f t="shared" si="81"/>
        <v>6582.3116</v>
      </c>
      <c r="T1055" s="3">
        <f t="shared" si="82"/>
        <v>3832.7383999999997</v>
      </c>
      <c r="U1055" s="4">
        <f t="shared" si="83"/>
        <v>0.58227848101265822</v>
      </c>
      <c r="V1055" s="5">
        <f t="shared" si="84"/>
        <v>33.377172000000002</v>
      </c>
    </row>
    <row r="1056" spans="1:22" x14ac:dyDescent="0.25">
      <c r="A1056" s="2" t="s">
        <v>1090</v>
      </c>
      <c r="B1056" s="2" t="s">
        <v>32</v>
      </c>
      <c r="C1056" s="2" t="s">
        <v>19</v>
      </c>
      <c r="D1056" s="2" t="s">
        <v>28</v>
      </c>
      <c r="E1056" s="2">
        <v>543.6</v>
      </c>
      <c r="F1056" s="2">
        <v>10.4</v>
      </c>
      <c r="G1056" s="2">
        <v>23.41</v>
      </c>
      <c r="H1056" s="2">
        <v>0.3</v>
      </c>
      <c r="I1056" s="2">
        <v>1.5</v>
      </c>
      <c r="J1056" s="2">
        <v>1</v>
      </c>
      <c r="K1056" s="2" t="s">
        <v>34</v>
      </c>
      <c r="L1056" s="2">
        <v>5.47</v>
      </c>
      <c r="M1056" s="2" t="s">
        <v>22</v>
      </c>
      <c r="N1056" s="2">
        <v>54.65</v>
      </c>
      <c r="O1056" s="2" t="s">
        <v>24</v>
      </c>
      <c r="P1056" s="2">
        <v>5.93</v>
      </c>
      <c r="Q1056" s="2">
        <v>10.28</v>
      </c>
      <c r="R1056" s="3">
        <f t="shared" si="80"/>
        <v>3223.5479999999998</v>
      </c>
      <c r="S1056" s="3">
        <f t="shared" si="81"/>
        <v>5588.2079999999996</v>
      </c>
      <c r="T1056" s="3">
        <f t="shared" si="82"/>
        <v>2364.66</v>
      </c>
      <c r="U1056" s="4">
        <f t="shared" si="83"/>
        <v>0.42315175097276264</v>
      </c>
      <c r="V1056" s="5">
        <f t="shared" si="84"/>
        <v>29.734920000000002</v>
      </c>
    </row>
    <row r="1057" spans="1:22" x14ac:dyDescent="0.25">
      <c r="A1057" s="2" t="s">
        <v>1091</v>
      </c>
      <c r="B1057" s="2" t="s">
        <v>32</v>
      </c>
      <c r="C1057" s="2" t="s">
        <v>43</v>
      </c>
      <c r="D1057" s="2" t="s">
        <v>20</v>
      </c>
      <c r="E1057" s="2">
        <v>246.78</v>
      </c>
      <c r="F1057" s="2">
        <v>11.24</v>
      </c>
      <c r="G1057" s="2">
        <v>37.950000000000003</v>
      </c>
      <c r="H1057" s="2">
        <v>6.4</v>
      </c>
      <c r="I1057" s="2">
        <v>0.3</v>
      </c>
      <c r="J1057" s="2">
        <v>5</v>
      </c>
      <c r="K1057" s="2" t="s">
        <v>21</v>
      </c>
      <c r="L1057" s="2">
        <v>8.3000000000000007</v>
      </c>
      <c r="M1057" s="2" t="s">
        <v>40</v>
      </c>
      <c r="N1057" s="2">
        <v>95.44</v>
      </c>
      <c r="O1057" s="2" t="s">
        <v>23</v>
      </c>
      <c r="P1057" s="2">
        <v>4.45</v>
      </c>
      <c r="Q1057" s="2">
        <v>6.23</v>
      </c>
      <c r="R1057" s="3">
        <f t="shared" si="80"/>
        <v>1098.171</v>
      </c>
      <c r="S1057" s="3">
        <f t="shared" si="81"/>
        <v>1537.4394000000002</v>
      </c>
      <c r="T1057" s="3">
        <f t="shared" si="82"/>
        <v>439.26840000000016</v>
      </c>
      <c r="U1057" s="4">
        <f t="shared" si="83"/>
        <v>0.28571428571428575</v>
      </c>
      <c r="V1057" s="5">
        <f t="shared" si="84"/>
        <v>20.482740000000003</v>
      </c>
    </row>
    <row r="1058" spans="1:22" x14ac:dyDescent="0.25">
      <c r="A1058" s="2" t="s">
        <v>1092</v>
      </c>
      <c r="B1058" s="2" t="s">
        <v>26</v>
      </c>
      <c r="C1058" s="2" t="s">
        <v>19</v>
      </c>
      <c r="D1058" s="2" t="s">
        <v>28</v>
      </c>
      <c r="E1058" s="2">
        <v>568.21</v>
      </c>
      <c r="F1058" s="2">
        <v>9.84</v>
      </c>
      <c r="G1058" s="2">
        <v>33.119999999999997</v>
      </c>
      <c r="H1058" s="2">
        <v>0.2</v>
      </c>
      <c r="I1058" s="2">
        <v>1.1000000000000001</v>
      </c>
      <c r="J1058" s="2">
        <v>28</v>
      </c>
      <c r="K1058" s="2" t="s">
        <v>21</v>
      </c>
      <c r="L1058" s="2">
        <v>3.35</v>
      </c>
      <c r="M1058" s="2" t="s">
        <v>37</v>
      </c>
      <c r="N1058" s="2">
        <v>63.66</v>
      </c>
      <c r="O1058" s="2" t="s">
        <v>30</v>
      </c>
      <c r="P1058" s="2">
        <v>4.05</v>
      </c>
      <c r="Q1058" s="2">
        <v>7.52</v>
      </c>
      <c r="R1058" s="3">
        <f t="shared" si="80"/>
        <v>2301.2505000000001</v>
      </c>
      <c r="S1058" s="3">
        <f t="shared" si="81"/>
        <v>4272.9391999999998</v>
      </c>
      <c r="T1058" s="3">
        <f t="shared" si="82"/>
        <v>1971.6886999999997</v>
      </c>
      <c r="U1058" s="4">
        <f t="shared" si="83"/>
        <v>0.46143617021276589</v>
      </c>
      <c r="V1058" s="5">
        <f t="shared" si="84"/>
        <v>19.035035000000004</v>
      </c>
    </row>
    <row r="1059" spans="1:22" x14ac:dyDescent="0.25">
      <c r="A1059" s="2" t="s">
        <v>1093</v>
      </c>
      <c r="B1059" s="2" t="s">
        <v>18</v>
      </c>
      <c r="C1059" s="2" t="s">
        <v>27</v>
      </c>
      <c r="D1059" s="2" t="s">
        <v>28</v>
      </c>
      <c r="E1059" s="2">
        <v>512.62</v>
      </c>
      <c r="F1059" s="2">
        <v>13.77</v>
      </c>
      <c r="G1059" s="2">
        <v>37.64</v>
      </c>
      <c r="H1059" s="2">
        <v>0.5</v>
      </c>
      <c r="I1059" s="2">
        <v>2.2999999999999998</v>
      </c>
      <c r="J1059" s="2">
        <v>24</v>
      </c>
      <c r="K1059" s="2" t="s">
        <v>29</v>
      </c>
      <c r="L1059" s="2">
        <v>8.25</v>
      </c>
      <c r="M1059" s="2" t="s">
        <v>37</v>
      </c>
      <c r="N1059" s="2">
        <v>80.930000000000007</v>
      </c>
      <c r="O1059" s="2" t="s">
        <v>30</v>
      </c>
      <c r="P1059" s="2">
        <v>6.56</v>
      </c>
      <c r="Q1059" s="2">
        <v>10.63</v>
      </c>
      <c r="R1059" s="3">
        <f t="shared" si="80"/>
        <v>3362.7871999999998</v>
      </c>
      <c r="S1059" s="3">
        <f t="shared" si="81"/>
        <v>5449.1506000000008</v>
      </c>
      <c r="T1059" s="3">
        <f t="shared" si="82"/>
        <v>2086.3634000000011</v>
      </c>
      <c r="U1059" s="4">
        <f t="shared" si="83"/>
        <v>0.38287864534336796</v>
      </c>
      <c r="V1059" s="5">
        <f t="shared" si="84"/>
        <v>42.291149999999995</v>
      </c>
    </row>
    <row r="1060" spans="1:22" x14ac:dyDescent="0.25">
      <c r="A1060" s="2" t="s">
        <v>1094</v>
      </c>
      <c r="B1060" s="2" t="s">
        <v>45</v>
      </c>
      <c r="C1060" s="2" t="s">
        <v>19</v>
      </c>
      <c r="D1060" s="2" t="s">
        <v>28</v>
      </c>
      <c r="E1060" s="2">
        <v>477.75</v>
      </c>
      <c r="F1060" s="2">
        <v>9.5500000000000007</v>
      </c>
      <c r="G1060" s="2">
        <v>29.71</v>
      </c>
      <c r="H1060" s="2">
        <v>0.1</v>
      </c>
      <c r="I1060" s="2">
        <v>0.5</v>
      </c>
      <c r="J1060" s="2">
        <v>17</v>
      </c>
      <c r="K1060" s="2" t="s">
        <v>34</v>
      </c>
      <c r="L1060" s="2">
        <v>4.54</v>
      </c>
      <c r="M1060" s="2" t="s">
        <v>40</v>
      </c>
      <c r="N1060" s="2">
        <v>53.43</v>
      </c>
      <c r="O1060" s="2" t="s">
        <v>24</v>
      </c>
      <c r="P1060" s="2">
        <v>9.5</v>
      </c>
      <c r="Q1060" s="2">
        <v>10.83</v>
      </c>
      <c r="R1060" s="3">
        <f t="shared" si="80"/>
        <v>4538.625</v>
      </c>
      <c r="S1060" s="3">
        <f t="shared" si="81"/>
        <v>5174.0325000000003</v>
      </c>
      <c r="T1060" s="3">
        <f t="shared" si="82"/>
        <v>635.40750000000025</v>
      </c>
      <c r="U1060" s="4">
        <f t="shared" si="83"/>
        <v>0.1228070175438597</v>
      </c>
      <c r="V1060" s="5">
        <f t="shared" si="84"/>
        <v>21.68985</v>
      </c>
    </row>
    <row r="1061" spans="1:22" x14ac:dyDescent="0.25">
      <c r="A1061" s="2" t="s">
        <v>1095</v>
      </c>
      <c r="B1061" s="2" t="s">
        <v>26</v>
      </c>
      <c r="C1061" s="2" t="s">
        <v>27</v>
      </c>
      <c r="D1061" s="2" t="s">
        <v>20</v>
      </c>
      <c r="E1061" s="2">
        <v>704.69</v>
      </c>
      <c r="F1061" s="2">
        <v>11.56</v>
      </c>
      <c r="G1061" s="2">
        <v>30.84</v>
      </c>
      <c r="H1061" s="2">
        <v>2.4</v>
      </c>
      <c r="I1061" s="2">
        <v>1.5</v>
      </c>
      <c r="J1061" s="2">
        <v>18</v>
      </c>
      <c r="K1061" s="2" t="s">
        <v>29</v>
      </c>
      <c r="L1061" s="2">
        <v>1.42</v>
      </c>
      <c r="M1061" s="2" t="s">
        <v>22</v>
      </c>
      <c r="N1061" s="2">
        <v>69.03</v>
      </c>
      <c r="O1061" s="2" t="s">
        <v>30</v>
      </c>
      <c r="P1061" s="2">
        <v>5.74</v>
      </c>
      <c r="Q1061" s="2">
        <v>10.77</v>
      </c>
      <c r="R1061" s="3">
        <f t="shared" si="80"/>
        <v>4044.9206000000004</v>
      </c>
      <c r="S1061" s="3">
        <f t="shared" si="81"/>
        <v>7589.5113000000001</v>
      </c>
      <c r="T1061" s="3">
        <f t="shared" si="82"/>
        <v>3544.5906999999997</v>
      </c>
      <c r="U1061" s="4">
        <f t="shared" si="83"/>
        <v>0.46703806870937786</v>
      </c>
      <c r="V1061" s="5">
        <f t="shared" si="84"/>
        <v>10.006598</v>
      </c>
    </row>
    <row r="1062" spans="1:22" x14ac:dyDescent="0.25">
      <c r="A1062" s="2" t="s">
        <v>1096</v>
      </c>
      <c r="B1062" s="2" t="s">
        <v>32</v>
      </c>
      <c r="C1062" s="2" t="s">
        <v>27</v>
      </c>
      <c r="D1062" s="2" t="s">
        <v>20</v>
      </c>
      <c r="E1062" s="2">
        <v>432.51</v>
      </c>
      <c r="F1062" s="2">
        <v>14.97</v>
      </c>
      <c r="G1062" s="2">
        <v>38.380000000000003</v>
      </c>
      <c r="H1062" s="2">
        <v>3.8</v>
      </c>
      <c r="I1062" s="2">
        <v>1.3</v>
      </c>
      <c r="J1062" s="2">
        <v>7</v>
      </c>
      <c r="K1062" s="2" t="s">
        <v>21</v>
      </c>
      <c r="L1062" s="2">
        <v>9.7899999999999991</v>
      </c>
      <c r="M1062" s="2" t="s">
        <v>37</v>
      </c>
      <c r="N1062" s="2">
        <v>72.540000000000006</v>
      </c>
      <c r="O1062" s="2" t="s">
        <v>23</v>
      </c>
      <c r="P1062" s="2">
        <v>3.3</v>
      </c>
      <c r="Q1062" s="2">
        <v>5.77</v>
      </c>
      <c r="R1062" s="3">
        <f t="shared" si="80"/>
        <v>1427.2829999999999</v>
      </c>
      <c r="S1062" s="3">
        <f t="shared" si="81"/>
        <v>2495.5826999999999</v>
      </c>
      <c r="T1062" s="3">
        <f t="shared" si="82"/>
        <v>1068.2997</v>
      </c>
      <c r="U1062" s="4">
        <f t="shared" si="83"/>
        <v>0.42807625649913345</v>
      </c>
      <c r="V1062" s="5">
        <f t="shared" si="84"/>
        <v>42.342728999999999</v>
      </c>
    </row>
    <row r="1063" spans="1:22" x14ac:dyDescent="0.25">
      <c r="A1063" s="2" t="s">
        <v>1097</v>
      </c>
      <c r="B1063" s="2" t="s">
        <v>32</v>
      </c>
      <c r="C1063" s="2" t="s">
        <v>33</v>
      </c>
      <c r="D1063" s="2" t="s">
        <v>20</v>
      </c>
      <c r="E1063" s="2">
        <v>459.69</v>
      </c>
      <c r="F1063" s="2">
        <v>13.6</v>
      </c>
      <c r="G1063" s="2">
        <v>38</v>
      </c>
      <c r="H1063" s="2">
        <v>1.1000000000000001</v>
      </c>
      <c r="I1063" s="2">
        <v>0.1</v>
      </c>
      <c r="J1063" s="2">
        <v>16</v>
      </c>
      <c r="K1063" s="2" t="s">
        <v>29</v>
      </c>
      <c r="L1063" s="2">
        <v>5.36</v>
      </c>
      <c r="M1063" s="2" t="s">
        <v>40</v>
      </c>
      <c r="N1063" s="2">
        <v>79.989999999999995</v>
      </c>
      <c r="O1063" s="2" t="s">
        <v>24</v>
      </c>
      <c r="P1063" s="2">
        <v>7.94</v>
      </c>
      <c r="Q1063" s="2">
        <v>12.54</v>
      </c>
      <c r="R1063" s="3">
        <f t="shared" si="80"/>
        <v>3649.9386</v>
      </c>
      <c r="S1063" s="3">
        <f t="shared" si="81"/>
        <v>5764.5126</v>
      </c>
      <c r="T1063" s="3">
        <f t="shared" si="82"/>
        <v>2114.5740000000001</v>
      </c>
      <c r="U1063" s="4">
        <f t="shared" si="83"/>
        <v>0.3668261562998405</v>
      </c>
      <c r="V1063" s="5">
        <f t="shared" si="84"/>
        <v>24.639384</v>
      </c>
    </row>
    <row r="1064" spans="1:22" x14ac:dyDescent="0.25">
      <c r="A1064" s="2" t="s">
        <v>1098</v>
      </c>
      <c r="B1064" s="2" t="s">
        <v>18</v>
      </c>
      <c r="C1064" s="2" t="s">
        <v>27</v>
      </c>
      <c r="D1064" s="2" t="s">
        <v>28</v>
      </c>
      <c r="E1064" s="2">
        <v>699.16</v>
      </c>
      <c r="F1064" s="2">
        <v>11.86</v>
      </c>
      <c r="G1064" s="2">
        <v>28.96</v>
      </c>
      <c r="H1064" s="2">
        <v>5.3</v>
      </c>
      <c r="I1064" s="2">
        <v>0.9</v>
      </c>
      <c r="J1064" s="2">
        <v>8</v>
      </c>
      <c r="K1064" s="2" t="s">
        <v>34</v>
      </c>
      <c r="L1064" s="2">
        <v>6.48</v>
      </c>
      <c r="M1064" s="2" t="s">
        <v>37</v>
      </c>
      <c r="N1064" s="2">
        <v>76.260000000000005</v>
      </c>
      <c r="O1064" s="2" t="s">
        <v>23</v>
      </c>
      <c r="P1064" s="2">
        <v>5.04</v>
      </c>
      <c r="Q1064" s="2">
        <v>14.09</v>
      </c>
      <c r="R1064" s="3">
        <f t="shared" si="80"/>
        <v>3523.7664</v>
      </c>
      <c r="S1064" s="3">
        <f t="shared" si="81"/>
        <v>9851.1643999999997</v>
      </c>
      <c r="T1064" s="3">
        <f t="shared" si="82"/>
        <v>6327.3979999999992</v>
      </c>
      <c r="U1064" s="4">
        <f t="shared" si="83"/>
        <v>0.6422995031937544</v>
      </c>
      <c r="V1064" s="5">
        <f t="shared" si="84"/>
        <v>45.305568000000001</v>
      </c>
    </row>
    <row r="1065" spans="1:22" x14ac:dyDescent="0.25">
      <c r="A1065" s="2" t="s">
        <v>1099</v>
      </c>
      <c r="B1065" s="2" t="s">
        <v>32</v>
      </c>
      <c r="C1065" s="2" t="s">
        <v>33</v>
      </c>
      <c r="D1065" s="2" t="s">
        <v>20</v>
      </c>
      <c r="E1065" s="2">
        <v>416.79</v>
      </c>
      <c r="F1065" s="2">
        <v>12.2</v>
      </c>
      <c r="G1065" s="2">
        <v>25.49</v>
      </c>
      <c r="H1065" s="2">
        <v>1.8</v>
      </c>
      <c r="I1065" s="2">
        <v>0.1</v>
      </c>
      <c r="J1065" s="2">
        <v>12</v>
      </c>
      <c r="K1065" s="2" t="s">
        <v>34</v>
      </c>
      <c r="L1065" s="2">
        <v>6.87</v>
      </c>
      <c r="M1065" s="2" t="s">
        <v>22</v>
      </c>
      <c r="N1065" s="2">
        <v>73.069999999999993</v>
      </c>
      <c r="O1065" s="2" t="s">
        <v>24</v>
      </c>
      <c r="P1065" s="2">
        <v>4.72</v>
      </c>
      <c r="Q1065" s="2">
        <v>10.11</v>
      </c>
      <c r="R1065" s="3">
        <f t="shared" si="80"/>
        <v>1967.2488000000001</v>
      </c>
      <c r="S1065" s="3">
        <f t="shared" si="81"/>
        <v>4213.7469000000001</v>
      </c>
      <c r="T1065" s="3">
        <f t="shared" si="82"/>
        <v>2246.4980999999998</v>
      </c>
      <c r="U1065" s="4">
        <f t="shared" si="83"/>
        <v>0.5331355093966369</v>
      </c>
      <c r="V1065" s="5">
        <f t="shared" si="84"/>
        <v>28.633473000000002</v>
      </c>
    </row>
    <row r="1066" spans="1:22" x14ac:dyDescent="0.25">
      <c r="A1066" s="2" t="s">
        <v>1100</v>
      </c>
      <c r="B1066" s="2" t="s">
        <v>45</v>
      </c>
      <c r="C1066" s="2" t="s">
        <v>33</v>
      </c>
      <c r="D1066" s="2" t="s">
        <v>28</v>
      </c>
      <c r="E1066" s="2">
        <v>444.99</v>
      </c>
      <c r="F1066" s="2">
        <v>13.62</v>
      </c>
      <c r="G1066" s="2">
        <v>27.86</v>
      </c>
      <c r="H1066" s="2">
        <v>2</v>
      </c>
      <c r="I1066" s="2">
        <v>3.4</v>
      </c>
      <c r="J1066" s="2">
        <v>14</v>
      </c>
      <c r="K1066" s="2" t="s">
        <v>29</v>
      </c>
      <c r="L1066" s="2">
        <v>3.94</v>
      </c>
      <c r="M1066" s="2" t="s">
        <v>37</v>
      </c>
      <c r="N1066" s="2">
        <v>97.98</v>
      </c>
      <c r="O1066" s="2" t="s">
        <v>23</v>
      </c>
      <c r="P1066" s="2">
        <v>5.27</v>
      </c>
      <c r="Q1066" s="2">
        <v>12.19</v>
      </c>
      <c r="R1066" s="3">
        <f t="shared" si="80"/>
        <v>2345.0972999999999</v>
      </c>
      <c r="S1066" s="3">
        <f t="shared" si="81"/>
        <v>5424.4281000000001</v>
      </c>
      <c r="T1066" s="3">
        <f t="shared" si="82"/>
        <v>3079.3308000000002</v>
      </c>
      <c r="U1066" s="4">
        <f t="shared" si="83"/>
        <v>0.5676784249384742</v>
      </c>
      <c r="V1066" s="5">
        <f t="shared" si="84"/>
        <v>17.532606000000001</v>
      </c>
    </row>
    <row r="1067" spans="1:22" x14ac:dyDescent="0.25">
      <c r="A1067" s="2" t="s">
        <v>1101</v>
      </c>
      <c r="B1067" s="2" t="s">
        <v>18</v>
      </c>
      <c r="C1067" s="2" t="s">
        <v>33</v>
      </c>
      <c r="D1067" s="2" t="s">
        <v>20</v>
      </c>
      <c r="E1067" s="2">
        <v>485.3</v>
      </c>
      <c r="F1067" s="2">
        <v>8.06</v>
      </c>
      <c r="G1067" s="2">
        <v>27.76</v>
      </c>
      <c r="H1067" s="2">
        <v>3.7</v>
      </c>
      <c r="I1067" s="2">
        <v>1.7</v>
      </c>
      <c r="J1067" s="2">
        <v>19</v>
      </c>
      <c r="K1067" s="2" t="s">
        <v>21</v>
      </c>
      <c r="L1067" s="2">
        <v>7.6</v>
      </c>
      <c r="M1067" s="2" t="s">
        <v>40</v>
      </c>
      <c r="N1067" s="2">
        <v>59.25</v>
      </c>
      <c r="O1067" s="2" t="s">
        <v>24</v>
      </c>
      <c r="P1067" s="2">
        <v>8.07</v>
      </c>
      <c r="Q1067" s="2">
        <v>14.14</v>
      </c>
      <c r="R1067" s="3">
        <f t="shared" si="80"/>
        <v>3916.3710000000001</v>
      </c>
      <c r="S1067" s="3">
        <f t="shared" si="81"/>
        <v>6862.1420000000007</v>
      </c>
      <c r="T1067" s="3">
        <f t="shared" si="82"/>
        <v>2945.7710000000006</v>
      </c>
      <c r="U1067" s="4">
        <f t="shared" si="83"/>
        <v>0.42927864214992933</v>
      </c>
      <c r="V1067" s="5">
        <f t="shared" si="84"/>
        <v>36.882799999999996</v>
      </c>
    </row>
    <row r="1068" spans="1:22" x14ac:dyDescent="0.25">
      <c r="A1068" s="2" t="s">
        <v>1102</v>
      </c>
      <c r="B1068" s="2" t="s">
        <v>32</v>
      </c>
      <c r="C1068" s="2" t="s">
        <v>43</v>
      </c>
      <c r="D1068" s="2" t="s">
        <v>28</v>
      </c>
      <c r="E1068" s="2">
        <v>584.07000000000005</v>
      </c>
      <c r="F1068" s="2">
        <v>8.7899999999999991</v>
      </c>
      <c r="G1068" s="2">
        <v>25.74</v>
      </c>
      <c r="H1068" s="2">
        <v>0.7</v>
      </c>
      <c r="I1068" s="2">
        <v>0.1</v>
      </c>
      <c r="J1068" s="2">
        <v>11</v>
      </c>
      <c r="K1068" s="2" t="s">
        <v>21</v>
      </c>
      <c r="L1068" s="2">
        <v>8.77</v>
      </c>
      <c r="M1068" s="2" t="s">
        <v>37</v>
      </c>
      <c r="N1068" s="2">
        <v>57.9</v>
      </c>
      <c r="O1068" s="2" t="s">
        <v>23</v>
      </c>
      <c r="P1068" s="2">
        <v>8.73</v>
      </c>
      <c r="Q1068" s="2">
        <v>11.43</v>
      </c>
      <c r="R1068" s="3">
        <f t="shared" si="80"/>
        <v>5098.9311000000007</v>
      </c>
      <c r="S1068" s="3">
        <f t="shared" si="81"/>
        <v>6675.9201000000003</v>
      </c>
      <c r="T1068" s="3">
        <f t="shared" si="82"/>
        <v>1576.9889999999996</v>
      </c>
      <c r="U1068" s="4">
        <f t="shared" si="83"/>
        <v>0.2362204724409448</v>
      </c>
      <c r="V1068" s="5">
        <f t="shared" si="84"/>
        <v>51.222939000000004</v>
      </c>
    </row>
    <row r="1069" spans="1:22" x14ac:dyDescent="0.25">
      <c r="A1069" s="2" t="s">
        <v>1103</v>
      </c>
      <c r="B1069" s="2" t="s">
        <v>18</v>
      </c>
      <c r="C1069" s="2" t="s">
        <v>43</v>
      </c>
      <c r="D1069" s="2" t="s">
        <v>28</v>
      </c>
      <c r="E1069" s="2">
        <v>520.78</v>
      </c>
      <c r="F1069" s="2">
        <v>16.809999999999999</v>
      </c>
      <c r="G1069" s="2">
        <v>25.37</v>
      </c>
      <c r="H1069" s="2">
        <v>0.9</v>
      </c>
      <c r="I1069" s="2">
        <v>0.1</v>
      </c>
      <c r="J1069" s="2">
        <v>12</v>
      </c>
      <c r="K1069" s="2" t="s">
        <v>29</v>
      </c>
      <c r="L1069" s="2">
        <v>4.18</v>
      </c>
      <c r="M1069" s="2" t="s">
        <v>37</v>
      </c>
      <c r="N1069" s="2">
        <v>85.67</v>
      </c>
      <c r="O1069" s="2" t="s">
        <v>23</v>
      </c>
      <c r="P1069" s="2">
        <v>7.12</v>
      </c>
      <c r="Q1069" s="2">
        <v>11.74</v>
      </c>
      <c r="R1069" s="3">
        <f t="shared" si="80"/>
        <v>3707.9535999999998</v>
      </c>
      <c r="S1069" s="3">
        <f t="shared" si="81"/>
        <v>6113.9571999999998</v>
      </c>
      <c r="T1069" s="3">
        <f t="shared" si="82"/>
        <v>2406.0036</v>
      </c>
      <c r="U1069" s="4">
        <f t="shared" si="83"/>
        <v>0.39352640545144807</v>
      </c>
      <c r="V1069" s="5">
        <f t="shared" si="84"/>
        <v>21.768603999999996</v>
      </c>
    </row>
    <row r="1070" spans="1:22" x14ac:dyDescent="0.25">
      <c r="A1070" s="2" t="s">
        <v>1104</v>
      </c>
      <c r="B1070" s="2" t="s">
        <v>32</v>
      </c>
      <c r="C1070" s="2" t="s">
        <v>27</v>
      </c>
      <c r="D1070" s="2" t="s">
        <v>28</v>
      </c>
      <c r="E1070" s="2">
        <v>370.74</v>
      </c>
      <c r="F1070" s="2">
        <v>8.7799999999999994</v>
      </c>
      <c r="G1070" s="2">
        <v>37.22</v>
      </c>
      <c r="H1070" s="2">
        <v>4.7</v>
      </c>
      <c r="I1070" s="2">
        <v>0.9</v>
      </c>
      <c r="J1070" s="2">
        <v>13</v>
      </c>
      <c r="K1070" s="2" t="s">
        <v>34</v>
      </c>
      <c r="L1070" s="2">
        <v>6.74</v>
      </c>
      <c r="M1070" s="2" t="s">
        <v>22</v>
      </c>
      <c r="N1070" s="2">
        <v>53.73</v>
      </c>
      <c r="O1070" s="2" t="s">
        <v>24</v>
      </c>
      <c r="P1070" s="2">
        <v>5.26</v>
      </c>
      <c r="Q1070" s="2">
        <v>12.21</v>
      </c>
      <c r="R1070" s="3">
        <f t="shared" si="80"/>
        <v>1950.0924</v>
      </c>
      <c r="S1070" s="3">
        <f t="shared" si="81"/>
        <v>4526.7354000000005</v>
      </c>
      <c r="T1070" s="3">
        <f t="shared" si="82"/>
        <v>2576.6430000000005</v>
      </c>
      <c r="U1070" s="4">
        <f t="shared" si="83"/>
        <v>0.56920556920556931</v>
      </c>
      <c r="V1070" s="5">
        <f t="shared" si="84"/>
        <v>24.987876</v>
      </c>
    </row>
    <row r="1071" spans="1:22" x14ac:dyDescent="0.25">
      <c r="A1071" s="2" t="s">
        <v>1105</v>
      </c>
      <c r="B1071" s="2" t="s">
        <v>32</v>
      </c>
      <c r="C1071" s="2" t="s">
        <v>33</v>
      </c>
      <c r="D1071" s="2" t="s">
        <v>20</v>
      </c>
      <c r="E1071" s="2">
        <v>446.78</v>
      </c>
      <c r="F1071" s="2">
        <v>15.07</v>
      </c>
      <c r="G1071" s="2">
        <v>21.4</v>
      </c>
      <c r="H1071" s="2">
        <v>4.5999999999999996</v>
      </c>
      <c r="I1071" s="2">
        <v>0.4</v>
      </c>
      <c r="J1071" s="2">
        <v>8</v>
      </c>
      <c r="K1071" s="2" t="s">
        <v>34</v>
      </c>
      <c r="L1071" s="2">
        <v>7.69</v>
      </c>
      <c r="M1071" s="2" t="s">
        <v>22</v>
      </c>
      <c r="N1071" s="2">
        <v>74.14</v>
      </c>
      <c r="O1071" s="2" t="s">
        <v>23</v>
      </c>
      <c r="P1071" s="2">
        <v>5.17</v>
      </c>
      <c r="Q1071" s="2">
        <v>7.61</v>
      </c>
      <c r="R1071" s="3">
        <f t="shared" si="80"/>
        <v>2309.8525999999997</v>
      </c>
      <c r="S1071" s="3">
        <f t="shared" si="81"/>
        <v>3399.9958000000001</v>
      </c>
      <c r="T1071" s="3">
        <f t="shared" si="82"/>
        <v>1090.1432000000004</v>
      </c>
      <c r="U1071" s="4">
        <f t="shared" si="83"/>
        <v>0.32063074901445476</v>
      </c>
      <c r="V1071" s="5">
        <f t="shared" si="84"/>
        <v>34.357382000000001</v>
      </c>
    </row>
    <row r="1072" spans="1:22" x14ac:dyDescent="0.25">
      <c r="A1072" s="2" t="s">
        <v>1106</v>
      </c>
      <c r="B1072" s="2" t="s">
        <v>32</v>
      </c>
      <c r="C1072" s="2" t="s">
        <v>43</v>
      </c>
      <c r="D1072" s="2" t="s">
        <v>28</v>
      </c>
      <c r="E1072" s="2">
        <v>439.26</v>
      </c>
      <c r="F1072" s="2">
        <v>17.2</v>
      </c>
      <c r="G1072" s="2">
        <v>33.549999999999997</v>
      </c>
      <c r="H1072" s="2">
        <v>7.5</v>
      </c>
      <c r="I1072" s="2">
        <v>0</v>
      </c>
      <c r="J1072" s="2">
        <v>1</v>
      </c>
      <c r="K1072" s="2" t="s">
        <v>34</v>
      </c>
      <c r="L1072" s="2">
        <v>2.31</v>
      </c>
      <c r="M1072" s="2" t="s">
        <v>22</v>
      </c>
      <c r="N1072" s="2">
        <v>74.2</v>
      </c>
      <c r="O1072" s="2" t="s">
        <v>30</v>
      </c>
      <c r="P1072" s="2">
        <v>3.87</v>
      </c>
      <c r="Q1072" s="2">
        <v>10.83</v>
      </c>
      <c r="R1072" s="3">
        <f t="shared" si="80"/>
        <v>1699.9362000000001</v>
      </c>
      <c r="S1072" s="3">
        <f t="shared" si="81"/>
        <v>4757.1858000000002</v>
      </c>
      <c r="T1072" s="3">
        <f t="shared" si="82"/>
        <v>3057.2496000000001</v>
      </c>
      <c r="U1072" s="4">
        <f t="shared" si="83"/>
        <v>0.64265927977839332</v>
      </c>
      <c r="V1072" s="5">
        <f t="shared" si="84"/>
        <v>10.146906</v>
      </c>
    </row>
    <row r="1073" spans="1:22" x14ac:dyDescent="0.25">
      <c r="A1073" s="2" t="s">
        <v>1107</v>
      </c>
      <c r="B1073" s="2" t="s">
        <v>45</v>
      </c>
      <c r="C1073" s="2" t="s">
        <v>33</v>
      </c>
      <c r="D1073" s="2" t="s">
        <v>28</v>
      </c>
      <c r="E1073" s="2">
        <v>492.28</v>
      </c>
      <c r="F1073" s="2">
        <v>10.71</v>
      </c>
      <c r="G1073" s="2">
        <v>23.46</v>
      </c>
      <c r="H1073" s="2">
        <v>4.5999999999999996</v>
      </c>
      <c r="I1073" s="2">
        <v>0.8</v>
      </c>
      <c r="J1073" s="2">
        <v>9</v>
      </c>
      <c r="K1073" s="2" t="s">
        <v>34</v>
      </c>
      <c r="L1073" s="2">
        <v>3.66</v>
      </c>
      <c r="M1073" s="2" t="s">
        <v>22</v>
      </c>
      <c r="N1073" s="2">
        <v>65.5</v>
      </c>
      <c r="O1073" s="2" t="s">
        <v>23</v>
      </c>
      <c r="P1073" s="2">
        <v>9.5299999999999994</v>
      </c>
      <c r="Q1073" s="2">
        <v>13.42</v>
      </c>
      <c r="R1073" s="3">
        <f t="shared" si="80"/>
        <v>4691.4283999999998</v>
      </c>
      <c r="S1073" s="3">
        <f t="shared" si="81"/>
        <v>6606.3975999999993</v>
      </c>
      <c r="T1073" s="3">
        <f t="shared" si="82"/>
        <v>1914.9691999999995</v>
      </c>
      <c r="U1073" s="4">
        <f t="shared" si="83"/>
        <v>0.28986587183308493</v>
      </c>
      <c r="V1073" s="5">
        <f t="shared" si="84"/>
        <v>18.017447999999998</v>
      </c>
    </row>
    <row r="1074" spans="1:22" x14ac:dyDescent="0.25">
      <c r="A1074" s="2" t="s">
        <v>1108</v>
      </c>
      <c r="B1074" s="2" t="s">
        <v>45</v>
      </c>
      <c r="C1074" s="2" t="s">
        <v>19</v>
      </c>
      <c r="D1074" s="2" t="s">
        <v>28</v>
      </c>
      <c r="E1074" s="2">
        <v>542.58000000000004</v>
      </c>
      <c r="F1074" s="2">
        <v>11.7</v>
      </c>
      <c r="G1074" s="2">
        <v>26.89</v>
      </c>
      <c r="H1074" s="2">
        <v>0.3</v>
      </c>
      <c r="I1074" s="2">
        <v>0.5</v>
      </c>
      <c r="J1074" s="2">
        <v>28</v>
      </c>
      <c r="K1074" s="2" t="s">
        <v>21</v>
      </c>
      <c r="L1074" s="2">
        <v>1.53</v>
      </c>
      <c r="M1074" s="2" t="s">
        <v>40</v>
      </c>
      <c r="N1074" s="2">
        <v>96.52</v>
      </c>
      <c r="O1074" s="2" t="s">
        <v>24</v>
      </c>
      <c r="P1074" s="2">
        <v>7.47</v>
      </c>
      <c r="Q1074" s="2">
        <v>7.96</v>
      </c>
      <c r="R1074" s="3">
        <f t="shared" si="80"/>
        <v>4053.0726</v>
      </c>
      <c r="S1074" s="3">
        <f t="shared" si="81"/>
        <v>4318.9368000000004</v>
      </c>
      <c r="T1074" s="3">
        <f t="shared" si="82"/>
        <v>265.86420000000044</v>
      </c>
      <c r="U1074" s="4">
        <f t="shared" si="83"/>
        <v>6.1557788944723711E-2</v>
      </c>
      <c r="V1074" s="5">
        <f t="shared" si="84"/>
        <v>8.3014740000000007</v>
      </c>
    </row>
    <row r="1075" spans="1:22" x14ac:dyDescent="0.25">
      <c r="A1075" s="2" t="s">
        <v>1109</v>
      </c>
      <c r="B1075" s="2" t="s">
        <v>18</v>
      </c>
      <c r="C1075" s="2" t="s">
        <v>19</v>
      </c>
      <c r="D1075" s="2" t="s">
        <v>28</v>
      </c>
      <c r="E1075" s="2">
        <v>541.82000000000005</v>
      </c>
      <c r="F1075" s="2">
        <v>13.69</v>
      </c>
      <c r="G1075" s="2">
        <v>21.23</v>
      </c>
      <c r="H1075" s="2">
        <v>3.5</v>
      </c>
      <c r="I1075" s="2">
        <v>0.1</v>
      </c>
      <c r="J1075" s="2">
        <v>2</v>
      </c>
      <c r="K1075" s="2" t="s">
        <v>34</v>
      </c>
      <c r="L1075" s="2">
        <v>6.22</v>
      </c>
      <c r="M1075" s="2" t="s">
        <v>37</v>
      </c>
      <c r="N1075" s="2">
        <v>64.13</v>
      </c>
      <c r="O1075" s="2" t="s">
        <v>30</v>
      </c>
      <c r="P1075" s="2">
        <v>3.19</v>
      </c>
      <c r="Q1075" s="2">
        <v>13.97</v>
      </c>
      <c r="R1075" s="3">
        <f t="shared" si="80"/>
        <v>1728.4058000000002</v>
      </c>
      <c r="S1075" s="3">
        <f t="shared" si="81"/>
        <v>7569.2254000000012</v>
      </c>
      <c r="T1075" s="3">
        <f t="shared" si="82"/>
        <v>5840.8196000000007</v>
      </c>
      <c r="U1075" s="4">
        <f t="shared" si="83"/>
        <v>0.77165354330708658</v>
      </c>
      <c r="V1075" s="5">
        <f t="shared" si="84"/>
        <v>33.701204000000004</v>
      </c>
    </row>
    <row r="1076" spans="1:22" x14ac:dyDescent="0.25">
      <c r="A1076" s="2" t="s">
        <v>1110</v>
      </c>
      <c r="B1076" s="2" t="s">
        <v>32</v>
      </c>
      <c r="C1076" s="2" t="s">
        <v>19</v>
      </c>
      <c r="D1076" s="2" t="s">
        <v>28</v>
      </c>
      <c r="E1076" s="2">
        <v>322.39999999999998</v>
      </c>
      <c r="F1076" s="2">
        <v>16.82</v>
      </c>
      <c r="G1076" s="2">
        <v>25.4</v>
      </c>
      <c r="H1076" s="2">
        <v>1.1000000000000001</v>
      </c>
      <c r="I1076" s="2">
        <v>1.6</v>
      </c>
      <c r="J1076" s="2">
        <v>14</v>
      </c>
      <c r="K1076" s="2" t="s">
        <v>29</v>
      </c>
      <c r="L1076" s="2">
        <v>8.11</v>
      </c>
      <c r="M1076" s="2" t="s">
        <v>37</v>
      </c>
      <c r="N1076" s="2">
        <v>64.42</v>
      </c>
      <c r="O1076" s="2" t="s">
        <v>30</v>
      </c>
      <c r="P1076" s="2">
        <v>7.64</v>
      </c>
      <c r="Q1076" s="2">
        <v>11.2</v>
      </c>
      <c r="R1076" s="3">
        <f t="shared" si="80"/>
        <v>2463.1359999999995</v>
      </c>
      <c r="S1076" s="3">
        <f t="shared" si="81"/>
        <v>3610.8799999999997</v>
      </c>
      <c r="T1076" s="3">
        <f t="shared" si="82"/>
        <v>1147.7440000000001</v>
      </c>
      <c r="U1076" s="4">
        <f t="shared" si="83"/>
        <v>0.31785714285714295</v>
      </c>
      <c r="V1076" s="5">
        <f t="shared" si="84"/>
        <v>26.146639999999998</v>
      </c>
    </row>
    <row r="1077" spans="1:22" x14ac:dyDescent="0.25">
      <c r="A1077" s="2" t="s">
        <v>1111</v>
      </c>
      <c r="B1077" s="2" t="s">
        <v>32</v>
      </c>
      <c r="C1077" s="2" t="s">
        <v>27</v>
      </c>
      <c r="D1077" s="2" t="s">
        <v>28</v>
      </c>
      <c r="E1077" s="2">
        <v>606.39</v>
      </c>
      <c r="F1077" s="2">
        <v>17.420000000000002</v>
      </c>
      <c r="G1077" s="2">
        <v>35.369999999999997</v>
      </c>
      <c r="H1077" s="2">
        <v>9.4</v>
      </c>
      <c r="I1077" s="2">
        <v>2.5</v>
      </c>
      <c r="J1077" s="2">
        <v>13</v>
      </c>
      <c r="K1077" s="2" t="s">
        <v>29</v>
      </c>
      <c r="L1077" s="2">
        <v>6.3</v>
      </c>
      <c r="M1077" s="2" t="s">
        <v>37</v>
      </c>
      <c r="N1077" s="2">
        <v>61.71</v>
      </c>
      <c r="O1077" s="2" t="s">
        <v>23</v>
      </c>
      <c r="P1077" s="2">
        <v>6.13</v>
      </c>
      <c r="Q1077" s="2">
        <v>9.23</v>
      </c>
      <c r="R1077" s="3">
        <f t="shared" si="80"/>
        <v>3717.1706999999997</v>
      </c>
      <c r="S1077" s="3">
        <f t="shared" si="81"/>
        <v>5596.9796999999999</v>
      </c>
      <c r="T1077" s="3">
        <f t="shared" si="82"/>
        <v>1879.8090000000002</v>
      </c>
      <c r="U1077" s="4">
        <f t="shared" si="83"/>
        <v>0.33586132177681477</v>
      </c>
      <c r="V1077" s="5">
        <f t="shared" si="84"/>
        <v>38.202569999999994</v>
      </c>
    </row>
    <row r="1078" spans="1:22" x14ac:dyDescent="0.25">
      <c r="A1078" s="2" t="s">
        <v>1112</v>
      </c>
      <c r="B1078" s="2" t="s">
        <v>45</v>
      </c>
      <c r="C1078" s="2" t="s">
        <v>33</v>
      </c>
      <c r="D1078" s="2" t="s">
        <v>20</v>
      </c>
      <c r="E1078" s="2">
        <v>525.26</v>
      </c>
      <c r="F1078" s="2">
        <v>15.4</v>
      </c>
      <c r="G1078" s="2">
        <v>37.700000000000003</v>
      </c>
      <c r="H1078" s="2">
        <v>1.3</v>
      </c>
      <c r="I1078" s="2">
        <v>1.4</v>
      </c>
      <c r="J1078" s="2">
        <v>16</v>
      </c>
      <c r="K1078" s="2" t="s">
        <v>29</v>
      </c>
      <c r="L1078" s="2">
        <v>2.21</v>
      </c>
      <c r="M1078" s="2" t="s">
        <v>37</v>
      </c>
      <c r="N1078" s="2">
        <v>57.29</v>
      </c>
      <c r="O1078" s="2" t="s">
        <v>23</v>
      </c>
      <c r="P1078" s="2">
        <v>9.81</v>
      </c>
      <c r="Q1078" s="2">
        <v>11.23</v>
      </c>
      <c r="R1078" s="3">
        <f t="shared" si="80"/>
        <v>5152.8006000000005</v>
      </c>
      <c r="S1078" s="3">
        <f t="shared" si="81"/>
        <v>5898.6697999999997</v>
      </c>
      <c r="T1078" s="3">
        <f t="shared" si="82"/>
        <v>745.86919999999918</v>
      </c>
      <c r="U1078" s="4">
        <f t="shared" si="83"/>
        <v>0.12644701691896693</v>
      </c>
      <c r="V1078" s="5">
        <f t="shared" si="84"/>
        <v>11.608245999999999</v>
      </c>
    </row>
    <row r="1079" spans="1:22" x14ac:dyDescent="0.25">
      <c r="A1079" s="2" t="s">
        <v>1113</v>
      </c>
      <c r="B1079" s="2" t="s">
        <v>32</v>
      </c>
      <c r="C1079" s="2" t="s">
        <v>19</v>
      </c>
      <c r="D1079" s="2" t="s">
        <v>20</v>
      </c>
      <c r="E1079" s="2">
        <v>638.45000000000005</v>
      </c>
      <c r="F1079" s="2">
        <v>8.8699999999999992</v>
      </c>
      <c r="G1079" s="2">
        <v>24.43</v>
      </c>
      <c r="H1079" s="2">
        <v>1.6</v>
      </c>
      <c r="I1079" s="2">
        <v>1.7</v>
      </c>
      <c r="J1079" s="2">
        <v>2</v>
      </c>
      <c r="K1079" s="2" t="s">
        <v>29</v>
      </c>
      <c r="L1079" s="2">
        <v>5.69</v>
      </c>
      <c r="M1079" s="2" t="s">
        <v>40</v>
      </c>
      <c r="N1079" s="2">
        <v>68.2</v>
      </c>
      <c r="O1079" s="2" t="s">
        <v>23</v>
      </c>
      <c r="P1079" s="2">
        <v>8.73</v>
      </c>
      <c r="Q1079" s="2">
        <v>9.02</v>
      </c>
      <c r="R1079" s="3">
        <f t="shared" si="80"/>
        <v>5573.6685000000007</v>
      </c>
      <c r="S1079" s="3">
        <f t="shared" si="81"/>
        <v>5758.8190000000004</v>
      </c>
      <c r="T1079" s="3">
        <f t="shared" si="82"/>
        <v>185.15049999999974</v>
      </c>
      <c r="U1079" s="4">
        <f t="shared" si="83"/>
        <v>3.2150776053215029E-2</v>
      </c>
      <c r="V1079" s="5">
        <f t="shared" si="84"/>
        <v>36.327805000000005</v>
      </c>
    </row>
    <row r="1080" spans="1:22" x14ac:dyDescent="0.25">
      <c r="A1080" s="2" t="s">
        <v>1114</v>
      </c>
      <c r="B1080" s="2" t="s">
        <v>45</v>
      </c>
      <c r="C1080" s="2" t="s">
        <v>43</v>
      </c>
      <c r="D1080" s="2" t="s">
        <v>28</v>
      </c>
      <c r="E1080" s="2">
        <v>544.41999999999996</v>
      </c>
      <c r="F1080" s="2">
        <v>14.69</v>
      </c>
      <c r="G1080" s="2">
        <v>29.27</v>
      </c>
      <c r="H1080" s="2">
        <v>1.5</v>
      </c>
      <c r="I1080" s="2">
        <v>0.2</v>
      </c>
      <c r="J1080" s="2">
        <v>4</v>
      </c>
      <c r="K1080" s="2" t="s">
        <v>34</v>
      </c>
      <c r="L1080" s="2">
        <v>8.43</v>
      </c>
      <c r="M1080" s="2" t="s">
        <v>22</v>
      </c>
      <c r="N1080" s="2">
        <v>84.04</v>
      </c>
      <c r="O1080" s="2" t="s">
        <v>30</v>
      </c>
      <c r="P1080" s="2">
        <v>4.2</v>
      </c>
      <c r="Q1080" s="2">
        <v>13.38</v>
      </c>
      <c r="R1080" s="3">
        <f t="shared" si="80"/>
        <v>2286.5639999999999</v>
      </c>
      <c r="S1080" s="3">
        <f t="shared" si="81"/>
        <v>7284.3396000000002</v>
      </c>
      <c r="T1080" s="3">
        <f t="shared" si="82"/>
        <v>4997.7756000000008</v>
      </c>
      <c r="U1080" s="4">
        <f t="shared" si="83"/>
        <v>0.68609865470852027</v>
      </c>
      <c r="V1080" s="5">
        <f t="shared" si="84"/>
        <v>45.894605999999996</v>
      </c>
    </row>
    <row r="1081" spans="1:22" x14ac:dyDescent="0.25">
      <c r="A1081" s="2" t="s">
        <v>1115</v>
      </c>
      <c r="B1081" s="2" t="s">
        <v>32</v>
      </c>
      <c r="C1081" s="2" t="s">
        <v>19</v>
      </c>
      <c r="D1081" s="2" t="s">
        <v>20</v>
      </c>
      <c r="E1081" s="2">
        <v>610.13</v>
      </c>
      <c r="F1081" s="2">
        <v>12.1</v>
      </c>
      <c r="G1081" s="2">
        <v>29.41</v>
      </c>
      <c r="H1081" s="2">
        <v>0.8</v>
      </c>
      <c r="I1081" s="2">
        <v>0.3</v>
      </c>
      <c r="J1081" s="2">
        <v>12</v>
      </c>
      <c r="K1081" s="2" t="s">
        <v>21</v>
      </c>
      <c r="L1081" s="2">
        <v>3.38</v>
      </c>
      <c r="M1081" s="2" t="s">
        <v>37</v>
      </c>
      <c r="N1081" s="2">
        <v>87.11</v>
      </c>
      <c r="O1081" s="2" t="s">
        <v>30</v>
      </c>
      <c r="P1081" s="2">
        <v>8.0399999999999991</v>
      </c>
      <c r="Q1081" s="2">
        <v>9.82</v>
      </c>
      <c r="R1081" s="3">
        <f t="shared" si="80"/>
        <v>4905.4451999999992</v>
      </c>
      <c r="S1081" s="3">
        <f t="shared" si="81"/>
        <v>5991.4766</v>
      </c>
      <c r="T1081" s="3">
        <f t="shared" si="82"/>
        <v>1086.0314000000008</v>
      </c>
      <c r="U1081" s="4">
        <f t="shared" si="83"/>
        <v>0.18126272912423638</v>
      </c>
      <c r="V1081" s="5">
        <f t="shared" si="84"/>
        <v>20.622394</v>
      </c>
    </row>
    <row r="1082" spans="1:22" x14ac:dyDescent="0.25">
      <c r="A1082" s="2" t="s">
        <v>1116</v>
      </c>
      <c r="B1082" s="2" t="s">
        <v>18</v>
      </c>
      <c r="C1082" s="2" t="s">
        <v>19</v>
      </c>
      <c r="D1082" s="2" t="s">
        <v>20</v>
      </c>
      <c r="E1082" s="2">
        <v>546.65</v>
      </c>
      <c r="F1082" s="2">
        <v>12.71</v>
      </c>
      <c r="G1082" s="2">
        <v>37.47</v>
      </c>
      <c r="H1082" s="2">
        <v>0.2</v>
      </c>
      <c r="I1082" s="2">
        <v>0.2</v>
      </c>
      <c r="J1082" s="2">
        <v>16</v>
      </c>
      <c r="K1082" s="2" t="s">
        <v>34</v>
      </c>
      <c r="L1082" s="2">
        <v>8.41</v>
      </c>
      <c r="M1082" s="2" t="s">
        <v>37</v>
      </c>
      <c r="N1082" s="2">
        <v>90.67</v>
      </c>
      <c r="O1082" s="2" t="s">
        <v>30</v>
      </c>
      <c r="P1082" s="2">
        <v>6.4</v>
      </c>
      <c r="Q1082" s="2">
        <v>14.01</v>
      </c>
      <c r="R1082" s="3">
        <f t="shared" si="80"/>
        <v>3498.56</v>
      </c>
      <c r="S1082" s="3">
        <f t="shared" si="81"/>
        <v>7658.5664999999999</v>
      </c>
      <c r="T1082" s="3">
        <f t="shared" si="82"/>
        <v>4160.0064999999995</v>
      </c>
      <c r="U1082" s="4">
        <f t="shared" si="83"/>
        <v>0.54318344039971445</v>
      </c>
      <c r="V1082" s="5">
        <f t="shared" si="84"/>
        <v>45.973264999999998</v>
      </c>
    </row>
    <row r="1083" spans="1:22" x14ac:dyDescent="0.25">
      <c r="A1083" s="2" t="s">
        <v>1117</v>
      </c>
      <c r="B1083" s="2" t="s">
        <v>32</v>
      </c>
      <c r="C1083" s="2" t="s">
        <v>19</v>
      </c>
      <c r="D1083" s="2" t="s">
        <v>28</v>
      </c>
      <c r="E1083" s="2">
        <v>634.62</v>
      </c>
      <c r="F1083" s="2">
        <v>8.49</v>
      </c>
      <c r="G1083" s="2">
        <v>35.26</v>
      </c>
      <c r="H1083" s="2">
        <v>4.5</v>
      </c>
      <c r="I1083" s="2">
        <v>1.4</v>
      </c>
      <c r="J1083" s="2">
        <v>10</v>
      </c>
      <c r="K1083" s="2" t="s">
        <v>21</v>
      </c>
      <c r="L1083" s="2">
        <v>7.95</v>
      </c>
      <c r="M1083" s="2" t="s">
        <v>22</v>
      </c>
      <c r="N1083" s="2">
        <v>59.88</v>
      </c>
      <c r="O1083" s="2" t="s">
        <v>24</v>
      </c>
      <c r="P1083" s="2">
        <v>4.3099999999999996</v>
      </c>
      <c r="Q1083" s="2">
        <v>10.1</v>
      </c>
      <c r="R1083" s="3">
        <f t="shared" si="80"/>
        <v>2735.2121999999999</v>
      </c>
      <c r="S1083" s="3">
        <f t="shared" si="81"/>
        <v>6409.6620000000003</v>
      </c>
      <c r="T1083" s="3">
        <f t="shared" si="82"/>
        <v>3674.4498000000003</v>
      </c>
      <c r="U1083" s="4">
        <f t="shared" si="83"/>
        <v>0.57326732673267333</v>
      </c>
      <c r="V1083" s="5">
        <f t="shared" si="84"/>
        <v>50.452290000000005</v>
      </c>
    </row>
    <row r="1084" spans="1:22" x14ac:dyDescent="0.25">
      <c r="A1084" s="2" t="s">
        <v>1118</v>
      </c>
      <c r="B1084" s="2" t="s">
        <v>32</v>
      </c>
      <c r="C1084" s="2" t="s">
        <v>27</v>
      </c>
      <c r="D1084" s="2" t="s">
        <v>28</v>
      </c>
      <c r="E1084" s="2">
        <v>552.23</v>
      </c>
      <c r="F1084" s="2">
        <v>9.91</v>
      </c>
      <c r="G1084" s="2">
        <v>30.26</v>
      </c>
      <c r="H1084" s="2">
        <v>3.2</v>
      </c>
      <c r="I1084" s="2">
        <v>3</v>
      </c>
      <c r="J1084" s="2">
        <v>3</v>
      </c>
      <c r="K1084" s="2" t="s">
        <v>34</v>
      </c>
      <c r="L1084" s="2">
        <v>0.71</v>
      </c>
      <c r="M1084" s="2" t="s">
        <v>22</v>
      </c>
      <c r="N1084" s="2">
        <v>51.78</v>
      </c>
      <c r="O1084" s="2" t="s">
        <v>24</v>
      </c>
      <c r="P1084" s="2">
        <v>7.89</v>
      </c>
      <c r="Q1084" s="2">
        <v>11.6</v>
      </c>
      <c r="R1084" s="3">
        <f t="shared" si="80"/>
        <v>4357.0946999999996</v>
      </c>
      <c r="S1084" s="3">
        <f t="shared" si="81"/>
        <v>6405.8680000000004</v>
      </c>
      <c r="T1084" s="3">
        <f t="shared" si="82"/>
        <v>2048.7733000000007</v>
      </c>
      <c r="U1084" s="4">
        <f t="shared" si="83"/>
        <v>0.31982758620689666</v>
      </c>
      <c r="V1084" s="5">
        <f t="shared" si="84"/>
        <v>3.920833</v>
      </c>
    </row>
    <row r="1085" spans="1:22" x14ac:dyDescent="0.25">
      <c r="A1085" s="2" t="s">
        <v>1119</v>
      </c>
      <c r="B1085" s="2" t="s">
        <v>26</v>
      </c>
      <c r="C1085" s="2" t="s">
        <v>43</v>
      </c>
      <c r="D1085" s="2" t="s">
        <v>28</v>
      </c>
      <c r="E1085" s="2">
        <v>490.21</v>
      </c>
      <c r="F1085" s="2">
        <v>15.91</v>
      </c>
      <c r="G1085" s="2">
        <v>33.409999999999997</v>
      </c>
      <c r="H1085" s="2">
        <v>0.3</v>
      </c>
      <c r="I1085" s="2">
        <v>1.3</v>
      </c>
      <c r="J1085" s="2">
        <v>4</v>
      </c>
      <c r="K1085" s="2" t="s">
        <v>21</v>
      </c>
      <c r="L1085" s="2">
        <v>2.77</v>
      </c>
      <c r="M1085" s="2" t="s">
        <v>37</v>
      </c>
      <c r="N1085" s="2">
        <v>98.73</v>
      </c>
      <c r="O1085" s="2" t="s">
        <v>23</v>
      </c>
      <c r="P1085" s="2">
        <v>6.83</v>
      </c>
      <c r="Q1085" s="2">
        <v>14.98</v>
      </c>
      <c r="R1085" s="3">
        <f t="shared" si="80"/>
        <v>3348.1342999999997</v>
      </c>
      <c r="S1085" s="3">
        <f t="shared" si="81"/>
        <v>7343.3458000000001</v>
      </c>
      <c r="T1085" s="3">
        <f t="shared" si="82"/>
        <v>3995.2115000000003</v>
      </c>
      <c r="U1085" s="4">
        <f t="shared" si="83"/>
        <v>0.54405874499332452</v>
      </c>
      <c r="V1085" s="5">
        <f t="shared" si="84"/>
        <v>13.578816999999999</v>
      </c>
    </row>
    <row r="1086" spans="1:22" x14ac:dyDescent="0.25">
      <c r="A1086" s="2" t="s">
        <v>1120</v>
      </c>
      <c r="B1086" s="2" t="s">
        <v>45</v>
      </c>
      <c r="C1086" s="2" t="s">
        <v>33</v>
      </c>
      <c r="D1086" s="2" t="s">
        <v>20</v>
      </c>
      <c r="E1086" s="2">
        <v>727.24</v>
      </c>
      <c r="F1086" s="2">
        <v>12.54</v>
      </c>
      <c r="G1086" s="2">
        <v>36.950000000000003</v>
      </c>
      <c r="H1086" s="2">
        <v>3</v>
      </c>
      <c r="I1086" s="2">
        <v>2.1</v>
      </c>
      <c r="J1086" s="2">
        <v>6</v>
      </c>
      <c r="K1086" s="2" t="s">
        <v>29</v>
      </c>
      <c r="L1086" s="2">
        <v>5.66</v>
      </c>
      <c r="M1086" s="2" t="s">
        <v>22</v>
      </c>
      <c r="N1086" s="2">
        <v>50.72</v>
      </c>
      <c r="O1086" s="2" t="s">
        <v>24</v>
      </c>
      <c r="P1086" s="2">
        <v>3.21</v>
      </c>
      <c r="Q1086" s="2">
        <v>6.47</v>
      </c>
      <c r="R1086" s="3">
        <f t="shared" si="80"/>
        <v>2334.4404</v>
      </c>
      <c r="S1086" s="3">
        <f t="shared" si="81"/>
        <v>4705.2428</v>
      </c>
      <c r="T1086" s="3">
        <f t="shared" si="82"/>
        <v>2370.8024</v>
      </c>
      <c r="U1086" s="4">
        <f t="shared" si="83"/>
        <v>0.50386398763523954</v>
      </c>
      <c r="V1086" s="5">
        <f t="shared" si="84"/>
        <v>41.161783999999997</v>
      </c>
    </row>
    <row r="1087" spans="1:22" x14ac:dyDescent="0.25">
      <c r="A1087" s="2" t="s">
        <v>1121</v>
      </c>
      <c r="B1087" s="2" t="s">
        <v>32</v>
      </c>
      <c r="C1087" s="2" t="s">
        <v>43</v>
      </c>
      <c r="D1087" s="2" t="s">
        <v>28</v>
      </c>
      <c r="E1087" s="2">
        <v>588.9</v>
      </c>
      <c r="F1087" s="2">
        <v>11.02</v>
      </c>
      <c r="G1087" s="2">
        <v>20.190000000000001</v>
      </c>
      <c r="H1087" s="2">
        <v>2</v>
      </c>
      <c r="I1087" s="2">
        <v>1</v>
      </c>
      <c r="J1087" s="2">
        <v>23</v>
      </c>
      <c r="K1087" s="2" t="s">
        <v>29</v>
      </c>
      <c r="L1087" s="2">
        <v>7.32</v>
      </c>
      <c r="M1087" s="2" t="s">
        <v>37</v>
      </c>
      <c r="N1087" s="2">
        <v>98.03</v>
      </c>
      <c r="O1087" s="2" t="s">
        <v>24</v>
      </c>
      <c r="P1087" s="2">
        <v>7.53</v>
      </c>
      <c r="Q1087" s="2">
        <v>12.37</v>
      </c>
      <c r="R1087" s="3">
        <f t="shared" si="80"/>
        <v>4434.4170000000004</v>
      </c>
      <c r="S1087" s="3">
        <f t="shared" si="81"/>
        <v>7284.6929999999993</v>
      </c>
      <c r="T1087" s="3">
        <f t="shared" si="82"/>
        <v>2850.2759999999989</v>
      </c>
      <c r="U1087" s="4">
        <f t="shared" si="83"/>
        <v>0.39126919967663693</v>
      </c>
      <c r="V1087" s="5">
        <f t="shared" si="84"/>
        <v>43.107479999999995</v>
      </c>
    </row>
    <row r="1088" spans="1:22" x14ac:dyDescent="0.25">
      <c r="A1088" s="2" t="s">
        <v>1122</v>
      </c>
      <c r="B1088" s="2" t="s">
        <v>32</v>
      </c>
      <c r="C1088" s="2" t="s">
        <v>33</v>
      </c>
      <c r="D1088" s="2" t="s">
        <v>20</v>
      </c>
      <c r="E1088" s="2">
        <v>557.37</v>
      </c>
      <c r="F1088" s="2">
        <v>11.84</v>
      </c>
      <c r="G1088" s="2">
        <v>28.06</v>
      </c>
      <c r="H1088" s="2">
        <v>1.1000000000000001</v>
      </c>
      <c r="I1088" s="2">
        <v>0.5</v>
      </c>
      <c r="J1088" s="2">
        <v>5</v>
      </c>
      <c r="K1088" s="2" t="s">
        <v>21</v>
      </c>
      <c r="L1088" s="2">
        <v>8.8699999999999992</v>
      </c>
      <c r="M1088" s="2" t="s">
        <v>37</v>
      </c>
      <c r="N1088" s="2">
        <v>91.44</v>
      </c>
      <c r="O1088" s="2" t="s">
        <v>23</v>
      </c>
      <c r="P1088" s="2">
        <v>7.44</v>
      </c>
      <c r="Q1088" s="2">
        <v>6.39</v>
      </c>
      <c r="R1088" s="3">
        <f t="shared" si="80"/>
        <v>4146.8328000000001</v>
      </c>
      <c r="S1088" s="3">
        <f t="shared" si="81"/>
        <v>3561.5942999999997</v>
      </c>
      <c r="T1088" s="3">
        <f t="shared" si="82"/>
        <v>-585.23850000000039</v>
      </c>
      <c r="U1088" s="4">
        <f t="shared" si="83"/>
        <v>-0.1643192488262912</v>
      </c>
      <c r="V1088" s="5">
        <f t="shared" si="84"/>
        <v>49.438718999999992</v>
      </c>
    </row>
    <row r="1089" spans="1:22" x14ac:dyDescent="0.25">
      <c r="A1089" s="2" t="s">
        <v>1123</v>
      </c>
      <c r="B1089" s="2" t="s">
        <v>26</v>
      </c>
      <c r="C1089" s="2" t="s">
        <v>27</v>
      </c>
      <c r="D1089" s="2" t="s">
        <v>28</v>
      </c>
      <c r="E1089" s="2">
        <v>372.37</v>
      </c>
      <c r="F1089" s="2">
        <v>16.54</v>
      </c>
      <c r="G1089" s="2">
        <v>38.14</v>
      </c>
      <c r="H1089" s="2">
        <v>0.6</v>
      </c>
      <c r="I1089" s="2">
        <v>0.6</v>
      </c>
      <c r="J1089" s="2">
        <v>18</v>
      </c>
      <c r="K1089" s="2" t="s">
        <v>21</v>
      </c>
      <c r="L1089" s="2">
        <v>6.59</v>
      </c>
      <c r="M1089" s="2" t="s">
        <v>37</v>
      </c>
      <c r="N1089" s="2">
        <v>95.6</v>
      </c>
      <c r="O1089" s="2" t="s">
        <v>23</v>
      </c>
      <c r="P1089" s="2">
        <v>4.01</v>
      </c>
      <c r="Q1089" s="2">
        <v>13.39</v>
      </c>
      <c r="R1089" s="3">
        <f t="shared" si="80"/>
        <v>1493.2037</v>
      </c>
      <c r="S1089" s="3">
        <f t="shared" si="81"/>
        <v>4986.0343000000003</v>
      </c>
      <c r="T1089" s="3">
        <f t="shared" si="82"/>
        <v>3492.8306000000002</v>
      </c>
      <c r="U1089" s="4">
        <f t="shared" si="83"/>
        <v>0.70052277819268116</v>
      </c>
      <c r="V1089" s="5">
        <f t="shared" si="84"/>
        <v>24.539182999999998</v>
      </c>
    </row>
    <row r="1090" spans="1:22" x14ac:dyDescent="0.25">
      <c r="A1090" s="2" t="s">
        <v>1124</v>
      </c>
      <c r="B1090" s="2" t="s">
        <v>26</v>
      </c>
      <c r="C1090" s="2" t="s">
        <v>27</v>
      </c>
      <c r="D1090" s="2" t="s">
        <v>20</v>
      </c>
      <c r="E1090" s="2">
        <v>371.17</v>
      </c>
      <c r="F1090" s="2">
        <v>15.49</v>
      </c>
      <c r="G1090" s="2">
        <v>34.81</v>
      </c>
      <c r="H1090" s="2">
        <v>3.9</v>
      </c>
      <c r="I1090" s="2">
        <v>0.1</v>
      </c>
      <c r="J1090" s="2">
        <v>3</v>
      </c>
      <c r="K1090" s="2" t="s">
        <v>21</v>
      </c>
      <c r="L1090" s="2">
        <v>4.1100000000000003</v>
      </c>
      <c r="M1090" s="2" t="s">
        <v>37</v>
      </c>
      <c r="N1090" s="2">
        <v>69.36</v>
      </c>
      <c r="O1090" s="2" t="s">
        <v>30</v>
      </c>
      <c r="P1090" s="2">
        <v>5.44</v>
      </c>
      <c r="Q1090" s="2">
        <v>10.96</v>
      </c>
      <c r="R1090" s="3">
        <f t="shared" si="80"/>
        <v>2019.1648000000002</v>
      </c>
      <c r="S1090" s="3">
        <f t="shared" si="81"/>
        <v>4068.0232000000005</v>
      </c>
      <c r="T1090" s="3">
        <f t="shared" si="82"/>
        <v>2048.8584000000001</v>
      </c>
      <c r="U1090" s="4">
        <f t="shared" si="83"/>
        <v>0.50364963503649629</v>
      </c>
      <c r="V1090" s="5">
        <f t="shared" si="84"/>
        <v>15.255087000000001</v>
      </c>
    </row>
    <row r="1091" spans="1:22" x14ac:dyDescent="0.25">
      <c r="A1091" s="2" t="s">
        <v>1125</v>
      </c>
      <c r="B1091" s="2" t="s">
        <v>45</v>
      </c>
      <c r="C1091" s="2" t="s">
        <v>27</v>
      </c>
      <c r="D1091" s="2" t="s">
        <v>28</v>
      </c>
      <c r="E1091" s="2">
        <v>529.27</v>
      </c>
      <c r="F1091" s="2">
        <v>10.72</v>
      </c>
      <c r="G1091" s="2">
        <v>30.86</v>
      </c>
      <c r="H1091" s="2">
        <v>2.4</v>
      </c>
      <c r="I1091" s="2">
        <v>0</v>
      </c>
      <c r="J1091" s="2">
        <v>10</v>
      </c>
      <c r="K1091" s="2" t="s">
        <v>29</v>
      </c>
      <c r="L1091" s="2">
        <v>2.25</v>
      </c>
      <c r="M1091" s="2" t="s">
        <v>37</v>
      </c>
      <c r="N1091" s="2">
        <v>59.86</v>
      </c>
      <c r="O1091" s="2" t="s">
        <v>30</v>
      </c>
      <c r="P1091" s="2">
        <v>7.1</v>
      </c>
      <c r="Q1091" s="2">
        <v>14.38</v>
      </c>
      <c r="R1091" s="3">
        <f t="shared" ref="R1091:R1154" si="85">E1091*P1091</f>
        <v>3757.8169999999996</v>
      </c>
      <c r="S1091" s="3">
        <f t="shared" ref="S1091:S1154" si="86">E1091*Q1091</f>
        <v>7610.9026000000003</v>
      </c>
      <c r="T1091" s="3">
        <f t="shared" ref="T1091:T1154" si="87">S1091-R1091</f>
        <v>3853.0856000000008</v>
      </c>
      <c r="U1091" s="4">
        <f t="shared" ref="U1091:U1154" si="88">T1091/S1091</f>
        <v>0.50625869262865097</v>
      </c>
      <c r="V1091" s="5">
        <f t="shared" ref="V1091:V1154" si="89">E1091*L1091/100</f>
        <v>11.908575000000001</v>
      </c>
    </row>
    <row r="1092" spans="1:22" x14ac:dyDescent="0.25">
      <c r="A1092" s="2" t="s">
        <v>1126</v>
      </c>
      <c r="B1092" s="2" t="s">
        <v>26</v>
      </c>
      <c r="C1092" s="2" t="s">
        <v>27</v>
      </c>
      <c r="D1092" s="2" t="s">
        <v>28</v>
      </c>
      <c r="E1092" s="2">
        <v>514.54999999999995</v>
      </c>
      <c r="F1092" s="2">
        <v>9.18</v>
      </c>
      <c r="G1092" s="2">
        <v>30.59</v>
      </c>
      <c r="H1092" s="2">
        <v>1.6</v>
      </c>
      <c r="I1092" s="2">
        <v>1.2</v>
      </c>
      <c r="J1092" s="2">
        <v>11</v>
      </c>
      <c r="K1092" s="2" t="s">
        <v>29</v>
      </c>
      <c r="L1092" s="2">
        <v>7.72</v>
      </c>
      <c r="M1092" s="2" t="s">
        <v>37</v>
      </c>
      <c r="N1092" s="2">
        <v>80.319999999999993</v>
      </c>
      <c r="O1092" s="2" t="s">
        <v>23</v>
      </c>
      <c r="P1092" s="2">
        <v>3.97</v>
      </c>
      <c r="Q1092" s="2">
        <v>13.66</v>
      </c>
      <c r="R1092" s="3">
        <f t="shared" si="85"/>
        <v>2042.7635</v>
      </c>
      <c r="S1092" s="3">
        <f t="shared" si="86"/>
        <v>7028.7529999999997</v>
      </c>
      <c r="T1092" s="3">
        <f t="shared" si="87"/>
        <v>4985.9894999999997</v>
      </c>
      <c r="U1092" s="4">
        <f t="shared" si="88"/>
        <v>0.70937042459736455</v>
      </c>
      <c r="V1092" s="5">
        <f t="shared" si="89"/>
        <v>39.723259999999996</v>
      </c>
    </row>
    <row r="1093" spans="1:22" x14ac:dyDescent="0.25">
      <c r="A1093" s="2" t="s">
        <v>1127</v>
      </c>
      <c r="B1093" s="2" t="s">
        <v>18</v>
      </c>
      <c r="C1093" s="2" t="s">
        <v>33</v>
      </c>
      <c r="D1093" s="2" t="s">
        <v>20</v>
      </c>
      <c r="E1093" s="2">
        <v>438.59</v>
      </c>
      <c r="F1093" s="2">
        <v>10.52</v>
      </c>
      <c r="G1093" s="2">
        <v>26.96</v>
      </c>
      <c r="H1093" s="2">
        <v>1.9</v>
      </c>
      <c r="I1093" s="2">
        <v>0.6</v>
      </c>
      <c r="J1093" s="2">
        <v>19</v>
      </c>
      <c r="K1093" s="2" t="s">
        <v>34</v>
      </c>
      <c r="L1093" s="2">
        <v>2.46</v>
      </c>
      <c r="M1093" s="2" t="s">
        <v>22</v>
      </c>
      <c r="N1093" s="2">
        <v>87.06</v>
      </c>
      <c r="O1093" s="2" t="s">
        <v>23</v>
      </c>
      <c r="P1093" s="2">
        <v>8.9700000000000006</v>
      </c>
      <c r="Q1093" s="2">
        <v>5.75</v>
      </c>
      <c r="R1093" s="3">
        <f t="shared" si="85"/>
        <v>3934.1523000000002</v>
      </c>
      <c r="S1093" s="3">
        <f t="shared" si="86"/>
        <v>2521.8924999999999</v>
      </c>
      <c r="T1093" s="3">
        <f t="shared" si="87"/>
        <v>-1412.2598000000003</v>
      </c>
      <c r="U1093" s="4">
        <f t="shared" si="88"/>
        <v>-0.56000000000000016</v>
      </c>
      <c r="V1093" s="5">
        <f t="shared" si="89"/>
        <v>10.789313999999999</v>
      </c>
    </row>
    <row r="1094" spans="1:22" x14ac:dyDescent="0.25">
      <c r="A1094" s="2" t="s">
        <v>1128</v>
      </c>
      <c r="B1094" s="2" t="s">
        <v>26</v>
      </c>
      <c r="C1094" s="2" t="s">
        <v>19</v>
      </c>
      <c r="D1094" s="2" t="s">
        <v>20</v>
      </c>
      <c r="E1094" s="2">
        <v>514.1</v>
      </c>
      <c r="F1094" s="2">
        <v>17.21</v>
      </c>
      <c r="G1094" s="2">
        <v>30.41</v>
      </c>
      <c r="H1094" s="2">
        <v>0.2</v>
      </c>
      <c r="I1094" s="2">
        <v>0.8</v>
      </c>
      <c r="J1094" s="2">
        <v>14</v>
      </c>
      <c r="K1094" s="2" t="s">
        <v>21</v>
      </c>
      <c r="L1094" s="2">
        <v>7.11</v>
      </c>
      <c r="M1094" s="2" t="s">
        <v>40</v>
      </c>
      <c r="N1094" s="2">
        <v>56.54</v>
      </c>
      <c r="O1094" s="2" t="s">
        <v>24</v>
      </c>
      <c r="P1094" s="2">
        <v>3.19</v>
      </c>
      <c r="Q1094" s="2">
        <v>6.37</v>
      </c>
      <c r="R1094" s="3">
        <f t="shared" si="85"/>
        <v>1639.979</v>
      </c>
      <c r="S1094" s="3">
        <f t="shared" si="86"/>
        <v>3274.817</v>
      </c>
      <c r="T1094" s="3">
        <f t="shared" si="87"/>
        <v>1634.838</v>
      </c>
      <c r="U1094" s="4">
        <f t="shared" si="88"/>
        <v>0.49921507064364207</v>
      </c>
      <c r="V1094" s="5">
        <f t="shared" si="89"/>
        <v>36.552510000000005</v>
      </c>
    </row>
    <row r="1095" spans="1:22" x14ac:dyDescent="0.25">
      <c r="A1095" s="2" t="s">
        <v>1129</v>
      </c>
      <c r="B1095" s="2" t="s">
        <v>18</v>
      </c>
      <c r="C1095" s="2" t="s">
        <v>33</v>
      </c>
      <c r="D1095" s="2" t="s">
        <v>20</v>
      </c>
      <c r="E1095" s="2">
        <v>658.86</v>
      </c>
      <c r="F1095" s="2">
        <v>13.82</v>
      </c>
      <c r="G1095" s="2">
        <v>33.11</v>
      </c>
      <c r="H1095" s="2">
        <v>1.3</v>
      </c>
      <c r="I1095" s="2">
        <v>0.8</v>
      </c>
      <c r="J1095" s="2">
        <v>21</v>
      </c>
      <c r="K1095" s="2" t="s">
        <v>21</v>
      </c>
      <c r="L1095" s="2">
        <v>2.2200000000000002</v>
      </c>
      <c r="M1095" s="2" t="s">
        <v>40</v>
      </c>
      <c r="N1095" s="2">
        <v>89.88</v>
      </c>
      <c r="O1095" s="2" t="s">
        <v>24</v>
      </c>
      <c r="P1095" s="2">
        <v>3.72</v>
      </c>
      <c r="Q1095" s="2">
        <v>11.01</v>
      </c>
      <c r="R1095" s="3">
        <f t="shared" si="85"/>
        <v>2450.9592000000002</v>
      </c>
      <c r="S1095" s="3">
        <f t="shared" si="86"/>
        <v>7254.0486000000001</v>
      </c>
      <c r="T1095" s="3">
        <f t="shared" si="87"/>
        <v>4803.0893999999998</v>
      </c>
      <c r="U1095" s="4">
        <f t="shared" si="88"/>
        <v>0.66212534059945505</v>
      </c>
      <c r="V1095" s="5">
        <f t="shared" si="89"/>
        <v>14.626692</v>
      </c>
    </row>
    <row r="1096" spans="1:22" x14ac:dyDescent="0.25">
      <c r="A1096" s="2" t="s">
        <v>1130</v>
      </c>
      <c r="B1096" s="2" t="s">
        <v>45</v>
      </c>
      <c r="C1096" s="2" t="s">
        <v>43</v>
      </c>
      <c r="D1096" s="2" t="s">
        <v>20</v>
      </c>
      <c r="E1096" s="2">
        <v>569.54</v>
      </c>
      <c r="F1096" s="2">
        <v>13.33</v>
      </c>
      <c r="G1096" s="2">
        <v>28.37</v>
      </c>
      <c r="H1096" s="2">
        <v>0.4</v>
      </c>
      <c r="I1096" s="2">
        <v>0.3</v>
      </c>
      <c r="J1096" s="2">
        <v>28</v>
      </c>
      <c r="K1096" s="2" t="s">
        <v>21</v>
      </c>
      <c r="L1096" s="2">
        <v>1.37</v>
      </c>
      <c r="M1096" s="2" t="s">
        <v>37</v>
      </c>
      <c r="N1096" s="2">
        <v>60.43</v>
      </c>
      <c r="O1096" s="2" t="s">
        <v>24</v>
      </c>
      <c r="P1096" s="2">
        <v>3.81</v>
      </c>
      <c r="Q1096" s="2">
        <v>10.18</v>
      </c>
      <c r="R1096" s="3">
        <f t="shared" si="85"/>
        <v>2169.9474</v>
      </c>
      <c r="S1096" s="3">
        <f t="shared" si="86"/>
        <v>5797.9171999999999</v>
      </c>
      <c r="T1096" s="3">
        <f t="shared" si="87"/>
        <v>3627.9697999999999</v>
      </c>
      <c r="U1096" s="4">
        <f t="shared" si="88"/>
        <v>0.6257367387033399</v>
      </c>
      <c r="V1096" s="5">
        <f t="shared" si="89"/>
        <v>7.8026980000000004</v>
      </c>
    </row>
    <row r="1097" spans="1:22" x14ac:dyDescent="0.25">
      <c r="A1097" s="2" t="s">
        <v>1131</v>
      </c>
      <c r="B1097" s="2" t="s">
        <v>45</v>
      </c>
      <c r="C1097" s="2" t="s">
        <v>27</v>
      </c>
      <c r="D1097" s="2" t="s">
        <v>20</v>
      </c>
      <c r="E1097" s="2">
        <v>385.9</v>
      </c>
      <c r="F1097" s="2">
        <v>13.96</v>
      </c>
      <c r="G1097" s="2">
        <v>34.28</v>
      </c>
      <c r="H1097" s="2">
        <v>0.5</v>
      </c>
      <c r="I1097" s="2">
        <v>0.6</v>
      </c>
      <c r="J1097" s="2">
        <v>11</v>
      </c>
      <c r="K1097" s="2" t="s">
        <v>29</v>
      </c>
      <c r="L1097" s="2">
        <v>2.89</v>
      </c>
      <c r="M1097" s="2" t="s">
        <v>22</v>
      </c>
      <c r="N1097" s="2">
        <v>74.58</v>
      </c>
      <c r="O1097" s="2" t="s">
        <v>23</v>
      </c>
      <c r="P1097" s="2">
        <v>6.7</v>
      </c>
      <c r="Q1097" s="2">
        <v>6.69</v>
      </c>
      <c r="R1097" s="3">
        <f t="shared" si="85"/>
        <v>2585.5299999999997</v>
      </c>
      <c r="S1097" s="3">
        <f t="shared" si="86"/>
        <v>2581.6709999999998</v>
      </c>
      <c r="T1097" s="3">
        <f t="shared" si="87"/>
        <v>-3.8589999999999236</v>
      </c>
      <c r="U1097" s="4">
        <f t="shared" si="88"/>
        <v>-1.4947683109117792E-3</v>
      </c>
      <c r="V1097" s="5">
        <f t="shared" si="89"/>
        <v>11.152509999999999</v>
      </c>
    </row>
    <row r="1098" spans="1:22" x14ac:dyDescent="0.25">
      <c r="A1098" s="2" t="s">
        <v>1132</v>
      </c>
      <c r="B1098" s="2" t="s">
        <v>45</v>
      </c>
      <c r="C1098" s="2" t="s">
        <v>27</v>
      </c>
      <c r="D1098" s="2" t="s">
        <v>20</v>
      </c>
      <c r="E1098" s="2">
        <v>488.85</v>
      </c>
      <c r="F1098" s="2">
        <v>11.66</v>
      </c>
      <c r="G1098" s="2">
        <v>37.22</v>
      </c>
      <c r="H1098" s="2">
        <v>2.2000000000000002</v>
      </c>
      <c r="I1098" s="2">
        <v>0.6</v>
      </c>
      <c r="J1098" s="2">
        <v>28</v>
      </c>
      <c r="K1098" s="2" t="s">
        <v>21</v>
      </c>
      <c r="L1098" s="2">
        <v>3.21</v>
      </c>
      <c r="M1098" s="2" t="s">
        <v>37</v>
      </c>
      <c r="N1098" s="2">
        <v>92.82</v>
      </c>
      <c r="O1098" s="2" t="s">
        <v>23</v>
      </c>
      <c r="P1098" s="2">
        <v>7.34</v>
      </c>
      <c r="Q1098" s="2">
        <v>6.29</v>
      </c>
      <c r="R1098" s="3">
        <f t="shared" si="85"/>
        <v>3588.1590000000001</v>
      </c>
      <c r="S1098" s="3">
        <f t="shared" si="86"/>
        <v>3074.8665000000001</v>
      </c>
      <c r="T1098" s="3">
        <f t="shared" si="87"/>
        <v>-513.29250000000002</v>
      </c>
      <c r="U1098" s="4">
        <f t="shared" si="88"/>
        <v>-0.16693163751987281</v>
      </c>
      <c r="V1098" s="5">
        <f t="shared" si="89"/>
        <v>15.692084999999999</v>
      </c>
    </row>
    <row r="1099" spans="1:22" x14ac:dyDescent="0.25">
      <c r="A1099" s="2" t="s">
        <v>1133</v>
      </c>
      <c r="B1099" s="2" t="s">
        <v>45</v>
      </c>
      <c r="C1099" s="2" t="s">
        <v>43</v>
      </c>
      <c r="D1099" s="2" t="s">
        <v>28</v>
      </c>
      <c r="E1099" s="2">
        <v>419.5</v>
      </c>
      <c r="F1099" s="2">
        <v>16.07</v>
      </c>
      <c r="G1099" s="2">
        <v>23.09</v>
      </c>
      <c r="H1099" s="2">
        <v>4.8</v>
      </c>
      <c r="I1099" s="2">
        <v>0.5</v>
      </c>
      <c r="J1099" s="2">
        <v>21</v>
      </c>
      <c r="K1099" s="2" t="s">
        <v>21</v>
      </c>
      <c r="L1099" s="2">
        <v>6.65</v>
      </c>
      <c r="M1099" s="2" t="s">
        <v>22</v>
      </c>
      <c r="N1099" s="2">
        <v>59.67</v>
      </c>
      <c r="O1099" s="2" t="s">
        <v>30</v>
      </c>
      <c r="P1099" s="2">
        <v>5.83</v>
      </c>
      <c r="Q1099" s="2">
        <v>10.64</v>
      </c>
      <c r="R1099" s="3">
        <f t="shared" si="85"/>
        <v>2445.6849999999999</v>
      </c>
      <c r="S1099" s="3">
        <f t="shared" si="86"/>
        <v>4463.4800000000005</v>
      </c>
      <c r="T1099" s="3">
        <f t="shared" si="87"/>
        <v>2017.7950000000005</v>
      </c>
      <c r="U1099" s="4">
        <f t="shared" si="88"/>
        <v>0.4520676691729324</v>
      </c>
      <c r="V1099" s="5">
        <f t="shared" si="89"/>
        <v>27.896750000000001</v>
      </c>
    </row>
    <row r="1100" spans="1:22" x14ac:dyDescent="0.25">
      <c r="A1100" s="2" t="s">
        <v>1134</v>
      </c>
      <c r="B1100" s="2" t="s">
        <v>45</v>
      </c>
      <c r="C1100" s="2" t="s">
        <v>33</v>
      </c>
      <c r="D1100" s="2" t="s">
        <v>20</v>
      </c>
      <c r="E1100" s="2">
        <v>461.23</v>
      </c>
      <c r="F1100" s="2">
        <v>13.23</v>
      </c>
      <c r="G1100" s="2">
        <v>29.03</v>
      </c>
      <c r="H1100" s="2">
        <v>1</v>
      </c>
      <c r="I1100" s="2">
        <v>1.7</v>
      </c>
      <c r="J1100" s="2">
        <v>4</v>
      </c>
      <c r="K1100" s="2" t="s">
        <v>29</v>
      </c>
      <c r="L1100" s="2">
        <v>2.0299999999999998</v>
      </c>
      <c r="M1100" s="2" t="s">
        <v>37</v>
      </c>
      <c r="N1100" s="2">
        <v>62.09</v>
      </c>
      <c r="O1100" s="2" t="s">
        <v>24</v>
      </c>
      <c r="P1100" s="2">
        <v>5.0199999999999996</v>
      </c>
      <c r="Q1100" s="2">
        <v>5.49</v>
      </c>
      <c r="R1100" s="3">
        <f t="shared" si="85"/>
        <v>2315.3746000000001</v>
      </c>
      <c r="S1100" s="3">
        <f t="shared" si="86"/>
        <v>2532.1527000000001</v>
      </c>
      <c r="T1100" s="3">
        <f t="shared" si="87"/>
        <v>216.77809999999999</v>
      </c>
      <c r="U1100" s="4">
        <f t="shared" si="88"/>
        <v>8.5610200364298714E-2</v>
      </c>
      <c r="V1100" s="5">
        <f t="shared" si="89"/>
        <v>9.3629689999999997</v>
      </c>
    </row>
    <row r="1101" spans="1:22" x14ac:dyDescent="0.25">
      <c r="A1101" s="2" t="s">
        <v>1135</v>
      </c>
      <c r="B1101" s="2" t="s">
        <v>18</v>
      </c>
      <c r="C1101" s="2" t="s">
        <v>19</v>
      </c>
      <c r="D1101" s="2" t="s">
        <v>28</v>
      </c>
      <c r="E1101" s="2">
        <v>458.64</v>
      </c>
      <c r="F1101" s="2">
        <v>9.17</v>
      </c>
      <c r="G1101" s="2">
        <v>28.16</v>
      </c>
      <c r="H1101" s="2">
        <v>0.5</v>
      </c>
      <c r="I1101" s="2">
        <v>0.6</v>
      </c>
      <c r="J1101" s="2">
        <v>24</v>
      </c>
      <c r="K1101" s="2" t="s">
        <v>21</v>
      </c>
      <c r="L1101" s="2">
        <v>9.34</v>
      </c>
      <c r="M1101" s="2" t="s">
        <v>37</v>
      </c>
      <c r="N1101" s="2">
        <v>53.14</v>
      </c>
      <c r="O1101" s="2" t="s">
        <v>30</v>
      </c>
      <c r="P1101" s="2">
        <v>8.67</v>
      </c>
      <c r="Q1101" s="2">
        <v>13.74</v>
      </c>
      <c r="R1101" s="3">
        <f t="shared" si="85"/>
        <v>3976.4087999999997</v>
      </c>
      <c r="S1101" s="3">
        <f t="shared" si="86"/>
        <v>6301.7136</v>
      </c>
      <c r="T1101" s="3">
        <f t="shared" si="87"/>
        <v>2325.3048000000003</v>
      </c>
      <c r="U1101" s="4">
        <f t="shared" si="88"/>
        <v>0.36899563318777295</v>
      </c>
      <c r="V1101" s="5">
        <f t="shared" si="89"/>
        <v>42.836975999999993</v>
      </c>
    </row>
    <row r="1102" spans="1:22" x14ac:dyDescent="0.25">
      <c r="A1102" s="2" t="s">
        <v>1136</v>
      </c>
      <c r="B1102" s="2" t="s">
        <v>18</v>
      </c>
      <c r="C1102" s="2" t="s">
        <v>19</v>
      </c>
      <c r="D1102" s="2" t="s">
        <v>28</v>
      </c>
      <c r="E1102" s="2">
        <v>452.24</v>
      </c>
      <c r="F1102" s="2">
        <v>9.2899999999999991</v>
      </c>
      <c r="G1102" s="2">
        <v>33.75</v>
      </c>
      <c r="H1102" s="2">
        <v>2.1</v>
      </c>
      <c r="I1102" s="2">
        <v>0.9</v>
      </c>
      <c r="J1102" s="2">
        <v>22</v>
      </c>
      <c r="K1102" s="2" t="s">
        <v>34</v>
      </c>
      <c r="L1102" s="2">
        <v>5.77</v>
      </c>
      <c r="M1102" s="2" t="s">
        <v>40</v>
      </c>
      <c r="N1102" s="2">
        <v>57.33</v>
      </c>
      <c r="O1102" s="2" t="s">
        <v>23</v>
      </c>
      <c r="P1102" s="2">
        <v>3.48</v>
      </c>
      <c r="Q1102" s="2">
        <v>13.07</v>
      </c>
      <c r="R1102" s="3">
        <f t="shared" si="85"/>
        <v>1573.7952</v>
      </c>
      <c r="S1102" s="3">
        <f t="shared" si="86"/>
        <v>5910.7768000000005</v>
      </c>
      <c r="T1102" s="3">
        <f t="shared" si="87"/>
        <v>4336.981600000001</v>
      </c>
      <c r="U1102" s="4">
        <f t="shared" si="88"/>
        <v>0.73374139250191284</v>
      </c>
      <c r="V1102" s="5">
        <f t="shared" si="89"/>
        <v>26.094247999999997</v>
      </c>
    </row>
    <row r="1103" spans="1:22" x14ac:dyDescent="0.25">
      <c r="A1103" s="2" t="s">
        <v>1137</v>
      </c>
      <c r="B1103" s="2" t="s">
        <v>45</v>
      </c>
      <c r="C1103" s="2" t="s">
        <v>43</v>
      </c>
      <c r="D1103" s="2" t="s">
        <v>20</v>
      </c>
      <c r="E1103" s="2">
        <v>374.49</v>
      </c>
      <c r="F1103" s="2">
        <v>13.37</v>
      </c>
      <c r="G1103" s="2">
        <v>25</v>
      </c>
      <c r="H1103" s="2">
        <v>4.0999999999999996</v>
      </c>
      <c r="I1103" s="2">
        <v>2.2999999999999998</v>
      </c>
      <c r="J1103" s="2">
        <v>6</v>
      </c>
      <c r="K1103" s="2" t="s">
        <v>29</v>
      </c>
      <c r="L1103" s="2">
        <v>5.16</v>
      </c>
      <c r="M1103" s="2" t="s">
        <v>22</v>
      </c>
      <c r="N1103" s="2">
        <v>57.33</v>
      </c>
      <c r="O1103" s="2" t="s">
        <v>24</v>
      </c>
      <c r="P1103" s="2">
        <v>4.96</v>
      </c>
      <c r="Q1103" s="2">
        <v>12.85</v>
      </c>
      <c r="R1103" s="3">
        <f t="shared" si="85"/>
        <v>1857.4703999999999</v>
      </c>
      <c r="S1103" s="3">
        <f t="shared" si="86"/>
        <v>4812.1965</v>
      </c>
      <c r="T1103" s="3">
        <f t="shared" si="87"/>
        <v>2954.7260999999999</v>
      </c>
      <c r="U1103" s="4">
        <f t="shared" si="88"/>
        <v>0.61400778210116724</v>
      </c>
      <c r="V1103" s="5">
        <f t="shared" si="89"/>
        <v>19.323684</v>
      </c>
    </row>
    <row r="1104" spans="1:22" x14ac:dyDescent="0.25">
      <c r="A1104" s="2" t="s">
        <v>1138</v>
      </c>
      <c r="B1104" s="2" t="s">
        <v>26</v>
      </c>
      <c r="C1104" s="2" t="s">
        <v>19</v>
      </c>
      <c r="D1104" s="2" t="s">
        <v>28</v>
      </c>
      <c r="E1104" s="2">
        <v>487.23</v>
      </c>
      <c r="F1104" s="2">
        <v>17.37</v>
      </c>
      <c r="G1104" s="2">
        <v>32.81</v>
      </c>
      <c r="H1104" s="2">
        <v>2.8</v>
      </c>
      <c r="I1104" s="2">
        <v>2</v>
      </c>
      <c r="J1104" s="2">
        <v>17</v>
      </c>
      <c r="K1104" s="2" t="s">
        <v>29</v>
      </c>
      <c r="L1104" s="2">
        <v>4.63</v>
      </c>
      <c r="M1104" s="2" t="s">
        <v>22</v>
      </c>
      <c r="N1104" s="2">
        <v>60.17</v>
      </c>
      <c r="O1104" s="2" t="s">
        <v>30</v>
      </c>
      <c r="P1104" s="2">
        <v>3.27</v>
      </c>
      <c r="Q1104" s="2">
        <v>5.16</v>
      </c>
      <c r="R1104" s="3">
        <f t="shared" si="85"/>
        <v>1593.2421000000002</v>
      </c>
      <c r="S1104" s="3">
        <f t="shared" si="86"/>
        <v>2514.1068</v>
      </c>
      <c r="T1104" s="3">
        <f t="shared" si="87"/>
        <v>920.86469999999986</v>
      </c>
      <c r="U1104" s="4">
        <f t="shared" si="88"/>
        <v>0.36627906976744179</v>
      </c>
      <c r="V1104" s="5">
        <f t="shared" si="89"/>
        <v>22.558749000000002</v>
      </c>
    </row>
    <row r="1105" spans="1:22" x14ac:dyDescent="0.25">
      <c r="A1105" s="2" t="s">
        <v>1139</v>
      </c>
      <c r="B1105" s="2" t="s">
        <v>32</v>
      </c>
      <c r="C1105" s="2" t="s">
        <v>33</v>
      </c>
      <c r="D1105" s="2" t="s">
        <v>20</v>
      </c>
      <c r="E1105" s="2">
        <v>443.94</v>
      </c>
      <c r="F1105" s="2">
        <v>11.08</v>
      </c>
      <c r="G1105" s="2">
        <v>37.549999999999997</v>
      </c>
      <c r="H1105" s="2">
        <v>4.0999999999999996</v>
      </c>
      <c r="I1105" s="2">
        <v>2.2000000000000002</v>
      </c>
      <c r="J1105" s="2">
        <v>22</v>
      </c>
      <c r="K1105" s="2" t="s">
        <v>29</v>
      </c>
      <c r="L1105" s="2">
        <v>5.88</v>
      </c>
      <c r="M1105" s="2" t="s">
        <v>40</v>
      </c>
      <c r="N1105" s="2">
        <v>64.31</v>
      </c>
      <c r="O1105" s="2" t="s">
        <v>23</v>
      </c>
      <c r="P1105" s="2">
        <v>3.1</v>
      </c>
      <c r="Q1105" s="2">
        <v>5.48</v>
      </c>
      <c r="R1105" s="3">
        <f t="shared" si="85"/>
        <v>1376.2139999999999</v>
      </c>
      <c r="S1105" s="3">
        <f t="shared" si="86"/>
        <v>2432.7912000000001</v>
      </c>
      <c r="T1105" s="3">
        <f t="shared" si="87"/>
        <v>1056.5772000000002</v>
      </c>
      <c r="U1105" s="4">
        <f t="shared" si="88"/>
        <v>0.43430656934306572</v>
      </c>
      <c r="V1105" s="5">
        <f t="shared" si="89"/>
        <v>26.103672000000003</v>
      </c>
    </row>
    <row r="1106" spans="1:22" x14ac:dyDescent="0.25">
      <c r="A1106" s="2" t="s">
        <v>1140</v>
      </c>
      <c r="B1106" s="2" t="s">
        <v>45</v>
      </c>
      <c r="C1106" s="2" t="s">
        <v>33</v>
      </c>
      <c r="D1106" s="2" t="s">
        <v>20</v>
      </c>
      <c r="E1106" s="2">
        <v>207.06</v>
      </c>
      <c r="F1106" s="2">
        <v>16.7</v>
      </c>
      <c r="G1106" s="2">
        <v>28.36</v>
      </c>
      <c r="H1106" s="2">
        <v>1.5</v>
      </c>
      <c r="I1106" s="2">
        <v>0.3</v>
      </c>
      <c r="J1106" s="2">
        <v>19</v>
      </c>
      <c r="K1106" s="2" t="s">
        <v>34</v>
      </c>
      <c r="L1106" s="2">
        <v>0.71</v>
      </c>
      <c r="M1106" s="2" t="s">
        <v>40</v>
      </c>
      <c r="N1106" s="2">
        <v>90.75</v>
      </c>
      <c r="O1106" s="2" t="s">
        <v>30</v>
      </c>
      <c r="P1106" s="2">
        <v>5.47</v>
      </c>
      <c r="Q1106" s="2">
        <v>10.5</v>
      </c>
      <c r="R1106" s="3">
        <f t="shared" si="85"/>
        <v>1132.6181999999999</v>
      </c>
      <c r="S1106" s="3">
        <f t="shared" si="86"/>
        <v>2174.13</v>
      </c>
      <c r="T1106" s="3">
        <f t="shared" si="87"/>
        <v>1041.5118000000002</v>
      </c>
      <c r="U1106" s="4">
        <f t="shared" si="88"/>
        <v>0.47904761904761911</v>
      </c>
      <c r="V1106" s="5">
        <f t="shared" si="89"/>
        <v>1.4701259999999998</v>
      </c>
    </row>
    <row r="1107" spans="1:22" x14ac:dyDescent="0.25">
      <c r="A1107" s="2" t="s">
        <v>1141</v>
      </c>
      <c r="B1107" s="2" t="s">
        <v>26</v>
      </c>
      <c r="C1107" s="2" t="s">
        <v>43</v>
      </c>
      <c r="D1107" s="2" t="s">
        <v>28</v>
      </c>
      <c r="E1107" s="2">
        <v>705.3</v>
      </c>
      <c r="F1107" s="2">
        <v>15.64</v>
      </c>
      <c r="G1107" s="2">
        <v>38.22</v>
      </c>
      <c r="H1107" s="2">
        <v>2.8</v>
      </c>
      <c r="I1107" s="2">
        <v>0</v>
      </c>
      <c r="J1107" s="2">
        <v>13</v>
      </c>
      <c r="K1107" s="2" t="s">
        <v>29</v>
      </c>
      <c r="L1107" s="2">
        <v>9.91</v>
      </c>
      <c r="M1107" s="2" t="s">
        <v>40</v>
      </c>
      <c r="N1107" s="2">
        <v>95.79</v>
      </c>
      <c r="O1107" s="2" t="s">
        <v>24</v>
      </c>
      <c r="P1107" s="2">
        <v>4.3600000000000003</v>
      </c>
      <c r="Q1107" s="2">
        <v>14.94</v>
      </c>
      <c r="R1107" s="3">
        <f t="shared" si="85"/>
        <v>3075.1080000000002</v>
      </c>
      <c r="S1107" s="3">
        <f t="shared" si="86"/>
        <v>10537.181999999999</v>
      </c>
      <c r="T1107" s="3">
        <f t="shared" si="87"/>
        <v>7462.0739999999987</v>
      </c>
      <c r="U1107" s="4">
        <f t="shared" si="88"/>
        <v>0.70816599732262375</v>
      </c>
      <c r="V1107" s="5">
        <f t="shared" si="89"/>
        <v>69.895229999999998</v>
      </c>
    </row>
    <row r="1108" spans="1:22" x14ac:dyDescent="0.25">
      <c r="A1108" s="2" t="s">
        <v>1142</v>
      </c>
      <c r="B1108" s="2" t="s">
        <v>32</v>
      </c>
      <c r="C1108" s="2" t="s">
        <v>33</v>
      </c>
      <c r="D1108" s="2" t="s">
        <v>28</v>
      </c>
      <c r="E1108" s="2">
        <v>608.88</v>
      </c>
      <c r="F1108" s="2">
        <v>10.48</v>
      </c>
      <c r="G1108" s="2">
        <v>39.86</v>
      </c>
      <c r="H1108" s="2">
        <v>0.3</v>
      </c>
      <c r="I1108" s="2">
        <v>0.3</v>
      </c>
      <c r="J1108" s="2">
        <v>22</v>
      </c>
      <c r="K1108" s="2" t="s">
        <v>29</v>
      </c>
      <c r="L1108" s="2">
        <v>5.8</v>
      </c>
      <c r="M1108" s="2" t="s">
        <v>40</v>
      </c>
      <c r="N1108" s="2">
        <v>70.31</v>
      </c>
      <c r="O1108" s="2" t="s">
        <v>30</v>
      </c>
      <c r="P1108" s="2">
        <v>4.88</v>
      </c>
      <c r="Q1108" s="2">
        <v>8.42</v>
      </c>
      <c r="R1108" s="3">
        <f t="shared" si="85"/>
        <v>2971.3343999999997</v>
      </c>
      <c r="S1108" s="3">
        <f t="shared" si="86"/>
        <v>5126.7695999999996</v>
      </c>
      <c r="T1108" s="3">
        <f t="shared" si="87"/>
        <v>2155.4351999999999</v>
      </c>
      <c r="U1108" s="4">
        <f t="shared" si="88"/>
        <v>0.42042755344418054</v>
      </c>
      <c r="V1108" s="5">
        <f t="shared" si="89"/>
        <v>35.315039999999996</v>
      </c>
    </row>
    <row r="1109" spans="1:22" x14ac:dyDescent="0.25">
      <c r="A1109" s="2" t="s">
        <v>1143</v>
      </c>
      <c r="B1109" s="2" t="s">
        <v>45</v>
      </c>
      <c r="C1109" s="2" t="s">
        <v>27</v>
      </c>
      <c r="D1109" s="2" t="s">
        <v>20</v>
      </c>
      <c r="E1109" s="2">
        <v>462.37</v>
      </c>
      <c r="F1109" s="2">
        <v>8.36</v>
      </c>
      <c r="G1109" s="2">
        <v>22.12</v>
      </c>
      <c r="H1109" s="2">
        <v>0.9</v>
      </c>
      <c r="I1109" s="2">
        <v>0.3</v>
      </c>
      <c r="J1109" s="2">
        <v>10</v>
      </c>
      <c r="K1109" s="2" t="s">
        <v>29</v>
      </c>
      <c r="L1109" s="2">
        <v>0.83</v>
      </c>
      <c r="M1109" s="2" t="s">
        <v>22</v>
      </c>
      <c r="N1109" s="2">
        <v>56.41</v>
      </c>
      <c r="O1109" s="2" t="s">
        <v>30</v>
      </c>
      <c r="P1109" s="2">
        <v>8.75</v>
      </c>
      <c r="Q1109" s="2">
        <v>8.44</v>
      </c>
      <c r="R1109" s="3">
        <f t="shared" si="85"/>
        <v>4045.7375000000002</v>
      </c>
      <c r="S1109" s="3">
        <f t="shared" si="86"/>
        <v>3902.4027999999998</v>
      </c>
      <c r="T1109" s="3">
        <f t="shared" si="87"/>
        <v>-143.33470000000034</v>
      </c>
      <c r="U1109" s="4">
        <f t="shared" si="88"/>
        <v>-3.6729857819905301E-2</v>
      </c>
      <c r="V1109" s="5">
        <f t="shared" si="89"/>
        <v>3.8376709999999998</v>
      </c>
    </row>
    <row r="1110" spans="1:22" x14ac:dyDescent="0.25">
      <c r="A1110" s="2" t="s">
        <v>1144</v>
      </c>
      <c r="B1110" s="2" t="s">
        <v>45</v>
      </c>
      <c r="C1110" s="2" t="s">
        <v>43</v>
      </c>
      <c r="D1110" s="2" t="s">
        <v>20</v>
      </c>
      <c r="E1110" s="2">
        <v>501.88</v>
      </c>
      <c r="F1110" s="2">
        <v>9.02</v>
      </c>
      <c r="G1110" s="2">
        <v>24.66</v>
      </c>
      <c r="H1110" s="2">
        <v>1</v>
      </c>
      <c r="I1110" s="2">
        <v>2.4</v>
      </c>
      <c r="J1110" s="2">
        <v>29</v>
      </c>
      <c r="K1110" s="2" t="s">
        <v>29</v>
      </c>
      <c r="L1110" s="2">
        <v>6.1</v>
      </c>
      <c r="M1110" s="2" t="s">
        <v>22</v>
      </c>
      <c r="N1110" s="2">
        <v>61.19</v>
      </c>
      <c r="O1110" s="2" t="s">
        <v>23</v>
      </c>
      <c r="P1110" s="2">
        <v>4.1399999999999997</v>
      </c>
      <c r="Q1110" s="2">
        <v>6.34</v>
      </c>
      <c r="R1110" s="3">
        <f t="shared" si="85"/>
        <v>2077.7831999999999</v>
      </c>
      <c r="S1110" s="3">
        <f t="shared" si="86"/>
        <v>3181.9191999999998</v>
      </c>
      <c r="T1110" s="3">
        <f t="shared" si="87"/>
        <v>1104.136</v>
      </c>
      <c r="U1110" s="4">
        <f t="shared" si="88"/>
        <v>0.3470031545741325</v>
      </c>
      <c r="V1110" s="5">
        <f t="shared" si="89"/>
        <v>30.61468</v>
      </c>
    </row>
    <row r="1111" spans="1:22" x14ac:dyDescent="0.25">
      <c r="A1111" s="2" t="s">
        <v>1145</v>
      </c>
      <c r="B1111" s="2" t="s">
        <v>18</v>
      </c>
      <c r="C1111" s="2" t="s">
        <v>33</v>
      </c>
      <c r="D1111" s="2" t="s">
        <v>28</v>
      </c>
      <c r="E1111" s="2">
        <v>382.83</v>
      </c>
      <c r="F1111" s="2">
        <v>15.28</v>
      </c>
      <c r="G1111" s="2">
        <v>39.01</v>
      </c>
      <c r="H1111" s="2">
        <v>1.4</v>
      </c>
      <c r="I1111" s="2">
        <v>1</v>
      </c>
      <c r="J1111" s="2">
        <v>11</v>
      </c>
      <c r="K1111" s="2" t="s">
        <v>34</v>
      </c>
      <c r="L1111" s="2">
        <v>4.6500000000000004</v>
      </c>
      <c r="M1111" s="2" t="s">
        <v>40</v>
      </c>
      <c r="N1111" s="2">
        <v>86.81</v>
      </c>
      <c r="O1111" s="2" t="s">
        <v>24</v>
      </c>
      <c r="P1111" s="2">
        <v>8.4600000000000009</v>
      </c>
      <c r="Q1111" s="2">
        <v>11.74</v>
      </c>
      <c r="R1111" s="3">
        <f t="shared" si="85"/>
        <v>3238.7418000000002</v>
      </c>
      <c r="S1111" s="3">
        <f t="shared" si="86"/>
        <v>4494.4241999999995</v>
      </c>
      <c r="T1111" s="3">
        <f t="shared" si="87"/>
        <v>1255.6823999999992</v>
      </c>
      <c r="U1111" s="4">
        <f t="shared" si="88"/>
        <v>0.27938671209540022</v>
      </c>
      <c r="V1111" s="5">
        <f t="shared" si="89"/>
        <v>17.801594999999999</v>
      </c>
    </row>
    <row r="1112" spans="1:22" x14ac:dyDescent="0.25">
      <c r="A1112" s="2" t="s">
        <v>1146</v>
      </c>
      <c r="B1112" s="2" t="s">
        <v>32</v>
      </c>
      <c r="C1112" s="2" t="s">
        <v>43</v>
      </c>
      <c r="D1112" s="2" t="s">
        <v>28</v>
      </c>
      <c r="E1112" s="2">
        <v>669.57</v>
      </c>
      <c r="F1112" s="2">
        <v>10</v>
      </c>
      <c r="G1112" s="2">
        <v>39.17</v>
      </c>
      <c r="H1112" s="2">
        <v>5.3</v>
      </c>
      <c r="I1112" s="2">
        <v>0.1</v>
      </c>
      <c r="J1112" s="2">
        <v>29</v>
      </c>
      <c r="K1112" s="2" t="s">
        <v>21</v>
      </c>
      <c r="L1112" s="2">
        <v>0.73</v>
      </c>
      <c r="M1112" s="2" t="s">
        <v>37</v>
      </c>
      <c r="N1112" s="2">
        <v>83.87</v>
      </c>
      <c r="O1112" s="2" t="s">
        <v>30</v>
      </c>
      <c r="P1112" s="2">
        <v>7.73</v>
      </c>
      <c r="Q1112" s="2">
        <v>11.47</v>
      </c>
      <c r="R1112" s="3">
        <f t="shared" si="85"/>
        <v>5175.776100000001</v>
      </c>
      <c r="S1112" s="3">
        <f t="shared" si="86"/>
        <v>7679.9679000000006</v>
      </c>
      <c r="T1112" s="3">
        <f t="shared" si="87"/>
        <v>2504.1917999999996</v>
      </c>
      <c r="U1112" s="4">
        <f t="shared" si="88"/>
        <v>0.32606800348735826</v>
      </c>
      <c r="V1112" s="5">
        <f t="shared" si="89"/>
        <v>4.887861</v>
      </c>
    </row>
    <row r="1113" spans="1:22" x14ac:dyDescent="0.25">
      <c r="A1113" s="2" t="s">
        <v>1147</v>
      </c>
      <c r="B1113" s="2" t="s">
        <v>32</v>
      </c>
      <c r="C1113" s="2" t="s">
        <v>19</v>
      </c>
      <c r="D1113" s="2" t="s">
        <v>28</v>
      </c>
      <c r="E1113" s="2">
        <v>689.73</v>
      </c>
      <c r="F1113" s="2">
        <v>11.71</v>
      </c>
      <c r="G1113" s="2">
        <v>21.95</v>
      </c>
      <c r="H1113" s="2">
        <v>4.0999999999999996</v>
      </c>
      <c r="I1113" s="2">
        <v>0.1</v>
      </c>
      <c r="J1113" s="2">
        <v>6</v>
      </c>
      <c r="K1113" s="2" t="s">
        <v>21</v>
      </c>
      <c r="L1113" s="2">
        <v>9.2799999999999994</v>
      </c>
      <c r="M1113" s="2" t="s">
        <v>37</v>
      </c>
      <c r="N1113" s="2">
        <v>98.36</v>
      </c>
      <c r="O1113" s="2" t="s">
        <v>23</v>
      </c>
      <c r="P1113" s="2">
        <v>5.29</v>
      </c>
      <c r="Q1113" s="2">
        <v>6.01</v>
      </c>
      <c r="R1113" s="3">
        <f t="shared" si="85"/>
        <v>3648.6717000000003</v>
      </c>
      <c r="S1113" s="3">
        <f t="shared" si="86"/>
        <v>4145.2772999999997</v>
      </c>
      <c r="T1113" s="3">
        <f t="shared" si="87"/>
        <v>496.60559999999941</v>
      </c>
      <c r="U1113" s="4">
        <f t="shared" si="88"/>
        <v>0.11980033277870203</v>
      </c>
      <c r="V1113" s="5">
        <f t="shared" si="89"/>
        <v>64.00694399999999</v>
      </c>
    </row>
    <row r="1114" spans="1:22" x14ac:dyDescent="0.25">
      <c r="A1114" s="2" t="s">
        <v>1148</v>
      </c>
      <c r="B1114" s="2" t="s">
        <v>26</v>
      </c>
      <c r="C1114" s="2" t="s">
        <v>33</v>
      </c>
      <c r="D1114" s="2" t="s">
        <v>28</v>
      </c>
      <c r="E1114" s="2">
        <v>515.66999999999996</v>
      </c>
      <c r="F1114" s="2">
        <v>13.02</v>
      </c>
      <c r="G1114" s="2">
        <v>20.3</v>
      </c>
      <c r="H1114" s="2">
        <v>0.3</v>
      </c>
      <c r="I1114" s="2">
        <v>0.2</v>
      </c>
      <c r="J1114" s="2">
        <v>2</v>
      </c>
      <c r="K1114" s="2" t="s">
        <v>29</v>
      </c>
      <c r="L1114" s="2">
        <v>0.6</v>
      </c>
      <c r="M1114" s="2" t="s">
        <v>37</v>
      </c>
      <c r="N1114" s="2">
        <v>50.72</v>
      </c>
      <c r="O1114" s="2" t="s">
        <v>24</v>
      </c>
      <c r="P1114" s="2">
        <v>6.83</v>
      </c>
      <c r="Q1114" s="2">
        <v>9.67</v>
      </c>
      <c r="R1114" s="3">
        <f t="shared" si="85"/>
        <v>3522.0260999999996</v>
      </c>
      <c r="S1114" s="3">
        <f t="shared" si="86"/>
        <v>4986.5288999999993</v>
      </c>
      <c r="T1114" s="3">
        <f t="shared" si="87"/>
        <v>1464.5027999999998</v>
      </c>
      <c r="U1114" s="4">
        <f t="shared" si="88"/>
        <v>0.29369183040330921</v>
      </c>
      <c r="V1114" s="5">
        <f t="shared" si="89"/>
        <v>3.09402</v>
      </c>
    </row>
    <row r="1115" spans="1:22" x14ac:dyDescent="0.25">
      <c r="A1115" s="2" t="s">
        <v>1149</v>
      </c>
      <c r="B1115" s="2" t="s">
        <v>18</v>
      </c>
      <c r="C1115" s="2" t="s">
        <v>27</v>
      </c>
      <c r="D1115" s="2" t="s">
        <v>20</v>
      </c>
      <c r="E1115" s="2">
        <v>602.35</v>
      </c>
      <c r="F1115" s="2">
        <v>15.25</v>
      </c>
      <c r="G1115" s="2">
        <v>23.22</v>
      </c>
      <c r="H1115" s="2">
        <v>0.4</v>
      </c>
      <c r="I1115" s="2">
        <v>1</v>
      </c>
      <c r="J1115" s="2">
        <v>1</v>
      </c>
      <c r="K1115" s="2" t="s">
        <v>34</v>
      </c>
      <c r="L1115" s="2">
        <v>5.99</v>
      </c>
      <c r="M1115" s="2" t="s">
        <v>37</v>
      </c>
      <c r="N1115" s="2">
        <v>87.54</v>
      </c>
      <c r="O1115" s="2" t="s">
        <v>23</v>
      </c>
      <c r="P1115" s="2">
        <v>6.11</v>
      </c>
      <c r="Q1115" s="2">
        <v>11.67</v>
      </c>
      <c r="R1115" s="3">
        <f t="shared" si="85"/>
        <v>3680.3585000000003</v>
      </c>
      <c r="S1115" s="3">
        <f t="shared" si="86"/>
        <v>7029.4245000000001</v>
      </c>
      <c r="T1115" s="3">
        <f t="shared" si="87"/>
        <v>3349.0659999999998</v>
      </c>
      <c r="U1115" s="4">
        <f t="shared" si="88"/>
        <v>0.47643530419880031</v>
      </c>
      <c r="V1115" s="5">
        <f t="shared" si="89"/>
        <v>36.080765</v>
      </c>
    </row>
    <row r="1116" spans="1:22" x14ac:dyDescent="0.25">
      <c r="A1116" s="2" t="s">
        <v>1150</v>
      </c>
      <c r="B1116" s="2" t="s">
        <v>18</v>
      </c>
      <c r="C1116" s="2" t="s">
        <v>33</v>
      </c>
      <c r="D1116" s="2" t="s">
        <v>20</v>
      </c>
      <c r="E1116" s="2">
        <v>517.53</v>
      </c>
      <c r="F1116" s="2">
        <v>9.1300000000000008</v>
      </c>
      <c r="G1116" s="2">
        <v>39.92</v>
      </c>
      <c r="H1116" s="2">
        <v>0.9</v>
      </c>
      <c r="I1116" s="2">
        <v>1.3</v>
      </c>
      <c r="J1116" s="2">
        <v>11</v>
      </c>
      <c r="K1116" s="2" t="s">
        <v>29</v>
      </c>
      <c r="L1116" s="2">
        <v>9.64</v>
      </c>
      <c r="M1116" s="2" t="s">
        <v>22</v>
      </c>
      <c r="N1116" s="2">
        <v>75.290000000000006</v>
      </c>
      <c r="O1116" s="2" t="s">
        <v>24</v>
      </c>
      <c r="P1116" s="2">
        <v>3.9</v>
      </c>
      <c r="Q1116" s="2">
        <v>9.94</v>
      </c>
      <c r="R1116" s="3">
        <f t="shared" si="85"/>
        <v>2018.3669999999997</v>
      </c>
      <c r="S1116" s="3">
        <f t="shared" si="86"/>
        <v>5144.2481999999991</v>
      </c>
      <c r="T1116" s="3">
        <f t="shared" si="87"/>
        <v>3125.8811999999994</v>
      </c>
      <c r="U1116" s="4">
        <f t="shared" si="88"/>
        <v>0.60764587525150904</v>
      </c>
      <c r="V1116" s="5">
        <f t="shared" si="89"/>
        <v>49.889892000000003</v>
      </c>
    </row>
    <row r="1117" spans="1:22" x14ac:dyDescent="0.25">
      <c r="A1117" s="2" t="s">
        <v>1151</v>
      </c>
      <c r="B1117" s="2" t="s">
        <v>18</v>
      </c>
      <c r="C1117" s="2" t="s">
        <v>43</v>
      </c>
      <c r="D1117" s="2" t="s">
        <v>20</v>
      </c>
      <c r="E1117" s="2">
        <v>366.33</v>
      </c>
      <c r="F1117" s="2">
        <v>12.06</v>
      </c>
      <c r="G1117" s="2">
        <v>23.6</v>
      </c>
      <c r="H1117" s="2">
        <v>0.7</v>
      </c>
      <c r="I1117" s="2">
        <v>2</v>
      </c>
      <c r="J1117" s="2">
        <v>16</v>
      </c>
      <c r="K1117" s="2" t="s">
        <v>21</v>
      </c>
      <c r="L1117" s="2">
        <v>2.76</v>
      </c>
      <c r="M1117" s="2" t="s">
        <v>22</v>
      </c>
      <c r="N1117" s="2">
        <v>95.13</v>
      </c>
      <c r="O1117" s="2" t="s">
        <v>23</v>
      </c>
      <c r="P1117" s="2">
        <v>9.35</v>
      </c>
      <c r="Q1117" s="2">
        <v>11.74</v>
      </c>
      <c r="R1117" s="3">
        <f t="shared" si="85"/>
        <v>3425.1854999999996</v>
      </c>
      <c r="S1117" s="3">
        <f t="shared" si="86"/>
        <v>4300.7141999999994</v>
      </c>
      <c r="T1117" s="3">
        <f t="shared" si="87"/>
        <v>875.52869999999984</v>
      </c>
      <c r="U1117" s="4">
        <f t="shared" si="88"/>
        <v>0.20357751277683134</v>
      </c>
      <c r="V1117" s="5">
        <f t="shared" si="89"/>
        <v>10.110707999999999</v>
      </c>
    </row>
    <row r="1118" spans="1:22" x14ac:dyDescent="0.25">
      <c r="A1118" s="2" t="s">
        <v>1152</v>
      </c>
      <c r="B1118" s="2" t="s">
        <v>18</v>
      </c>
      <c r="C1118" s="2" t="s">
        <v>43</v>
      </c>
      <c r="D1118" s="2" t="s">
        <v>20</v>
      </c>
      <c r="E1118" s="2">
        <v>458.82</v>
      </c>
      <c r="F1118" s="2">
        <v>12.85</v>
      </c>
      <c r="G1118" s="2">
        <v>30.05</v>
      </c>
      <c r="H1118" s="2">
        <v>1.9</v>
      </c>
      <c r="I1118" s="2">
        <v>2.8</v>
      </c>
      <c r="J1118" s="2">
        <v>3</v>
      </c>
      <c r="K1118" s="2" t="s">
        <v>21</v>
      </c>
      <c r="L1118" s="2">
        <v>2.91</v>
      </c>
      <c r="M1118" s="2" t="s">
        <v>22</v>
      </c>
      <c r="N1118" s="2">
        <v>78.81</v>
      </c>
      <c r="O1118" s="2" t="s">
        <v>23</v>
      </c>
      <c r="P1118" s="2">
        <v>6.99</v>
      </c>
      <c r="Q1118" s="2">
        <v>13.16</v>
      </c>
      <c r="R1118" s="3">
        <f t="shared" si="85"/>
        <v>3207.1518000000001</v>
      </c>
      <c r="S1118" s="3">
        <f t="shared" si="86"/>
        <v>6038.0712000000003</v>
      </c>
      <c r="T1118" s="3">
        <f t="shared" si="87"/>
        <v>2830.9194000000002</v>
      </c>
      <c r="U1118" s="4">
        <f t="shared" si="88"/>
        <v>0.46884498480243164</v>
      </c>
      <c r="V1118" s="5">
        <f t="shared" si="89"/>
        <v>13.351662000000001</v>
      </c>
    </row>
    <row r="1119" spans="1:22" x14ac:dyDescent="0.25">
      <c r="A1119" s="2" t="s">
        <v>1153</v>
      </c>
      <c r="B1119" s="2" t="s">
        <v>32</v>
      </c>
      <c r="C1119" s="2" t="s">
        <v>33</v>
      </c>
      <c r="D1119" s="2" t="s">
        <v>28</v>
      </c>
      <c r="E1119" s="2">
        <v>513.19000000000005</v>
      </c>
      <c r="F1119" s="2">
        <v>13.41</v>
      </c>
      <c r="G1119" s="2">
        <v>36.97</v>
      </c>
      <c r="H1119" s="2">
        <v>4.7</v>
      </c>
      <c r="I1119" s="2">
        <v>0.2</v>
      </c>
      <c r="J1119" s="2">
        <v>5</v>
      </c>
      <c r="K1119" s="2" t="s">
        <v>34</v>
      </c>
      <c r="L1119" s="2">
        <v>0.5</v>
      </c>
      <c r="M1119" s="2" t="s">
        <v>37</v>
      </c>
      <c r="N1119" s="2">
        <v>72.33</v>
      </c>
      <c r="O1119" s="2" t="s">
        <v>23</v>
      </c>
      <c r="P1119" s="2">
        <v>9.16</v>
      </c>
      <c r="Q1119" s="2">
        <v>11.86</v>
      </c>
      <c r="R1119" s="3">
        <f t="shared" si="85"/>
        <v>4700.8204000000005</v>
      </c>
      <c r="S1119" s="3">
        <f t="shared" si="86"/>
        <v>6086.4334000000008</v>
      </c>
      <c r="T1119" s="3">
        <f t="shared" si="87"/>
        <v>1385.6130000000003</v>
      </c>
      <c r="U1119" s="4">
        <f t="shared" si="88"/>
        <v>0.22765598650927488</v>
      </c>
      <c r="V1119" s="5">
        <f t="shared" si="89"/>
        <v>2.5659500000000004</v>
      </c>
    </row>
    <row r="1120" spans="1:22" x14ac:dyDescent="0.25">
      <c r="A1120" s="2" t="s">
        <v>1154</v>
      </c>
      <c r="B1120" s="2" t="s">
        <v>32</v>
      </c>
      <c r="C1120" s="2" t="s">
        <v>27</v>
      </c>
      <c r="D1120" s="2" t="s">
        <v>28</v>
      </c>
      <c r="E1120" s="2">
        <v>454.55</v>
      </c>
      <c r="F1120" s="2">
        <v>16.18</v>
      </c>
      <c r="G1120" s="2">
        <v>20.41</v>
      </c>
      <c r="H1120" s="2">
        <v>6.6</v>
      </c>
      <c r="I1120" s="2">
        <v>0.4</v>
      </c>
      <c r="J1120" s="2">
        <v>15</v>
      </c>
      <c r="K1120" s="2" t="s">
        <v>21</v>
      </c>
      <c r="L1120" s="2">
        <v>1.1299999999999999</v>
      </c>
      <c r="M1120" s="2" t="s">
        <v>40</v>
      </c>
      <c r="N1120" s="2">
        <v>83.29</v>
      </c>
      <c r="O1120" s="2" t="s">
        <v>30</v>
      </c>
      <c r="P1120" s="2">
        <v>8.77</v>
      </c>
      <c r="Q1120" s="2">
        <v>11.16</v>
      </c>
      <c r="R1120" s="3">
        <f t="shared" si="85"/>
        <v>3986.4034999999999</v>
      </c>
      <c r="S1120" s="3">
        <f t="shared" si="86"/>
        <v>5072.7780000000002</v>
      </c>
      <c r="T1120" s="3">
        <f t="shared" si="87"/>
        <v>1086.3745000000004</v>
      </c>
      <c r="U1120" s="4">
        <f t="shared" si="88"/>
        <v>0.21415770609319001</v>
      </c>
      <c r="V1120" s="5">
        <f t="shared" si="89"/>
        <v>5.1364149999999995</v>
      </c>
    </row>
    <row r="1121" spans="1:22" x14ac:dyDescent="0.25">
      <c r="A1121" s="2" t="s">
        <v>1155</v>
      </c>
      <c r="B1121" s="2" t="s">
        <v>45</v>
      </c>
      <c r="C1121" s="2" t="s">
        <v>27</v>
      </c>
      <c r="D1121" s="2" t="s">
        <v>20</v>
      </c>
      <c r="E1121" s="2">
        <v>478.13</v>
      </c>
      <c r="F1121" s="2">
        <v>9.7200000000000006</v>
      </c>
      <c r="G1121" s="2">
        <v>32.090000000000003</v>
      </c>
      <c r="H1121" s="2">
        <v>2.1</v>
      </c>
      <c r="I1121" s="2">
        <v>0.3</v>
      </c>
      <c r="J1121" s="2">
        <v>15</v>
      </c>
      <c r="K1121" s="2" t="s">
        <v>29</v>
      </c>
      <c r="L1121" s="2">
        <v>0.93</v>
      </c>
      <c r="M1121" s="2" t="s">
        <v>37</v>
      </c>
      <c r="N1121" s="2">
        <v>91.68</v>
      </c>
      <c r="O1121" s="2" t="s">
        <v>30</v>
      </c>
      <c r="P1121" s="2">
        <v>3.56</v>
      </c>
      <c r="Q1121" s="2">
        <v>13.54</v>
      </c>
      <c r="R1121" s="3">
        <f t="shared" si="85"/>
        <v>1702.1428000000001</v>
      </c>
      <c r="S1121" s="3">
        <f t="shared" si="86"/>
        <v>6473.8801999999996</v>
      </c>
      <c r="T1121" s="3">
        <f t="shared" si="87"/>
        <v>4771.7374</v>
      </c>
      <c r="U1121" s="4">
        <f t="shared" si="88"/>
        <v>0.73707533234859679</v>
      </c>
      <c r="V1121" s="5">
        <f t="shared" si="89"/>
        <v>4.4466090000000005</v>
      </c>
    </row>
    <row r="1122" spans="1:22" x14ac:dyDescent="0.25">
      <c r="A1122" s="2" t="s">
        <v>1156</v>
      </c>
      <c r="B1122" s="2" t="s">
        <v>45</v>
      </c>
      <c r="C1122" s="2" t="s">
        <v>27</v>
      </c>
      <c r="D1122" s="2" t="s">
        <v>20</v>
      </c>
      <c r="E1122" s="2">
        <v>490.86</v>
      </c>
      <c r="F1122" s="2">
        <v>16.079999999999998</v>
      </c>
      <c r="G1122" s="2">
        <v>25.54</v>
      </c>
      <c r="H1122" s="2">
        <v>3.6</v>
      </c>
      <c r="I1122" s="2">
        <v>0.4</v>
      </c>
      <c r="J1122" s="2">
        <v>4</v>
      </c>
      <c r="K1122" s="2" t="s">
        <v>34</v>
      </c>
      <c r="L1122" s="2">
        <v>8.32</v>
      </c>
      <c r="M1122" s="2" t="s">
        <v>22</v>
      </c>
      <c r="N1122" s="2">
        <v>64.12</v>
      </c>
      <c r="O1122" s="2" t="s">
        <v>23</v>
      </c>
      <c r="P1122" s="2">
        <v>4.45</v>
      </c>
      <c r="Q1122" s="2">
        <v>14.01</v>
      </c>
      <c r="R1122" s="3">
        <f t="shared" si="85"/>
        <v>2184.3270000000002</v>
      </c>
      <c r="S1122" s="3">
        <f t="shared" si="86"/>
        <v>6876.9485999999997</v>
      </c>
      <c r="T1122" s="3">
        <f t="shared" si="87"/>
        <v>4692.6215999999995</v>
      </c>
      <c r="U1122" s="4">
        <f t="shared" si="88"/>
        <v>0.68236973590292649</v>
      </c>
      <c r="V1122" s="5">
        <f t="shared" si="89"/>
        <v>40.839552000000005</v>
      </c>
    </row>
    <row r="1123" spans="1:22" x14ac:dyDescent="0.25">
      <c r="A1123" s="2" t="s">
        <v>1157</v>
      </c>
      <c r="B1123" s="2" t="s">
        <v>18</v>
      </c>
      <c r="C1123" s="2" t="s">
        <v>43</v>
      </c>
      <c r="D1123" s="2" t="s">
        <v>20</v>
      </c>
      <c r="E1123" s="2">
        <v>491.91</v>
      </c>
      <c r="F1123" s="2">
        <v>14.93</v>
      </c>
      <c r="G1123" s="2">
        <v>37.25</v>
      </c>
      <c r="H1123" s="2">
        <v>1.5</v>
      </c>
      <c r="I1123" s="2">
        <v>2.5</v>
      </c>
      <c r="J1123" s="2">
        <v>23</v>
      </c>
      <c r="K1123" s="2" t="s">
        <v>21</v>
      </c>
      <c r="L1123" s="2">
        <v>8.4499999999999993</v>
      </c>
      <c r="M1123" s="2" t="s">
        <v>37</v>
      </c>
      <c r="N1123" s="2">
        <v>55.38</v>
      </c>
      <c r="O1123" s="2" t="s">
        <v>24</v>
      </c>
      <c r="P1123" s="2">
        <v>4.0199999999999996</v>
      </c>
      <c r="Q1123" s="2">
        <v>8.89</v>
      </c>
      <c r="R1123" s="3">
        <f t="shared" si="85"/>
        <v>1977.4781999999998</v>
      </c>
      <c r="S1123" s="3">
        <f t="shared" si="86"/>
        <v>4373.0799000000006</v>
      </c>
      <c r="T1123" s="3">
        <f t="shared" si="87"/>
        <v>2395.6017000000011</v>
      </c>
      <c r="U1123" s="4">
        <f t="shared" si="88"/>
        <v>0.54780652418447706</v>
      </c>
      <c r="V1123" s="5">
        <f t="shared" si="89"/>
        <v>41.566395</v>
      </c>
    </row>
    <row r="1124" spans="1:22" x14ac:dyDescent="0.25">
      <c r="A1124" s="2" t="s">
        <v>1158</v>
      </c>
      <c r="B1124" s="2" t="s">
        <v>18</v>
      </c>
      <c r="C1124" s="2" t="s">
        <v>33</v>
      </c>
      <c r="D1124" s="2" t="s">
        <v>20</v>
      </c>
      <c r="E1124" s="2">
        <v>505.23</v>
      </c>
      <c r="F1124" s="2">
        <v>13.56</v>
      </c>
      <c r="G1124" s="2">
        <v>25.67</v>
      </c>
      <c r="H1124" s="2">
        <v>0.5</v>
      </c>
      <c r="I1124" s="2">
        <v>0.9</v>
      </c>
      <c r="J1124" s="2">
        <v>4</v>
      </c>
      <c r="K1124" s="2" t="s">
        <v>29</v>
      </c>
      <c r="L1124" s="2">
        <v>7.4</v>
      </c>
      <c r="M1124" s="2" t="s">
        <v>40</v>
      </c>
      <c r="N1124" s="2">
        <v>71.650000000000006</v>
      </c>
      <c r="O1124" s="2" t="s">
        <v>23</v>
      </c>
      <c r="P1124" s="2">
        <v>8.82</v>
      </c>
      <c r="Q1124" s="2">
        <v>6.73</v>
      </c>
      <c r="R1124" s="3">
        <f t="shared" si="85"/>
        <v>4456.1286</v>
      </c>
      <c r="S1124" s="3">
        <f t="shared" si="86"/>
        <v>3400.1979000000001</v>
      </c>
      <c r="T1124" s="3">
        <f t="shared" si="87"/>
        <v>-1055.9306999999999</v>
      </c>
      <c r="U1124" s="4">
        <f t="shared" si="88"/>
        <v>-0.3105497771173848</v>
      </c>
      <c r="V1124" s="5">
        <f t="shared" si="89"/>
        <v>37.38702</v>
      </c>
    </row>
    <row r="1125" spans="1:22" x14ac:dyDescent="0.25">
      <c r="A1125" s="2" t="s">
        <v>1159</v>
      </c>
      <c r="B1125" s="2" t="s">
        <v>18</v>
      </c>
      <c r="C1125" s="2" t="s">
        <v>19</v>
      </c>
      <c r="D1125" s="2" t="s">
        <v>20</v>
      </c>
      <c r="E1125" s="2">
        <v>393.94</v>
      </c>
      <c r="F1125" s="2">
        <v>15</v>
      </c>
      <c r="G1125" s="2">
        <v>33.74</v>
      </c>
      <c r="H1125" s="2">
        <v>1.5</v>
      </c>
      <c r="I1125" s="2">
        <v>1.3</v>
      </c>
      <c r="J1125" s="2">
        <v>8</v>
      </c>
      <c r="K1125" s="2" t="s">
        <v>34</v>
      </c>
      <c r="L1125" s="2">
        <v>3.85</v>
      </c>
      <c r="M1125" s="2" t="s">
        <v>40</v>
      </c>
      <c r="N1125" s="2">
        <v>60.73</v>
      </c>
      <c r="O1125" s="2" t="s">
        <v>30</v>
      </c>
      <c r="P1125" s="2">
        <v>9.0399999999999991</v>
      </c>
      <c r="Q1125" s="2">
        <v>13.18</v>
      </c>
      <c r="R1125" s="3">
        <f t="shared" si="85"/>
        <v>3561.2175999999995</v>
      </c>
      <c r="S1125" s="3">
        <f t="shared" si="86"/>
        <v>5192.1292000000003</v>
      </c>
      <c r="T1125" s="3">
        <f t="shared" si="87"/>
        <v>1630.9116000000008</v>
      </c>
      <c r="U1125" s="4">
        <f t="shared" si="88"/>
        <v>0.31411229135053126</v>
      </c>
      <c r="V1125" s="5">
        <f t="shared" si="89"/>
        <v>15.166690000000001</v>
      </c>
    </row>
    <row r="1126" spans="1:22" x14ac:dyDescent="0.25">
      <c r="A1126" s="2" t="s">
        <v>1160</v>
      </c>
      <c r="B1126" s="2" t="s">
        <v>45</v>
      </c>
      <c r="C1126" s="2" t="s">
        <v>43</v>
      </c>
      <c r="D1126" s="2" t="s">
        <v>20</v>
      </c>
      <c r="E1126" s="2">
        <v>428.3</v>
      </c>
      <c r="F1126" s="2">
        <v>12.12</v>
      </c>
      <c r="G1126" s="2">
        <v>33.479999999999997</v>
      </c>
      <c r="H1126" s="2">
        <v>1.6</v>
      </c>
      <c r="I1126" s="2">
        <v>0.7</v>
      </c>
      <c r="J1126" s="2">
        <v>7</v>
      </c>
      <c r="K1126" s="2" t="s">
        <v>29</v>
      </c>
      <c r="L1126" s="2">
        <v>8.3000000000000007</v>
      </c>
      <c r="M1126" s="2" t="s">
        <v>37</v>
      </c>
      <c r="N1126" s="2">
        <v>71.48</v>
      </c>
      <c r="O1126" s="2" t="s">
        <v>24</v>
      </c>
      <c r="P1126" s="2">
        <v>6.7</v>
      </c>
      <c r="Q1126" s="2">
        <v>7.14</v>
      </c>
      <c r="R1126" s="3">
        <f t="shared" si="85"/>
        <v>2869.61</v>
      </c>
      <c r="S1126" s="3">
        <f t="shared" si="86"/>
        <v>3058.0619999999999</v>
      </c>
      <c r="T1126" s="3">
        <f t="shared" si="87"/>
        <v>188.45199999999977</v>
      </c>
      <c r="U1126" s="4">
        <f t="shared" si="88"/>
        <v>6.1624649859943904E-2</v>
      </c>
      <c r="V1126" s="5">
        <f t="shared" si="89"/>
        <v>35.548900000000003</v>
      </c>
    </row>
    <row r="1127" spans="1:22" x14ac:dyDescent="0.25">
      <c r="A1127" s="2" t="s">
        <v>1161</v>
      </c>
      <c r="B1127" s="2" t="s">
        <v>26</v>
      </c>
      <c r="C1127" s="2" t="s">
        <v>27</v>
      </c>
      <c r="D1127" s="2" t="s">
        <v>20</v>
      </c>
      <c r="E1127" s="2">
        <v>371.54</v>
      </c>
      <c r="F1127" s="2">
        <v>9.3800000000000008</v>
      </c>
      <c r="G1127" s="2">
        <v>24.43</v>
      </c>
      <c r="H1127" s="2">
        <v>2.7</v>
      </c>
      <c r="I1127" s="2">
        <v>0</v>
      </c>
      <c r="J1127" s="2">
        <v>26</v>
      </c>
      <c r="K1127" s="2" t="s">
        <v>21</v>
      </c>
      <c r="L1127" s="2">
        <v>5.63</v>
      </c>
      <c r="M1127" s="2" t="s">
        <v>22</v>
      </c>
      <c r="N1127" s="2">
        <v>99.55</v>
      </c>
      <c r="O1127" s="2" t="s">
        <v>30</v>
      </c>
      <c r="P1127" s="2">
        <v>3.73</v>
      </c>
      <c r="Q1127" s="2">
        <v>14.29</v>
      </c>
      <c r="R1127" s="3">
        <f t="shared" si="85"/>
        <v>1385.8442</v>
      </c>
      <c r="S1127" s="3">
        <f t="shared" si="86"/>
        <v>5309.3065999999999</v>
      </c>
      <c r="T1127" s="3">
        <f t="shared" si="87"/>
        <v>3923.4623999999999</v>
      </c>
      <c r="U1127" s="4">
        <f t="shared" si="88"/>
        <v>0.73897830650804763</v>
      </c>
      <c r="V1127" s="5">
        <f t="shared" si="89"/>
        <v>20.917701999999998</v>
      </c>
    </row>
    <row r="1128" spans="1:22" x14ac:dyDescent="0.25">
      <c r="A1128" s="2" t="s">
        <v>1162</v>
      </c>
      <c r="B1128" s="2" t="s">
        <v>26</v>
      </c>
      <c r="C1128" s="2" t="s">
        <v>33</v>
      </c>
      <c r="D1128" s="2" t="s">
        <v>20</v>
      </c>
      <c r="E1128" s="2">
        <v>597.78</v>
      </c>
      <c r="F1128" s="2">
        <v>14.66</v>
      </c>
      <c r="G1128" s="2">
        <v>20.7</v>
      </c>
      <c r="H1128" s="2">
        <v>0.5</v>
      </c>
      <c r="I1128" s="2">
        <v>0.1</v>
      </c>
      <c r="J1128" s="2">
        <v>25</v>
      </c>
      <c r="K1128" s="2" t="s">
        <v>29</v>
      </c>
      <c r="L1128" s="2">
        <v>3.39</v>
      </c>
      <c r="M1128" s="2" t="s">
        <v>22</v>
      </c>
      <c r="N1128" s="2">
        <v>78.709999999999994</v>
      </c>
      <c r="O1128" s="2" t="s">
        <v>23</v>
      </c>
      <c r="P1128" s="2">
        <v>3.95</v>
      </c>
      <c r="Q1128" s="2">
        <v>5.23</v>
      </c>
      <c r="R1128" s="3">
        <f t="shared" si="85"/>
        <v>2361.2310000000002</v>
      </c>
      <c r="S1128" s="3">
        <f t="shared" si="86"/>
        <v>3126.3894</v>
      </c>
      <c r="T1128" s="3">
        <f t="shared" si="87"/>
        <v>765.1583999999998</v>
      </c>
      <c r="U1128" s="4">
        <f t="shared" si="88"/>
        <v>0.24474187380497125</v>
      </c>
      <c r="V1128" s="5">
        <f t="shared" si="89"/>
        <v>20.264741999999998</v>
      </c>
    </row>
    <row r="1129" spans="1:22" x14ac:dyDescent="0.25">
      <c r="A1129" s="2" t="s">
        <v>1163</v>
      </c>
      <c r="B1129" s="2" t="s">
        <v>45</v>
      </c>
      <c r="C1129" s="2" t="s">
        <v>27</v>
      </c>
      <c r="D1129" s="2" t="s">
        <v>20</v>
      </c>
      <c r="E1129" s="2">
        <v>289.44</v>
      </c>
      <c r="F1129" s="2">
        <v>13.25</v>
      </c>
      <c r="G1129" s="2">
        <v>28.18</v>
      </c>
      <c r="H1129" s="2">
        <v>0.9</v>
      </c>
      <c r="I1129" s="2">
        <v>0.8</v>
      </c>
      <c r="J1129" s="2">
        <v>17</v>
      </c>
      <c r="K1129" s="2" t="s">
        <v>34</v>
      </c>
      <c r="L1129" s="2">
        <v>4.6500000000000004</v>
      </c>
      <c r="M1129" s="2" t="s">
        <v>22</v>
      </c>
      <c r="N1129" s="2">
        <v>84.68</v>
      </c>
      <c r="O1129" s="2" t="s">
        <v>30</v>
      </c>
      <c r="P1129" s="2">
        <v>8.69</v>
      </c>
      <c r="Q1129" s="2">
        <v>14.21</v>
      </c>
      <c r="R1129" s="3">
        <f t="shared" si="85"/>
        <v>2515.2336</v>
      </c>
      <c r="S1129" s="3">
        <f t="shared" si="86"/>
        <v>4112.9423999999999</v>
      </c>
      <c r="T1129" s="3">
        <f t="shared" si="87"/>
        <v>1597.7087999999999</v>
      </c>
      <c r="U1129" s="4">
        <f t="shared" si="88"/>
        <v>0.38845883180858548</v>
      </c>
      <c r="V1129" s="5">
        <f t="shared" si="89"/>
        <v>13.458960000000001</v>
      </c>
    </row>
    <row r="1130" spans="1:22" x14ac:dyDescent="0.25">
      <c r="A1130" s="2" t="s">
        <v>1164</v>
      </c>
      <c r="B1130" s="2" t="s">
        <v>45</v>
      </c>
      <c r="C1130" s="2" t="s">
        <v>19</v>
      </c>
      <c r="D1130" s="2" t="s">
        <v>28</v>
      </c>
      <c r="E1130" s="2">
        <v>615.36</v>
      </c>
      <c r="F1130" s="2">
        <v>14.39</v>
      </c>
      <c r="G1130" s="2">
        <v>25.78</v>
      </c>
      <c r="H1130" s="2">
        <v>0.9</v>
      </c>
      <c r="I1130" s="2">
        <v>1.3</v>
      </c>
      <c r="J1130" s="2">
        <v>15</v>
      </c>
      <c r="K1130" s="2" t="s">
        <v>29</v>
      </c>
      <c r="L1130" s="2">
        <v>1.1200000000000001</v>
      </c>
      <c r="M1130" s="2" t="s">
        <v>37</v>
      </c>
      <c r="N1130" s="2">
        <v>83.9</v>
      </c>
      <c r="O1130" s="2" t="s">
        <v>30</v>
      </c>
      <c r="P1130" s="2">
        <v>9.5</v>
      </c>
      <c r="Q1130" s="2">
        <v>10.89</v>
      </c>
      <c r="R1130" s="3">
        <f t="shared" si="85"/>
        <v>5845.92</v>
      </c>
      <c r="S1130" s="3">
        <f t="shared" si="86"/>
        <v>6701.2704000000003</v>
      </c>
      <c r="T1130" s="3">
        <f t="shared" si="87"/>
        <v>855.35040000000026</v>
      </c>
      <c r="U1130" s="4">
        <f t="shared" si="88"/>
        <v>0.12764003673094584</v>
      </c>
      <c r="V1130" s="5">
        <f t="shared" si="89"/>
        <v>6.8920320000000004</v>
      </c>
    </row>
    <row r="1131" spans="1:22" x14ac:dyDescent="0.25">
      <c r="A1131" s="2" t="s">
        <v>1165</v>
      </c>
      <c r="B1131" s="2" t="s">
        <v>45</v>
      </c>
      <c r="C1131" s="2" t="s">
        <v>27</v>
      </c>
      <c r="D1131" s="2" t="s">
        <v>20</v>
      </c>
      <c r="E1131" s="2">
        <v>638.63</v>
      </c>
      <c r="F1131" s="2">
        <v>11.38</v>
      </c>
      <c r="G1131" s="2">
        <v>36.18</v>
      </c>
      <c r="H1131" s="2">
        <v>6.4</v>
      </c>
      <c r="I1131" s="2">
        <v>0.2</v>
      </c>
      <c r="J1131" s="2">
        <v>5</v>
      </c>
      <c r="K1131" s="2" t="s">
        <v>21</v>
      </c>
      <c r="L1131" s="2">
        <v>9.48</v>
      </c>
      <c r="M1131" s="2" t="s">
        <v>22</v>
      </c>
      <c r="N1131" s="2">
        <v>91.04</v>
      </c>
      <c r="O1131" s="2" t="s">
        <v>30</v>
      </c>
      <c r="P1131" s="2">
        <v>4.4000000000000004</v>
      </c>
      <c r="Q1131" s="2">
        <v>12.75</v>
      </c>
      <c r="R1131" s="3">
        <f t="shared" si="85"/>
        <v>2809.9720000000002</v>
      </c>
      <c r="S1131" s="3">
        <f t="shared" si="86"/>
        <v>8142.5325000000003</v>
      </c>
      <c r="T1131" s="3">
        <f t="shared" si="87"/>
        <v>5332.5604999999996</v>
      </c>
      <c r="U1131" s="4">
        <f t="shared" si="88"/>
        <v>0.65490196078431362</v>
      </c>
      <c r="V1131" s="5">
        <f t="shared" si="89"/>
        <v>60.542124000000001</v>
      </c>
    </row>
    <row r="1132" spans="1:22" x14ac:dyDescent="0.25">
      <c r="A1132" s="2" t="s">
        <v>1166</v>
      </c>
      <c r="B1132" s="2" t="s">
        <v>45</v>
      </c>
      <c r="C1132" s="2" t="s">
        <v>27</v>
      </c>
      <c r="D1132" s="2" t="s">
        <v>28</v>
      </c>
      <c r="E1132" s="2">
        <v>469.78</v>
      </c>
      <c r="F1132" s="2">
        <v>17.07</v>
      </c>
      <c r="G1132" s="2">
        <v>36.01</v>
      </c>
      <c r="H1132" s="2">
        <v>1.2</v>
      </c>
      <c r="I1132" s="2">
        <v>1.3</v>
      </c>
      <c r="J1132" s="2">
        <v>13</v>
      </c>
      <c r="K1132" s="2" t="s">
        <v>34</v>
      </c>
      <c r="L1132" s="2">
        <v>6.38</v>
      </c>
      <c r="M1132" s="2" t="s">
        <v>37</v>
      </c>
      <c r="N1132" s="2">
        <v>97.21</v>
      </c>
      <c r="O1132" s="2" t="s">
        <v>23</v>
      </c>
      <c r="P1132" s="2">
        <v>3.08</v>
      </c>
      <c r="Q1132" s="2">
        <v>8.98</v>
      </c>
      <c r="R1132" s="3">
        <f t="shared" si="85"/>
        <v>1446.9223999999999</v>
      </c>
      <c r="S1132" s="3">
        <f t="shared" si="86"/>
        <v>4218.6243999999997</v>
      </c>
      <c r="T1132" s="3">
        <f t="shared" si="87"/>
        <v>2771.7019999999998</v>
      </c>
      <c r="U1132" s="4">
        <f t="shared" si="88"/>
        <v>0.65701559020044542</v>
      </c>
      <c r="V1132" s="5">
        <f t="shared" si="89"/>
        <v>29.971964</v>
      </c>
    </row>
    <row r="1133" spans="1:22" x14ac:dyDescent="0.25">
      <c r="A1133" s="2" t="s">
        <v>1167</v>
      </c>
      <c r="B1133" s="2" t="s">
        <v>45</v>
      </c>
      <c r="C1133" s="2" t="s">
        <v>19</v>
      </c>
      <c r="D1133" s="2" t="s">
        <v>28</v>
      </c>
      <c r="E1133" s="2">
        <v>239.69</v>
      </c>
      <c r="F1133" s="2">
        <v>13.87</v>
      </c>
      <c r="G1133" s="2">
        <v>29.14</v>
      </c>
      <c r="H1133" s="2">
        <v>2.8</v>
      </c>
      <c r="I1133" s="2">
        <v>1.7</v>
      </c>
      <c r="J1133" s="2">
        <v>4</v>
      </c>
      <c r="K1133" s="2" t="s">
        <v>34</v>
      </c>
      <c r="L1133" s="2">
        <v>7.45</v>
      </c>
      <c r="M1133" s="2" t="s">
        <v>22</v>
      </c>
      <c r="N1133" s="2">
        <v>82.94</v>
      </c>
      <c r="O1133" s="2" t="s">
        <v>30</v>
      </c>
      <c r="P1133" s="2">
        <v>5.32</v>
      </c>
      <c r="Q1133" s="2">
        <v>14.92</v>
      </c>
      <c r="R1133" s="3">
        <f t="shared" si="85"/>
        <v>1275.1508000000001</v>
      </c>
      <c r="S1133" s="3">
        <f t="shared" si="86"/>
        <v>3576.1747999999998</v>
      </c>
      <c r="T1133" s="3">
        <f t="shared" si="87"/>
        <v>2301.0239999999994</v>
      </c>
      <c r="U1133" s="4">
        <f t="shared" si="88"/>
        <v>0.64343163538873982</v>
      </c>
      <c r="V1133" s="5">
        <f t="shared" si="89"/>
        <v>17.856904999999998</v>
      </c>
    </row>
    <row r="1134" spans="1:22" x14ac:dyDescent="0.25">
      <c r="A1134" s="2" t="s">
        <v>1168</v>
      </c>
      <c r="B1134" s="2" t="s">
        <v>45</v>
      </c>
      <c r="C1134" s="2" t="s">
        <v>33</v>
      </c>
      <c r="D1134" s="2" t="s">
        <v>20</v>
      </c>
      <c r="E1134" s="2">
        <v>463.87</v>
      </c>
      <c r="F1134" s="2">
        <v>8.85</v>
      </c>
      <c r="G1134" s="2">
        <v>32.130000000000003</v>
      </c>
      <c r="H1134" s="2">
        <v>2.8</v>
      </c>
      <c r="I1134" s="2">
        <v>0.5</v>
      </c>
      <c r="J1134" s="2">
        <v>22</v>
      </c>
      <c r="K1134" s="2" t="s">
        <v>21</v>
      </c>
      <c r="L1134" s="2">
        <v>6.93</v>
      </c>
      <c r="M1134" s="2" t="s">
        <v>40</v>
      </c>
      <c r="N1134" s="2">
        <v>73.8</v>
      </c>
      <c r="O1134" s="2" t="s">
        <v>23</v>
      </c>
      <c r="P1134" s="2">
        <v>3.21</v>
      </c>
      <c r="Q1134" s="2">
        <v>7.28</v>
      </c>
      <c r="R1134" s="3">
        <f t="shared" si="85"/>
        <v>1489.0227</v>
      </c>
      <c r="S1134" s="3">
        <f t="shared" si="86"/>
        <v>3376.9736000000003</v>
      </c>
      <c r="T1134" s="3">
        <f t="shared" si="87"/>
        <v>1887.9509000000003</v>
      </c>
      <c r="U1134" s="4">
        <f t="shared" si="88"/>
        <v>0.55906593406593408</v>
      </c>
      <c r="V1134" s="5">
        <f t="shared" si="89"/>
        <v>32.146191000000002</v>
      </c>
    </row>
    <row r="1135" spans="1:22" x14ac:dyDescent="0.25">
      <c r="A1135" s="2" t="s">
        <v>1169</v>
      </c>
      <c r="B1135" s="2" t="s">
        <v>18</v>
      </c>
      <c r="C1135" s="2" t="s">
        <v>43</v>
      </c>
      <c r="D1135" s="2" t="s">
        <v>20</v>
      </c>
      <c r="E1135" s="2">
        <v>493.58</v>
      </c>
      <c r="F1135" s="2">
        <v>12.5</v>
      </c>
      <c r="G1135" s="2">
        <v>32.090000000000003</v>
      </c>
      <c r="H1135" s="2">
        <v>0.6</v>
      </c>
      <c r="I1135" s="2">
        <v>1.4</v>
      </c>
      <c r="J1135" s="2">
        <v>17</v>
      </c>
      <c r="K1135" s="2" t="s">
        <v>29</v>
      </c>
      <c r="L1135" s="2">
        <v>6.84</v>
      </c>
      <c r="M1135" s="2" t="s">
        <v>40</v>
      </c>
      <c r="N1135" s="2">
        <v>65.89</v>
      </c>
      <c r="O1135" s="2" t="s">
        <v>23</v>
      </c>
      <c r="P1135" s="2">
        <v>8.8000000000000007</v>
      </c>
      <c r="Q1135" s="2">
        <v>7.64</v>
      </c>
      <c r="R1135" s="3">
        <f t="shared" si="85"/>
        <v>4343.5039999999999</v>
      </c>
      <c r="S1135" s="3">
        <f t="shared" si="86"/>
        <v>3770.9511999999995</v>
      </c>
      <c r="T1135" s="3">
        <f t="shared" si="87"/>
        <v>-572.55280000000039</v>
      </c>
      <c r="U1135" s="4">
        <f t="shared" si="88"/>
        <v>-0.15183246073298443</v>
      </c>
      <c r="V1135" s="5">
        <f t="shared" si="89"/>
        <v>33.760871999999999</v>
      </c>
    </row>
    <row r="1136" spans="1:22" x14ac:dyDescent="0.25">
      <c r="A1136" s="2" t="s">
        <v>1170</v>
      </c>
      <c r="B1136" s="2" t="s">
        <v>18</v>
      </c>
      <c r="C1136" s="2" t="s">
        <v>33</v>
      </c>
      <c r="D1136" s="2" t="s">
        <v>28</v>
      </c>
      <c r="E1136" s="2">
        <v>398.94</v>
      </c>
      <c r="F1136" s="2">
        <v>15.56</v>
      </c>
      <c r="G1136" s="2">
        <v>36.54</v>
      </c>
      <c r="H1136" s="2">
        <v>1.7</v>
      </c>
      <c r="I1136" s="2">
        <v>0.5</v>
      </c>
      <c r="J1136" s="2">
        <v>22</v>
      </c>
      <c r="K1136" s="2" t="s">
        <v>29</v>
      </c>
      <c r="L1136" s="2">
        <v>0.66</v>
      </c>
      <c r="M1136" s="2" t="s">
        <v>22</v>
      </c>
      <c r="N1136" s="2">
        <v>68.010000000000005</v>
      </c>
      <c r="O1136" s="2" t="s">
        <v>30</v>
      </c>
      <c r="P1136" s="2">
        <v>6.44</v>
      </c>
      <c r="Q1136" s="2">
        <v>5.51</v>
      </c>
      <c r="R1136" s="3">
        <f t="shared" si="85"/>
        <v>2569.1736000000001</v>
      </c>
      <c r="S1136" s="3">
        <f t="shared" si="86"/>
        <v>2198.1594</v>
      </c>
      <c r="T1136" s="3">
        <f t="shared" si="87"/>
        <v>-371.01420000000007</v>
      </c>
      <c r="U1136" s="4">
        <f t="shared" si="88"/>
        <v>-0.16878402903811254</v>
      </c>
      <c r="V1136" s="5">
        <f t="shared" si="89"/>
        <v>2.6330040000000001</v>
      </c>
    </row>
    <row r="1137" spans="1:22" x14ac:dyDescent="0.25">
      <c r="A1137" s="2" t="s">
        <v>1171</v>
      </c>
      <c r="B1137" s="2" t="s">
        <v>18</v>
      </c>
      <c r="C1137" s="2" t="s">
        <v>19</v>
      </c>
      <c r="D1137" s="2" t="s">
        <v>28</v>
      </c>
      <c r="E1137" s="2">
        <v>448.48</v>
      </c>
      <c r="F1137" s="2">
        <v>15.94</v>
      </c>
      <c r="G1137" s="2">
        <v>28.5</v>
      </c>
      <c r="H1137" s="2">
        <v>4.5</v>
      </c>
      <c r="I1137" s="2">
        <v>1.1000000000000001</v>
      </c>
      <c r="J1137" s="2">
        <v>17</v>
      </c>
      <c r="K1137" s="2" t="s">
        <v>21</v>
      </c>
      <c r="L1137" s="2">
        <v>5.49</v>
      </c>
      <c r="M1137" s="2" t="s">
        <v>37</v>
      </c>
      <c r="N1137" s="2">
        <v>66.72</v>
      </c>
      <c r="O1137" s="2" t="s">
        <v>24</v>
      </c>
      <c r="P1137" s="2">
        <v>7.49</v>
      </c>
      <c r="Q1137" s="2">
        <v>14.4</v>
      </c>
      <c r="R1137" s="3">
        <f t="shared" si="85"/>
        <v>3359.1152000000002</v>
      </c>
      <c r="S1137" s="3">
        <f t="shared" si="86"/>
        <v>6458.1120000000001</v>
      </c>
      <c r="T1137" s="3">
        <f t="shared" si="87"/>
        <v>3098.9967999999999</v>
      </c>
      <c r="U1137" s="4">
        <f t="shared" si="88"/>
        <v>0.47986111111111107</v>
      </c>
      <c r="V1137" s="5">
        <f t="shared" si="89"/>
        <v>24.621552000000001</v>
      </c>
    </row>
    <row r="1138" spans="1:22" x14ac:dyDescent="0.25">
      <c r="A1138" s="2" t="s">
        <v>1172</v>
      </c>
      <c r="B1138" s="2" t="s">
        <v>18</v>
      </c>
      <c r="C1138" s="2" t="s">
        <v>27</v>
      </c>
      <c r="D1138" s="2" t="s">
        <v>20</v>
      </c>
      <c r="E1138" s="2">
        <v>653.02</v>
      </c>
      <c r="F1138" s="2">
        <v>12.95</v>
      </c>
      <c r="G1138" s="2">
        <v>25.51</v>
      </c>
      <c r="H1138" s="2">
        <v>1.3</v>
      </c>
      <c r="I1138" s="2">
        <v>1.4</v>
      </c>
      <c r="J1138" s="2">
        <v>14</v>
      </c>
      <c r="K1138" s="2" t="s">
        <v>34</v>
      </c>
      <c r="L1138" s="2">
        <v>8.31</v>
      </c>
      <c r="M1138" s="2" t="s">
        <v>22</v>
      </c>
      <c r="N1138" s="2">
        <v>66.22</v>
      </c>
      <c r="O1138" s="2" t="s">
        <v>30</v>
      </c>
      <c r="P1138" s="2">
        <v>5.88</v>
      </c>
      <c r="Q1138" s="2">
        <v>9.56</v>
      </c>
      <c r="R1138" s="3">
        <f t="shared" si="85"/>
        <v>3839.7575999999999</v>
      </c>
      <c r="S1138" s="3">
        <f t="shared" si="86"/>
        <v>6242.8712000000005</v>
      </c>
      <c r="T1138" s="3">
        <f t="shared" si="87"/>
        <v>2403.1136000000006</v>
      </c>
      <c r="U1138" s="4">
        <f t="shared" si="88"/>
        <v>0.38493723849372391</v>
      </c>
      <c r="V1138" s="5">
        <f t="shared" si="89"/>
        <v>54.265962000000002</v>
      </c>
    </row>
    <row r="1139" spans="1:22" x14ac:dyDescent="0.25">
      <c r="A1139" s="2" t="s">
        <v>1173</v>
      </c>
      <c r="B1139" s="2" t="s">
        <v>45</v>
      </c>
      <c r="C1139" s="2" t="s">
        <v>33</v>
      </c>
      <c r="D1139" s="2" t="s">
        <v>28</v>
      </c>
      <c r="E1139" s="2">
        <v>566.49</v>
      </c>
      <c r="F1139" s="2">
        <v>16.95</v>
      </c>
      <c r="G1139" s="2">
        <v>25.3</v>
      </c>
      <c r="H1139" s="2">
        <v>5.8</v>
      </c>
      <c r="I1139" s="2">
        <v>4.8</v>
      </c>
      <c r="J1139" s="2">
        <v>14</v>
      </c>
      <c r="K1139" s="2" t="s">
        <v>21</v>
      </c>
      <c r="L1139" s="2">
        <v>0.92</v>
      </c>
      <c r="M1139" s="2" t="s">
        <v>37</v>
      </c>
      <c r="N1139" s="2">
        <v>84.73</v>
      </c>
      <c r="O1139" s="2" t="s">
        <v>30</v>
      </c>
      <c r="P1139" s="2">
        <v>5.42</v>
      </c>
      <c r="Q1139" s="2">
        <v>11.75</v>
      </c>
      <c r="R1139" s="3">
        <f t="shared" si="85"/>
        <v>3070.3757999999998</v>
      </c>
      <c r="S1139" s="3">
        <f t="shared" si="86"/>
        <v>6656.2574999999997</v>
      </c>
      <c r="T1139" s="3">
        <f t="shared" si="87"/>
        <v>3585.8816999999999</v>
      </c>
      <c r="U1139" s="4">
        <f t="shared" si="88"/>
        <v>0.53872340425531917</v>
      </c>
      <c r="V1139" s="5">
        <f t="shared" si="89"/>
        <v>5.2117079999999998</v>
      </c>
    </row>
    <row r="1140" spans="1:22" x14ac:dyDescent="0.25">
      <c r="A1140" s="2" t="s">
        <v>1174</v>
      </c>
      <c r="B1140" s="2" t="s">
        <v>26</v>
      </c>
      <c r="C1140" s="2" t="s">
        <v>43</v>
      </c>
      <c r="D1140" s="2" t="s">
        <v>20</v>
      </c>
      <c r="E1140" s="2">
        <v>407.54</v>
      </c>
      <c r="F1140" s="2">
        <v>10.68</v>
      </c>
      <c r="G1140" s="2">
        <v>30.72</v>
      </c>
      <c r="H1140" s="2">
        <v>0.5</v>
      </c>
      <c r="I1140" s="2">
        <v>0.4</v>
      </c>
      <c r="J1140" s="2">
        <v>17</v>
      </c>
      <c r="K1140" s="2" t="s">
        <v>34</v>
      </c>
      <c r="L1140" s="2">
        <v>9.58</v>
      </c>
      <c r="M1140" s="2" t="s">
        <v>40</v>
      </c>
      <c r="N1140" s="2">
        <v>79.39</v>
      </c>
      <c r="O1140" s="2" t="s">
        <v>30</v>
      </c>
      <c r="P1140" s="2">
        <v>4.5599999999999996</v>
      </c>
      <c r="Q1140" s="2">
        <v>11.87</v>
      </c>
      <c r="R1140" s="3">
        <f t="shared" si="85"/>
        <v>1858.3824</v>
      </c>
      <c r="S1140" s="3">
        <f t="shared" si="86"/>
        <v>4837.4997999999996</v>
      </c>
      <c r="T1140" s="3">
        <f t="shared" si="87"/>
        <v>2979.1173999999996</v>
      </c>
      <c r="U1140" s="4">
        <f t="shared" si="88"/>
        <v>0.61583824768323503</v>
      </c>
      <c r="V1140" s="5">
        <f t="shared" si="89"/>
        <v>39.042332000000002</v>
      </c>
    </row>
    <row r="1141" spans="1:22" x14ac:dyDescent="0.25">
      <c r="A1141" s="2" t="s">
        <v>1175</v>
      </c>
      <c r="B1141" s="2" t="s">
        <v>32</v>
      </c>
      <c r="C1141" s="2" t="s">
        <v>19</v>
      </c>
      <c r="D1141" s="2" t="s">
        <v>20</v>
      </c>
      <c r="E1141" s="2">
        <v>340.24</v>
      </c>
      <c r="F1141" s="2">
        <v>12.11</v>
      </c>
      <c r="G1141" s="2">
        <v>28.98</v>
      </c>
      <c r="H1141" s="2">
        <v>0.2</v>
      </c>
      <c r="I1141" s="2">
        <v>0.5</v>
      </c>
      <c r="J1141" s="2">
        <v>8</v>
      </c>
      <c r="K1141" s="2" t="s">
        <v>34</v>
      </c>
      <c r="L1141" s="2">
        <v>4.53</v>
      </c>
      <c r="M1141" s="2" t="s">
        <v>37</v>
      </c>
      <c r="N1141" s="2">
        <v>60.1</v>
      </c>
      <c r="O1141" s="2" t="s">
        <v>24</v>
      </c>
      <c r="P1141" s="2">
        <v>8.39</v>
      </c>
      <c r="Q1141" s="2">
        <v>13.75</v>
      </c>
      <c r="R1141" s="3">
        <f t="shared" si="85"/>
        <v>2854.6136000000001</v>
      </c>
      <c r="S1141" s="3">
        <f t="shared" si="86"/>
        <v>4678.3</v>
      </c>
      <c r="T1141" s="3">
        <f t="shared" si="87"/>
        <v>1823.6864</v>
      </c>
      <c r="U1141" s="4">
        <f t="shared" si="88"/>
        <v>0.38981818181818179</v>
      </c>
      <c r="V1141" s="5">
        <f t="shared" si="89"/>
        <v>15.412872000000002</v>
      </c>
    </row>
    <row r="1142" spans="1:22" x14ac:dyDescent="0.25">
      <c r="A1142" s="2" t="s">
        <v>1176</v>
      </c>
      <c r="B1142" s="2" t="s">
        <v>45</v>
      </c>
      <c r="C1142" s="2" t="s">
        <v>33</v>
      </c>
      <c r="D1142" s="2" t="s">
        <v>20</v>
      </c>
      <c r="E1142" s="2">
        <v>467.3</v>
      </c>
      <c r="F1142" s="2">
        <v>16.989999999999998</v>
      </c>
      <c r="G1142" s="2">
        <v>28.8</v>
      </c>
      <c r="H1142" s="2">
        <v>4.4000000000000004</v>
      </c>
      <c r="I1142" s="2">
        <v>0.2</v>
      </c>
      <c r="J1142" s="2">
        <v>2</v>
      </c>
      <c r="K1142" s="2" t="s">
        <v>29</v>
      </c>
      <c r="L1142" s="2">
        <v>3.25</v>
      </c>
      <c r="M1142" s="2" t="s">
        <v>22</v>
      </c>
      <c r="N1142" s="2">
        <v>98.48</v>
      </c>
      <c r="O1142" s="2" t="s">
        <v>24</v>
      </c>
      <c r="P1142" s="2">
        <v>7.87</v>
      </c>
      <c r="Q1142" s="2">
        <v>11.65</v>
      </c>
      <c r="R1142" s="3">
        <f t="shared" si="85"/>
        <v>3677.6510000000003</v>
      </c>
      <c r="S1142" s="3">
        <f t="shared" si="86"/>
        <v>5444.0450000000001</v>
      </c>
      <c r="T1142" s="3">
        <f t="shared" si="87"/>
        <v>1766.3939999999998</v>
      </c>
      <c r="U1142" s="4">
        <f t="shared" si="88"/>
        <v>0.32446351931330469</v>
      </c>
      <c r="V1142" s="5">
        <f t="shared" si="89"/>
        <v>15.187250000000001</v>
      </c>
    </row>
    <row r="1143" spans="1:22" x14ac:dyDescent="0.25">
      <c r="A1143" s="2" t="s">
        <v>1177</v>
      </c>
      <c r="B1143" s="2" t="s">
        <v>32</v>
      </c>
      <c r="C1143" s="2" t="s">
        <v>43</v>
      </c>
      <c r="D1143" s="2" t="s">
        <v>28</v>
      </c>
      <c r="E1143" s="2">
        <v>478.65</v>
      </c>
      <c r="F1143" s="2">
        <v>16.96</v>
      </c>
      <c r="G1143" s="2">
        <v>21.82</v>
      </c>
      <c r="H1143" s="2">
        <v>3.8</v>
      </c>
      <c r="I1143" s="2">
        <v>0.2</v>
      </c>
      <c r="J1143" s="2">
        <v>26</v>
      </c>
      <c r="K1143" s="2" t="s">
        <v>21</v>
      </c>
      <c r="L1143" s="2">
        <v>5.55</v>
      </c>
      <c r="M1143" s="2" t="s">
        <v>40</v>
      </c>
      <c r="N1143" s="2">
        <v>71.39</v>
      </c>
      <c r="O1143" s="2" t="s">
        <v>23</v>
      </c>
      <c r="P1143" s="2">
        <v>5.53</v>
      </c>
      <c r="Q1143" s="2">
        <v>10.62</v>
      </c>
      <c r="R1143" s="3">
        <f t="shared" si="85"/>
        <v>2646.9344999999998</v>
      </c>
      <c r="S1143" s="3">
        <f t="shared" si="86"/>
        <v>5083.262999999999</v>
      </c>
      <c r="T1143" s="3">
        <f t="shared" si="87"/>
        <v>2436.3284999999992</v>
      </c>
      <c r="U1143" s="4">
        <f t="shared" si="88"/>
        <v>0.47928436911487754</v>
      </c>
      <c r="V1143" s="5">
        <f t="shared" si="89"/>
        <v>26.565074999999997</v>
      </c>
    </row>
    <row r="1144" spans="1:22" x14ac:dyDescent="0.25">
      <c r="A1144" s="2" t="s">
        <v>1178</v>
      </c>
      <c r="B1144" s="2" t="s">
        <v>26</v>
      </c>
      <c r="C1144" s="2" t="s">
        <v>19</v>
      </c>
      <c r="D1144" s="2" t="s">
        <v>28</v>
      </c>
      <c r="E1144" s="2">
        <v>549.62</v>
      </c>
      <c r="F1144" s="2">
        <v>14.86</v>
      </c>
      <c r="G1144" s="2">
        <v>34.369999999999997</v>
      </c>
      <c r="H1144" s="2">
        <v>9.8000000000000007</v>
      </c>
      <c r="I1144" s="2">
        <v>1.2</v>
      </c>
      <c r="J1144" s="2">
        <v>13</v>
      </c>
      <c r="K1144" s="2" t="s">
        <v>34</v>
      </c>
      <c r="L1144" s="2">
        <v>8.11</v>
      </c>
      <c r="M1144" s="2" t="s">
        <v>37</v>
      </c>
      <c r="N1144" s="2">
        <v>78.3</v>
      </c>
      <c r="O1144" s="2" t="s">
        <v>24</v>
      </c>
      <c r="P1144" s="2">
        <v>5.25</v>
      </c>
      <c r="Q1144" s="2">
        <v>12.1</v>
      </c>
      <c r="R1144" s="3">
        <f t="shared" si="85"/>
        <v>2885.5050000000001</v>
      </c>
      <c r="S1144" s="3">
        <f t="shared" si="86"/>
        <v>6650.402</v>
      </c>
      <c r="T1144" s="3">
        <f t="shared" si="87"/>
        <v>3764.8969999999999</v>
      </c>
      <c r="U1144" s="4">
        <f t="shared" si="88"/>
        <v>0.56611570247933884</v>
      </c>
      <c r="V1144" s="5">
        <f t="shared" si="89"/>
        <v>44.574182</v>
      </c>
    </row>
    <row r="1145" spans="1:22" x14ac:dyDescent="0.25">
      <c r="A1145" s="2" t="s">
        <v>1179</v>
      </c>
      <c r="B1145" s="2" t="s">
        <v>18</v>
      </c>
      <c r="C1145" s="2" t="s">
        <v>43</v>
      </c>
      <c r="D1145" s="2" t="s">
        <v>20</v>
      </c>
      <c r="E1145" s="2">
        <v>446.47</v>
      </c>
      <c r="F1145" s="2">
        <v>16.59</v>
      </c>
      <c r="G1145" s="2">
        <v>24.27</v>
      </c>
      <c r="H1145" s="2">
        <v>2.2999999999999998</v>
      </c>
      <c r="I1145" s="2">
        <v>2.5</v>
      </c>
      <c r="J1145" s="2">
        <v>22</v>
      </c>
      <c r="K1145" s="2" t="s">
        <v>29</v>
      </c>
      <c r="L1145" s="2">
        <v>5.01</v>
      </c>
      <c r="M1145" s="2" t="s">
        <v>37</v>
      </c>
      <c r="N1145" s="2">
        <v>85.13</v>
      </c>
      <c r="O1145" s="2" t="s">
        <v>24</v>
      </c>
      <c r="P1145" s="2">
        <v>3.01</v>
      </c>
      <c r="Q1145" s="2">
        <v>12.51</v>
      </c>
      <c r="R1145" s="3">
        <f t="shared" si="85"/>
        <v>1343.8747000000001</v>
      </c>
      <c r="S1145" s="3">
        <f t="shared" si="86"/>
        <v>5585.3397000000004</v>
      </c>
      <c r="T1145" s="3">
        <f t="shared" si="87"/>
        <v>4241.4650000000001</v>
      </c>
      <c r="U1145" s="4">
        <f t="shared" si="88"/>
        <v>0.75939248601119103</v>
      </c>
      <c r="V1145" s="5">
        <f t="shared" si="89"/>
        <v>22.368147</v>
      </c>
    </row>
    <row r="1146" spans="1:22" x14ac:dyDescent="0.25">
      <c r="A1146" s="2" t="s">
        <v>1180</v>
      </c>
      <c r="B1146" s="2" t="s">
        <v>26</v>
      </c>
      <c r="C1146" s="2" t="s">
        <v>19</v>
      </c>
      <c r="D1146" s="2" t="s">
        <v>28</v>
      </c>
      <c r="E1146" s="2">
        <v>551.15</v>
      </c>
      <c r="F1146" s="2">
        <v>8.89</v>
      </c>
      <c r="G1146" s="2">
        <v>23.94</v>
      </c>
      <c r="H1146" s="2">
        <v>5.5</v>
      </c>
      <c r="I1146" s="2">
        <v>0.5</v>
      </c>
      <c r="J1146" s="2">
        <v>16</v>
      </c>
      <c r="K1146" s="2" t="s">
        <v>21</v>
      </c>
      <c r="L1146" s="2">
        <v>6.63</v>
      </c>
      <c r="M1146" s="2" t="s">
        <v>40</v>
      </c>
      <c r="N1146" s="2">
        <v>80.680000000000007</v>
      </c>
      <c r="O1146" s="2" t="s">
        <v>30</v>
      </c>
      <c r="P1146" s="2">
        <v>3.44</v>
      </c>
      <c r="Q1146" s="2">
        <v>6.86</v>
      </c>
      <c r="R1146" s="3">
        <f t="shared" si="85"/>
        <v>1895.9559999999999</v>
      </c>
      <c r="S1146" s="3">
        <f t="shared" si="86"/>
        <v>3780.8890000000001</v>
      </c>
      <c r="T1146" s="3">
        <f t="shared" si="87"/>
        <v>1884.9330000000002</v>
      </c>
      <c r="U1146" s="4">
        <f t="shared" si="88"/>
        <v>0.4985422740524782</v>
      </c>
      <c r="V1146" s="5">
        <f t="shared" si="89"/>
        <v>36.541244999999996</v>
      </c>
    </row>
    <row r="1147" spans="1:22" x14ac:dyDescent="0.25">
      <c r="A1147" s="2" t="s">
        <v>1181</v>
      </c>
      <c r="B1147" s="2" t="s">
        <v>45</v>
      </c>
      <c r="C1147" s="2" t="s">
        <v>27</v>
      </c>
      <c r="D1147" s="2" t="s">
        <v>28</v>
      </c>
      <c r="E1147" s="2">
        <v>693.52</v>
      </c>
      <c r="F1147" s="2">
        <v>16.649999999999999</v>
      </c>
      <c r="G1147" s="2">
        <v>28.26</v>
      </c>
      <c r="H1147" s="2">
        <v>3.5</v>
      </c>
      <c r="I1147" s="2">
        <v>0.2</v>
      </c>
      <c r="J1147" s="2">
        <v>16</v>
      </c>
      <c r="K1147" s="2" t="s">
        <v>21</v>
      </c>
      <c r="L1147" s="2">
        <v>5.25</v>
      </c>
      <c r="M1147" s="2" t="s">
        <v>22</v>
      </c>
      <c r="N1147" s="2">
        <v>65.55</v>
      </c>
      <c r="O1147" s="2" t="s">
        <v>23</v>
      </c>
      <c r="P1147" s="2">
        <v>7.36</v>
      </c>
      <c r="Q1147" s="2">
        <v>6.1</v>
      </c>
      <c r="R1147" s="3">
        <f t="shared" si="85"/>
        <v>5104.3072000000002</v>
      </c>
      <c r="S1147" s="3">
        <f t="shared" si="86"/>
        <v>4230.4719999999998</v>
      </c>
      <c r="T1147" s="3">
        <f t="shared" si="87"/>
        <v>-873.83520000000044</v>
      </c>
      <c r="U1147" s="4">
        <f t="shared" si="88"/>
        <v>-0.20655737704918045</v>
      </c>
      <c r="V1147" s="5">
        <f t="shared" si="89"/>
        <v>36.409799999999997</v>
      </c>
    </row>
    <row r="1148" spans="1:22" x14ac:dyDescent="0.25">
      <c r="A1148" s="2" t="s">
        <v>1182</v>
      </c>
      <c r="B1148" s="2" t="s">
        <v>18</v>
      </c>
      <c r="C1148" s="2" t="s">
        <v>33</v>
      </c>
      <c r="D1148" s="2" t="s">
        <v>28</v>
      </c>
      <c r="E1148" s="2">
        <v>581.54999999999995</v>
      </c>
      <c r="F1148" s="2">
        <v>11.21</v>
      </c>
      <c r="G1148" s="2">
        <v>24.56</v>
      </c>
      <c r="H1148" s="2">
        <v>3.7</v>
      </c>
      <c r="I1148" s="2">
        <v>0.3</v>
      </c>
      <c r="J1148" s="2">
        <v>6</v>
      </c>
      <c r="K1148" s="2" t="s">
        <v>34</v>
      </c>
      <c r="L1148" s="2">
        <v>6.5</v>
      </c>
      <c r="M1148" s="2" t="s">
        <v>40</v>
      </c>
      <c r="N1148" s="2">
        <v>89.89</v>
      </c>
      <c r="O1148" s="2" t="s">
        <v>23</v>
      </c>
      <c r="P1148" s="2">
        <v>6.6</v>
      </c>
      <c r="Q1148" s="2">
        <v>5.75</v>
      </c>
      <c r="R1148" s="3">
        <f t="shared" si="85"/>
        <v>3838.2299999999996</v>
      </c>
      <c r="S1148" s="3">
        <f t="shared" si="86"/>
        <v>3343.9124999999999</v>
      </c>
      <c r="T1148" s="3">
        <f t="shared" si="87"/>
        <v>-494.31749999999965</v>
      </c>
      <c r="U1148" s="4">
        <f t="shared" si="88"/>
        <v>-0.14782608695652164</v>
      </c>
      <c r="V1148" s="5">
        <f t="shared" si="89"/>
        <v>37.800750000000001</v>
      </c>
    </row>
    <row r="1149" spans="1:22" x14ac:dyDescent="0.25">
      <c r="A1149" s="2" t="s">
        <v>1183</v>
      </c>
      <c r="B1149" s="2" t="s">
        <v>45</v>
      </c>
      <c r="C1149" s="2" t="s">
        <v>43</v>
      </c>
      <c r="D1149" s="2" t="s">
        <v>28</v>
      </c>
      <c r="E1149" s="2">
        <v>495.19</v>
      </c>
      <c r="F1149" s="2">
        <v>9.7799999999999994</v>
      </c>
      <c r="G1149" s="2">
        <v>31.68</v>
      </c>
      <c r="H1149" s="2">
        <v>1.7</v>
      </c>
      <c r="I1149" s="2">
        <v>0.6</v>
      </c>
      <c r="J1149" s="2">
        <v>22</v>
      </c>
      <c r="K1149" s="2" t="s">
        <v>34</v>
      </c>
      <c r="L1149" s="2">
        <v>1.81</v>
      </c>
      <c r="M1149" s="2" t="s">
        <v>22</v>
      </c>
      <c r="N1149" s="2">
        <v>55.51</v>
      </c>
      <c r="O1149" s="2" t="s">
        <v>24</v>
      </c>
      <c r="P1149" s="2">
        <v>6.04</v>
      </c>
      <c r="Q1149" s="2">
        <v>8.74</v>
      </c>
      <c r="R1149" s="3">
        <f t="shared" si="85"/>
        <v>2990.9476</v>
      </c>
      <c r="S1149" s="3">
        <f t="shared" si="86"/>
        <v>4327.9606000000003</v>
      </c>
      <c r="T1149" s="3">
        <f t="shared" si="87"/>
        <v>1337.0130000000004</v>
      </c>
      <c r="U1149" s="4">
        <f t="shared" si="88"/>
        <v>0.30892448512585818</v>
      </c>
      <c r="V1149" s="5">
        <f t="shared" si="89"/>
        <v>8.9629390000000004</v>
      </c>
    </row>
    <row r="1150" spans="1:22" x14ac:dyDescent="0.25">
      <c r="A1150" s="2" t="s">
        <v>1184</v>
      </c>
      <c r="B1150" s="2" t="s">
        <v>18</v>
      </c>
      <c r="C1150" s="2" t="s">
        <v>19</v>
      </c>
      <c r="D1150" s="2" t="s">
        <v>28</v>
      </c>
      <c r="E1150" s="2">
        <v>481.68</v>
      </c>
      <c r="F1150" s="2">
        <v>10.39</v>
      </c>
      <c r="G1150" s="2">
        <v>27.43</v>
      </c>
      <c r="H1150" s="2">
        <v>1</v>
      </c>
      <c r="I1150" s="2">
        <v>0.3</v>
      </c>
      <c r="J1150" s="2">
        <v>24</v>
      </c>
      <c r="K1150" s="2" t="s">
        <v>34</v>
      </c>
      <c r="L1150" s="2">
        <v>0.87</v>
      </c>
      <c r="M1150" s="2" t="s">
        <v>22</v>
      </c>
      <c r="N1150" s="2">
        <v>78.45</v>
      </c>
      <c r="O1150" s="2" t="s">
        <v>24</v>
      </c>
      <c r="P1150" s="2">
        <v>8.7899999999999991</v>
      </c>
      <c r="Q1150" s="2">
        <v>9.98</v>
      </c>
      <c r="R1150" s="3">
        <f t="shared" si="85"/>
        <v>4233.9672</v>
      </c>
      <c r="S1150" s="3">
        <f t="shared" si="86"/>
        <v>4807.1664000000001</v>
      </c>
      <c r="T1150" s="3">
        <f t="shared" si="87"/>
        <v>573.19920000000002</v>
      </c>
      <c r="U1150" s="4">
        <f t="shared" si="88"/>
        <v>0.11923847695390782</v>
      </c>
      <c r="V1150" s="5">
        <f t="shared" si="89"/>
        <v>4.1906160000000003</v>
      </c>
    </row>
    <row r="1151" spans="1:22" x14ac:dyDescent="0.25">
      <c r="A1151" s="2" t="s">
        <v>1185</v>
      </c>
      <c r="B1151" s="2" t="s">
        <v>32</v>
      </c>
      <c r="C1151" s="2" t="s">
        <v>43</v>
      </c>
      <c r="D1151" s="2" t="s">
        <v>28</v>
      </c>
      <c r="E1151" s="2">
        <v>464.33</v>
      </c>
      <c r="F1151" s="2">
        <v>12.18</v>
      </c>
      <c r="G1151" s="2">
        <v>28.98</v>
      </c>
      <c r="H1151" s="2">
        <v>5.5</v>
      </c>
      <c r="I1151" s="2">
        <v>0.3</v>
      </c>
      <c r="J1151" s="2">
        <v>4</v>
      </c>
      <c r="K1151" s="2" t="s">
        <v>21</v>
      </c>
      <c r="L1151" s="2">
        <v>1.8</v>
      </c>
      <c r="M1151" s="2" t="s">
        <v>37</v>
      </c>
      <c r="N1151" s="2">
        <v>63.67</v>
      </c>
      <c r="O1151" s="2" t="s">
        <v>30</v>
      </c>
      <c r="P1151" s="2">
        <v>6.53</v>
      </c>
      <c r="Q1151" s="2">
        <v>11.16</v>
      </c>
      <c r="R1151" s="3">
        <f t="shared" si="85"/>
        <v>3032.0749000000001</v>
      </c>
      <c r="S1151" s="3">
        <f t="shared" si="86"/>
        <v>5181.9228000000003</v>
      </c>
      <c r="T1151" s="3">
        <f t="shared" si="87"/>
        <v>2149.8479000000002</v>
      </c>
      <c r="U1151" s="4">
        <f t="shared" si="88"/>
        <v>0.41487455197132617</v>
      </c>
      <c r="V1151" s="5">
        <f t="shared" si="89"/>
        <v>8.3579399999999993</v>
      </c>
    </row>
    <row r="1152" spans="1:22" x14ac:dyDescent="0.25">
      <c r="A1152" s="2" t="s">
        <v>1186</v>
      </c>
      <c r="B1152" s="2" t="s">
        <v>32</v>
      </c>
      <c r="C1152" s="2" t="s">
        <v>43</v>
      </c>
      <c r="D1152" s="2" t="s">
        <v>28</v>
      </c>
      <c r="E1152" s="2">
        <v>618.05999999999995</v>
      </c>
      <c r="F1152" s="2">
        <v>10.51</v>
      </c>
      <c r="G1152" s="2">
        <v>30.74</v>
      </c>
      <c r="H1152" s="2">
        <v>1.1000000000000001</v>
      </c>
      <c r="I1152" s="2">
        <v>1.3</v>
      </c>
      <c r="J1152" s="2">
        <v>3</v>
      </c>
      <c r="K1152" s="2" t="s">
        <v>34</v>
      </c>
      <c r="L1152" s="2">
        <v>3.22</v>
      </c>
      <c r="M1152" s="2" t="s">
        <v>22</v>
      </c>
      <c r="N1152" s="2">
        <v>80.790000000000006</v>
      </c>
      <c r="O1152" s="2" t="s">
        <v>24</v>
      </c>
      <c r="P1152" s="2">
        <v>5.69</v>
      </c>
      <c r="Q1152" s="2">
        <v>14.58</v>
      </c>
      <c r="R1152" s="3">
        <f t="shared" si="85"/>
        <v>3516.7613999999999</v>
      </c>
      <c r="S1152" s="3">
        <f t="shared" si="86"/>
        <v>9011.3148000000001</v>
      </c>
      <c r="T1152" s="3">
        <f t="shared" si="87"/>
        <v>5494.5534000000007</v>
      </c>
      <c r="U1152" s="4">
        <f t="shared" si="88"/>
        <v>0.60973936899862835</v>
      </c>
      <c r="V1152" s="5">
        <f t="shared" si="89"/>
        <v>19.901532</v>
      </c>
    </row>
    <row r="1153" spans="1:22" x14ac:dyDescent="0.25">
      <c r="A1153" s="2" t="s">
        <v>1187</v>
      </c>
      <c r="B1153" s="2" t="s">
        <v>32</v>
      </c>
      <c r="C1153" s="2" t="s">
        <v>33</v>
      </c>
      <c r="D1153" s="2" t="s">
        <v>20</v>
      </c>
      <c r="E1153" s="2">
        <v>437.27</v>
      </c>
      <c r="F1153" s="2">
        <v>11.21</v>
      </c>
      <c r="G1153" s="2">
        <v>24.07</v>
      </c>
      <c r="H1153" s="2">
        <v>1.5</v>
      </c>
      <c r="I1153" s="2">
        <v>0</v>
      </c>
      <c r="J1153" s="2">
        <v>6</v>
      </c>
      <c r="K1153" s="2" t="s">
        <v>21</v>
      </c>
      <c r="L1153" s="2">
        <v>2.91</v>
      </c>
      <c r="M1153" s="2" t="s">
        <v>22</v>
      </c>
      <c r="N1153" s="2">
        <v>60.9</v>
      </c>
      <c r="O1153" s="2" t="s">
        <v>24</v>
      </c>
      <c r="P1153" s="2">
        <v>4.13</v>
      </c>
      <c r="Q1153" s="2">
        <v>8.31</v>
      </c>
      <c r="R1153" s="3">
        <f t="shared" si="85"/>
        <v>1805.9250999999999</v>
      </c>
      <c r="S1153" s="3">
        <f t="shared" si="86"/>
        <v>3633.7137000000002</v>
      </c>
      <c r="T1153" s="3">
        <f t="shared" si="87"/>
        <v>1827.7886000000003</v>
      </c>
      <c r="U1153" s="4">
        <f t="shared" si="88"/>
        <v>0.50300842358604092</v>
      </c>
      <c r="V1153" s="5">
        <f t="shared" si="89"/>
        <v>12.724556999999999</v>
      </c>
    </row>
    <row r="1154" spans="1:22" x14ac:dyDescent="0.25">
      <c r="A1154" s="2" t="s">
        <v>1188</v>
      </c>
      <c r="B1154" s="2" t="s">
        <v>26</v>
      </c>
      <c r="C1154" s="2" t="s">
        <v>27</v>
      </c>
      <c r="D1154" s="2" t="s">
        <v>28</v>
      </c>
      <c r="E1154" s="2">
        <v>504.52</v>
      </c>
      <c r="F1154" s="2">
        <v>9.35</v>
      </c>
      <c r="G1154" s="2">
        <v>23.12</v>
      </c>
      <c r="H1154" s="2">
        <v>1.2</v>
      </c>
      <c r="I1154" s="2">
        <v>0.8</v>
      </c>
      <c r="J1154" s="2">
        <v>4</v>
      </c>
      <c r="K1154" s="2" t="s">
        <v>29</v>
      </c>
      <c r="L1154" s="2">
        <v>6.34</v>
      </c>
      <c r="M1154" s="2" t="s">
        <v>40</v>
      </c>
      <c r="N1154" s="2">
        <v>88.61</v>
      </c>
      <c r="O1154" s="2" t="s">
        <v>23</v>
      </c>
      <c r="P1154" s="2">
        <v>8.74</v>
      </c>
      <c r="Q1154" s="2">
        <v>12.61</v>
      </c>
      <c r="R1154" s="3">
        <f t="shared" si="85"/>
        <v>4409.5047999999997</v>
      </c>
      <c r="S1154" s="3">
        <f t="shared" si="86"/>
        <v>6361.9971999999998</v>
      </c>
      <c r="T1154" s="3">
        <f t="shared" si="87"/>
        <v>1952.4924000000001</v>
      </c>
      <c r="U1154" s="4">
        <f t="shared" si="88"/>
        <v>0.3068992862807296</v>
      </c>
      <c r="V1154" s="5">
        <f t="shared" si="89"/>
        <v>31.986567999999998</v>
      </c>
    </row>
    <row r="1155" spans="1:22" x14ac:dyDescent="0.25">
      <c r="A1155" s="2" t="s">
        <v>1189</v>
      </c>
      <c r="B1155" s="2" t="s">
        <v>45</v>
      </c>
      <c r="C1155" s="2" t="s">
        <v>43</v>
      </c>
      <c r="D1155" s="2" t="s">
        <v>28</v>
      </c>
      <c r="E1155" s="2">
        <v>505.12</v>
      </c>
      <c r="F1155" s="2">
        <v>10.96</v>
      </c>
      <c r="G1155" s="2">
        <v>37.61</v>
      </c>
      <c r="H1155" s="2">
        <v>1.7</v>
      </c>
      <c r="I1155" s="2">
        <v>1.6</v>
      </c>
      <c r="J1155" s="2">
        <v>18</v>
      </c>
      <c r="K1155" s="2" t="s">
        <v>21</v>
      </c>
      <c r="L1155" s="2">
        <v>4.83</v>
      </c>
      <c r="M1155" s="2" t="s">
        <v>40</v>
      </c>
      <c r="N1155" s="2">
        <v>61.38</v>
      </c>
      <c r="O1155" s="2" t="s">
        <v>24</v>
      </c>
      <c r="P1155" s="2">
        <v>7.03</v>
      </c>
      <c r="Q1155" s="2">
        <v>10.31</v>
      </c>
      <c r="R1155" s="3">
        <f t="shared" ref="R1155:R1218" si="90">E1155*P1155</f>
        <v>3550.9936000000002</v>
      </c>
      <c r="S1155" s="3">
        <f t="shared" ref="S1155:S1218" si="91">E1155*Q1155</f>
        <v>5207.7872000000007</v>
      </c>
      <c r="T1155" s="3">
        <f t="shared" ref="T1155:T1218" si="92">S1155-R1155</f>
        <v>1656.7936000000004</v>
      </c>
      <c r="U1155" s="4">
        <f t="shared" ref="U1155:U1218" si="93">T1155/S1155</f>
        <v>0.31813773035887494</v>
      </c>
      <c r="V1155" s="5">
        <f t="shared" ref="V1155:V1218" si="94">E1155*L1155/100</f>
        <v>24.397296000000001</v>
      </c>
    </row>
    <row r="1156" spans="1:22" x14ac:dyDescent="0.25">
      <c r="A1156" s="2" t="s">
        <v>1190</v>
      </c>
      <c r="B1156" s="2" t="s">
        <v>26</v>
      </c>
      <c r="C1156" s="2" t="s">
        <v>19</v>
      </c>
      <c r="D1156" s="2" t="s">
        <v>28</v>
      </c>
      <c r="E1156" s="2">
        <v>449.82</v>
      </c>
      <c r="F1156" s="2">
        <v>13.72</v>
      </c>
      <c r="G1156" s="2">
        <v>28.67</v>
      </c>
      <c r="H1156" s="2">
        <v>1.3</v>
      </c>
      <c r="I1156" s="2">
        <v>0.3</v>
      </c>
      <c r="J1156" s="2">
        <v>6</v>
      </c>
      <c r="K1156" s="2" t="s">
        <v>34</v>
      </c>
      <c r="L1156" s="2">
        <v>0.87</v>
      </c>
      <c r="M1156" s="2" t="s">
        <v>22</v>
      </c>
      <c r="N1156" s="2">
        <v>94.52</v>
      </c>
      <c r="O1156" s="2" t="s">
        <v>30</v>
      </c>
      <c r="P1156" s="2">
        <v>3.65</v>
      </c>
      <c r="Q1156" s="2">
        <v>7.2</v>
      </c>
      <c r="R1156" s="3">
        <f t="shared" si="90"/>
        <v>1641.8429999999998</v>
      </c>
      <c r="S1156" s="3">
        <f t="shared" si="91"/>
        <v>3238.7040000000002</v>
      </c>
      <c r="T1156" s="3">
        <f t="shared" si="92"/>
        <v>1596.8610000000003</v>
      </c>
      <c r="U1156" s="4">
        <f t="shared" si="93"/>
        <v>0.49305555555555564</v>
      </c>
      <c r="V1156" s="5">
        <f t="shared" si="94"/>
        <v>3.9134339999999996</v>
      </c>
    </row>
    <row r="1157" spans="1:22" x14ac:dyDescent="0.25">
      <c r="A1157" s="2" t="s">
        <v>1191</v>
      </c>
      <c r="B1157" s="2" t="s">
        <v>32</v>
      </c>
      <c r="C1157" s="2" t="s">
        <v>19</v>
      </c>
      <c r="D1157" s="2" t="s">
        <v>28</v>
      </c>
      <c r="E1157" s="2">
        <v>362.75</v>
      </c>
      <c r="F1157" s="2">
        <v>12.42</v>
      </c>
      <c r="G1157" s="2">
        <v>28.24</v>
      </c>
      <c r="H1157" s="2">
        <v>0.1</v>
      </c>
      <c r="I1157" s="2">
        <v>0.9</v>
      </c>
      <c r="J1157" s="2">
        <v>26</v>
      </c>
      <c r="K1157" s="2" t="s">
        <v>21</v>
      </c>
      <c r="L1157" s="2">
        <v>0.83</v>
      </c>
      <c r="M1157" s="2" t="s">
        <v>37</v>
      </c>
      <c r="N1157" s="2">
        <v>93.08</v>
      </c>
      <c r="O1157" s="2" t="s">
        <v>23</v>
      </c>
      <c r="P1157" s="2">
        <v>7.54</v>
      </c>
      <c r="Q1157" s="2">
        <v>11.15</v>
      </c>
      <c r="R1157" s="3">
        <f t="shared" si="90"/>
        <v>2735.1350000000002</v>
      </c>
      <c r="S1157" s="3">
        <f t="shared" si="91"/>
        <v>4044.6624999999999</v>
      </c>
      <c r="T1157" s="3">
        <f t="shared" si="92"/>
        <v>1309.5274999999997</v>
      </c>
      <c r="U1157" s="4">
        <f t="shared" si="93"/>
        <v>0.32376681614349767</v>
      </c>
      <c r="V1157" s="5">
        <f t="shared" si="94"/>
        <v>3.0108249999999996</v>
      </c>
    </row>
    <row r="1158" spans="1:22" x14ac:dyDescent="0.25">
      <c r="A1158" s="2" t="s">
        <v>1192</v>
      </c>
      <c r="B1158" s="2" t="s">
        <v>45</v>
      </c>
      <c r="C1158" s="2" t="s">
        <v>27</v>
      </c>
      <c r="D1158" s="2" t="s">
        <v>28</v>
      </c>
      <c r="E1158" s="2">
        <v>532.29999999999995</v>
      </c>
      <c r="F1158" s="2">
        <v>11.47</v>
      </c>
      <c r="G1158" s="2">
        <v>20.71</v>
      </c>
      <c r="H1158" s="2">
        <v>4.3</v>
      </c>
      <c r="I1158" s="2">
        <v>1.1000000000000001</v>
      </c>
      <c r="J1158" s="2">
        <v>5</v>
      </c>
      <c r="K1158" s="2" t="s">
        <v>34</v>
      </c>
      <c r="L1158" s="2">
        <v>1.36</v>
      </c>
      <c r="M1158" s="2" t="s">
        <v>40</v>
      </c>
      <c r="N1158" s="2">
        <v>68.12</v>
      </c>
      <c r="O1158" s="2" t="s">
        <v>23</v>
      </c>
      <c r="P1158" s="2">
        <v>5.98</v>
      </c>
      <c r="Q1158" s="2">
        <v>14.67</v>
      </c>
      <c r="R1158" s="3">
        <f t="shared" si="90"/>
        <v>3183.154</v>
      </c>
      <c r="S1158" s="3">
        <f t="shared" si="91"/>
        <v>7808.8409999999994</v>
      </c>
      <c r="T1158" s="3">
        <f t="shared" si="92"/>
        <v>4625.6869999999999</v>
      </c>
      <c r="U1158" s="4">
        <f t="shared" si="93"/>
        <v>0.59236537150647584</v>
      </c>
      <c r="V1158" s="5">
        <f t="shared" si="94"/>
        <v>7.2392799999999999</v>
      </c>
    </row>
    <row r="1159" spans="1:22" x14ac:dyDescent="0.25">
      <c r="A1159" s="2" t="s">
        <v>1193</v>
      </c>
      <c r="B1159" s="2" t="s">
        <v>32</v>
      </c>
      <c r="C1159" s="2" t="s">
        <v>19</v>
      </c>
      <c r="D1159" s="2" t="s">
        <v>28</v>
      </c>
      <c r="E1159" s="2">
        <v>493.9</v>
      </c>
      <c r="F1159" s="2">
        <v>15.46</v>
      </c>
      <c r="G1159" s="2">
        <v>29.96</v>
      </c>
      <c r="H1159" s="2">
        <v>1.2</v>
      </c>
      <c r="I1159" s="2">
        <v>1.1000000000000001</v>
      </c>
      <c r="J1159" s="2">
        <v>27</v>
      </c>
      <c r="K1159" s="2" t="s">
        <v>29</v>
      </c>
      <c r="L1159" s="2">
        <v>3.85</v>
      </c>
      <c r="M1159" s="2" t="s">
        <v>37</v>
      </c>
      <c r="N1159" s="2">
        <v>69.290000000000006</v>
      </c>
      <c r="O1159" s="2" t="s">
        <v>24</v>
      </c>
      <c r="P1159" s="2">
        <v>8.68</v>
      </c>
      <c r="Q1159" s="2">
        <v>6.24</v>
      </c>
      <c r="R1159" s="3">
        <f t="shared" si="90"/>
        <v>4287.0519999999997</v>
      </c>
      <c r="S1159" s="3">
        <f t="shared" si="91"/>
        <v>3081.9360000000001</v>
      </c>
      <c r="T1159" s="3">
        <f t="shared" si="92"/>
        <v>-1205.1159999999995</v>
      </c>
      <c r="U1159" s="4">
        <f t="shared" si="93"/>
        <v>-0.39102564102564086</v>
      </c>
      <c r="V1159" s="5">
        <f t="shared" si="94"/>
        <v>19.015149999999998</v>
      </c>
    </row>
    <row r="1160" spans="1:22" x14ac:dyDescent="0.25">
      <c r="A1160" s="2" t="s">
        <v>1194</v>
      </c>
      <c r="B1160" s="2" t="s">
        <v>26</v>
      </c>
      <c r="C1160" s="2" t="s">
        <v>27</v>
      </c>
      <c r="D1160" s="2" t="s">
        <v>28</v>
      </c>
      <c r="E1160" s="2">
        <v>550.02</v>
      </c>
      <c r="F1160" s="2">
        <v>16.940000000000001</v>
      </c>
      <c r="G1160" s="2">
        <v>31.08</v>
      </c>
      <c r="H1160" s="2">
        <v>1.8</v>
      </c>
      <c r="I1160" s="2">
        <v>0.6</v>
      </c>
      <c r="J1160" s="2">
        <v>9</v>
      </c>
      <c r="K1160" s="2" t="s">
        <v>34</v>
      </c>
      <c r="L1160" s="2">
        <v>0.56000000000000005</v>
      </c>
      <c r="M1160" s="2" t="s">
        <v>40</v>
      </c>
      <c r="N1160" s="2">
        <v>85.08</v>
      </c>
      <c r="O1160" s="2" t="s">
        <v>30</v>
      </c>
      <c r="P1160" s="2">
        <v>9.43</v>
      </c>
      <c r="Q1160" s="2">
        <v>10.07</v>
      </c>
      <c r="R1160" s="3">
        <f t="shared" si="90"/>
        <v>5186.6885999999995</v>
      </c>
      <c r="S1160" s="3">
        <f t="shared" si="91"/>
        <v>5538.7013999999999</v>
      </c>
      <c r="T1160" s="3">
        <f t="shared" si="92"/>
        <v>352.01280000000042</v>
      </c>
      <c r="U1160" s="4">
        <f t="shared" si="93"/>
        <v>6.3555114200595911E-2</v>
      </c>
      <c r="V1160" s="5">
        <f t="shared" si="94"/>
        <v>3.0801120000000002</v>
      </c>
    </row>
    <row r="1161" spans="1:22" x14ac:dyDescent="0.25">
      <c r="A1161" s="2" t="s">
        <v>1195</v>
      </c>
      <c r="B1161" s="2" t="s">
        <v>26</v>
      </c>
      <c r="C1161" s="2" t="s">
        <v>19</v>
      </c>
      <c r="D1161" s="2" t="s">
        <v>28</v>
      </c>
      <c r="E1161" s="2">
        <v>446.64</v>
      </c>
      <c r="F1161" s="2">
        <v>15.57</v>
      </c>
      <c r="G1161" s="2">
        <v>31.18</v>
      </c>
      <c r="H1161" s="2">
        <v>0.3</v>
      </c>
      <c r="I1161" s="2">
        <v>0.4</v>
      </c>
      <c r="J1161" s="2">
        <v>11</v>
      </c>
      <c r="K1161" s="2" t="s">
        <v>34</v>
      </c>
      <c r="L1161" s="2">
        <v>5.19</v>
      </c>
      <c r="M1161" s="2" t="s">
        <v>40</v>
      </c>
      <c r="N1161" s="2">
        <v>54.52</v>
      </c>
      <c r="O1161" s="2" t="s">
        <v>23</v>
      </c>
      <c r="P1161" s="2">
        <v>7.2</v>
      </c>
      <c r="Q1161" s="2">
        <v>5.52</v>
      </c>
      <c r="R1161" s="3">
        <f t="shared" si="90"/>
        <v>3215.808</v>
      </c>
      <c r="S1161" s="3">
        <f t="shared" si="91"/>
        <v>2465.4527999999996</v>
      </c>
      <c r="T1161" s="3">
        <f t="shared" si="92"/>
        <v>-750.35520000000042</v>
      </c>
      <c r="U1161" s="4">
        <f t="shared" si="93"/>
        <v>-0.30434782608695676</v>
      </c>
      <c r="V1161" s="5">
        <f t="shared" si="94"/>
        <v>23.180616000000001</v>
      </c>
    </row>
    <row r="1162" spans="1:22" x14ac:dyDescent="0.25">
      <c r="A1162" s="2" t="s">
        <v>1196</v>
      </c>
      <c r="B1162" s="2" t="s">
        <v>26</v>
      </c>
      <c r="C1162" s="2" t="s">
        <v>33</v>
      </c>
      <c r="D1162" s="2" t="s">
        <v>20</v>
      </c>
      <c r="E1162" s="2">
        <v>622.08000000000004</v>
      </c>
      <c r="F1162" s="2">
        <v>11.32</v>
      </c>
      <c r="G1162" s="2">
        <v>34.14</v>
      </c>
      <c r="H1162" s="2">
        <v>0</v>
      </c>
      <c r="I1162" s="2">
        <v>1.8</v>
      </c>
      <c r="J1162" s="2">
        <v>6</v>
      </c>
      <c r="K1162" s="2" t="s">
        <v>34</v>
      </c>
      <c r="L1162" s="2">
        <v>3.93</v>
      </c>
      <c r="M1162" s="2" t="s">
        <v>22</v>
      </c>
      <c r="N1162" s="2">
        <v>54.05</v>
      </c>
      <c r="O1162" s="2" t="s">
        <v>30</v>
      </c>
      <c r="P1162" s="2">
        <v>8.1199999999999992</v>
      </c>
      <c r="Q1162" s="2">
        <v>8.2100000000000009</v>
      </c>
      <c r="R1162" s="3">
        <f t="shared" si="90"/>
        <v>5051.2896000000001</v>
      </c>
      <c r="S1162" s="3">
        <f t="shared" si="91"/>
        <v>5107.2768000000005</v>
      </c>
      <c r="T1162" s="3">
        <f t="shared" si="92"/>
        <v>55.987200000000485</v>
      </c>
      <c r="U1162" s="4">
        <f t="shared" si="93"/>
        <v>1.0962241169305819E-2</v>
      </c>
      <c r="V1162" s="5">
        <f t="shared" si="94"/>
        <v>24.447744000000004</v>
      </c>
    </row>
    <row r="1163" spans="1:22" x14ac:dyDescent="0.25">
      <c r="A1163" s="2" t="s">
        <v>1197</v>
      </c>
      <c r="B1163" s="2" t="s">
        <v>32</v>
      </c>
      <c r="C1163" s="2" t="s">
        <v>43</v>
      </c>
      <c r="D1163" s="2" t="s">
        <v>28</v>
      </c>
      <c r="E1163" s="2">
        <v>412.32</v>
      </c>
      <c r="F1163" s="2">
        <v>15.44</v>
      </c>
      <c r="G1163" s="2">
        <v>23.55</v>
      </c>
      <c r="H1163" s="2">
        <v>0.6</v>
      </c>
      <c r="I1163" s="2">
        <v>1.4</v>
      </c>
      <c r="J1163" s="2">
        <v>16</v>
      </c>
      <c r="K1163" s="2" t="s">
        <v>34</v>
      </c>
      <c r="L1163" s="2">
        <v>5.78</v>
      </c>
      <c r="M1163" s="2" t="s">
        <v>40</v>
      </c>
      <c r="N1163" s="2">
        <v>56.82</v>
      </c>
      <c r="O1163" s="2" t="s">
        <v>30</v>
      </c>
      <c r="P1163" s="2">
        <v>3.4</v>
      </c>
      <c r="Q1163" s="2">
        <v>11.21</v>
      </c>
      <c r="R1163" s="3">
        <f t="shared" si="90"/>
        <v>1401.8879999999999</v>
      </c>
      <c r="S1163" s="3">
        <f t="shared" si="91"/>
        <v>4622.1072000000004</v>
      </c>
      <c r="T1163" s="3">
        <f t="shared" si="92"/>
        <v>3220.2192000000005</v>
      </c>
      <c r="U1163" s="4">
        <f t="shared" si="93"/>
        <v>0.69669937555753791</v>
      </c>
      <c r="V1163" s="5">
        <f t="shared" si="94"/>
        <v>23.832096</v>
      </c>
    </row>
    <row r="1164" spans="1:22" x14ac:dyDescent="0.25">
      <c r="A1164" s="2" t="s">
        <v>1198</v>
      </c>
      <c r="B1164" s="2" t="s">
        <v>45</v>
      </c>
      <c r="C1164" s="2" t="s">
        <v>33</v>
      </c>
      <c r="D1164" s="2" t="s">
        <v>28</v>
      </c>
      <c r="E1164" s="2">
        <v>671.2</v>
      </c>
      <c r="F1164" s="2">
        <v>9.52</v>
      </c>
      <c r="G1164" s="2">
        <v>25.04</v>
      </c>
      <c r="H1164" s="2">
        <v>2.4</v>
      </c>
      <c r="I1164" s="2">
        <v>0.4</v>
      </c>
      <c r="J1164" s="2">
        <v>19</v>
      </c>
      <c r="K1164" s="2" t="s">
        <v>34</v>
      </c>
      <c r="L1164" s="2">
        <v>7.35</v>
      </c>
      <c r="M1164" s="2" t="s">
        <v>40</v>
      </c>
      <c r="N1164" s="2">
        <v>78.12</v>
      </c>
      <c r="O1164" s="2" t="s">
        <v>24</v>
      </c>
      <c r="P1164" s="2">
        <v>6.92</v>
      </c>
      <c r="Q1164" s="2">
        <v>13.41</v>
      </c>
      <c r="R1164" s="3">
        <f t="shared" si="90"/>
        <v>4644.7040000000006</v>
      </c>
      <c r="S1164" s="3">
        <f t="shared" si="91"/>
        <v>9000.7920000000013</v>
      </c>
      <c r="T1164" s="3">
        <f t="shared" si="92"/>
        <v>4356.0880000000006</v>
      </c>
      <c r="U1164" s="4">
        <f t="shared" si="93"/>
        <v>0.48396718866517524</v>
      </c>
      <c r="V1164" s="5">
        <f t="shared" si="94"/>
        <v>49.333199999999998</v>
      </c>
    </row>
    <row r="1165" spans="1:22" x14ac:dyDescent="0.25">
      <c r="A1165" s="2" t="s">
        <v>1199</v>
      </c>
      <c r="B1165" s="2" t="s">
        <v>45</v>
      </c>
      <c r="C1165" s="2" t="s">
        <v>43</v>
      </c>
      <c r="D1165" s="2" t="s">
        <v>28</v>
      </c>
      <c r="E1165" s="2">
        <v>325.24</v>
      </c>
      <c r="F1165" s="2">
        <v>9.3000000000000007</v>
      </c>
      <c r="G1165" s="2">
        <v>36.21</v>
      </c>
      <c r="H1165" s="2">
        <v>0.2</v>
      </c>
      <c r="I1165" s="2">
        <v>0.1</v>
      </c>
      <c r="J1165" s="2">
        <v>11</v>
      </c>
      <c r="K1165" s="2" t="s">
        <v>34</v>
      </c>
      <c r="L1165" s="2">
        <v>2.88</v>
      </c>
      <c r="M1165" s="2" t="s">
        <v>37</v>
      </c>
      <c r="N1165" s="2">
        <v>57.45</v>
      </c>
      <c r="O1165" s="2" t="s">
        <v>30</v>
      </c>
      <c r="P1165" s="2">
        <v>8.2899999999999991</v>
      </c>
      <c r="Q1165" s="2">
        <v>12.3</v>
      </c>
      <c r="R1165" s="3">
        <f t="shared" si="90"/>
        <v>2696.2395999999999</v>
      </c>
      <c r="S1165" s="3">
        <f t="shared" si="91"/>
        <v>4000.4520000000002</v>
      </c>
      <c r="T1165" s="3">
        <f t="shared" si="92"/>
        <v>1304.2124000000003</v>
      </c>
      <c r="U1165" s="4">
        <f t="shared" si="93"/>
        <v>0.32601626016260171</v>
      </c>
      <c r="V1165" s="5">
        <f t="shared" si="94"/>
        <v>9.3669119999999992</v>
      </c>
    </row>
    <row r="1166" spans="1:22" x14ac:dyDescent="0.25">
      <c r="A1166" s="2" t="s">
        <v>1200</v>
      </c>
      <c r="B1166" s="2" t="s">
        <v>32</v>
      </c>
      <c r="C1166" s="2" t="s">
        <v>43</v>
      </c>
      <c r="D1166" s="2" t="s">
        <v>28</v>
      </c>
      <c r="E1166" s="2">
        <v>543.48</v>
      </c>
      <c r="F1166" s="2">
        <v>11.46</v>
      </c>
      <c r="G1166" s="2">
        <v>38.94</v>
      </c>
      <c r="H1166" s="2">
        <v>4.8</v>
      </c>
      <c r="I1166" s="2">
        <v>0.1</v>
      </c>
      <c r="J1166" s="2">
        <v>21</v>
      </c>
      <c r="K1166" s="2" t="s">
        <v>29</v>
      </c>
      <c r="L1166" s="2">
        <v>1.99</v>
      </c>
      <c r="M1166" s="2" t="s">
        <v>40</v>
      </c>
      <c r="N1166" s="2">
        <v>63.88</v>
      </c>
      <c r="O1166" s="2" t="s">
        <v>23</v>
      </c>
      <c r="P1166" s="2">
        <v>6.48</v>
      </c>
      <c r="Q1166" s="2">
        <v>9.6300000000000008</v>
      </c>
      <c r="R1166" s="3">
        <f t="shared" si="90"/>
        <v>3521.7504000000004</v>
      </c>
      <c r="S1166" s="3">
        <f t="shared" si="91"/>
        <v>5233.7124000000003</v>
      </c>
      <c r="T1166" s="3">
        <f t="shared" si="92"/>
        <v>1711.962</v>
      </c>
      <c r="U1166" s="4">
        <f t="shared" si="93"/>
        <v>0.32710280373831774</v>
      </c>
      <c r="V1166" s="5">
        <f t="shared" si="94"/>
        <v>10.815252000000001</v>
      </c>
    </row>
    <row r="1167" spans="1:22" x14ac:dyDescent="0.25">
      <c r="A1167" s="2" t="s">
        <v>1201</v>
      </c>
      <c r="B1167" s="2" t="s">
        <v>45</v>
      </c>
      <c r="C1167" s="2" t="s">
        <v>43</v>
      </c>
      <c r="D1167" s="2" t="s">
        <v>20</v>
      </c>
      <c r="E1167" s="2">
        <v>547.54</v>
      </c>
      <c r="F1167" s="2">
        <v>16.079999999999998</v>
      </c>
      <c r="G1167" s="2">
        <v>22.72</v>
      </c>
      <c r="H1167" s="2">
        <v>0.5</v>
      </c>
      <c r="I1167" s="2">
        <v>0.1</v>
      </c>
      <c r="J1167" s="2">
        <v>15</v>
      </c>
      <c r="K1167" s="2" t="s">
        <v>29</v>
      </c>
      <c r="L1167" s="2">
        <v>3.14</v>
      </c>
      <c r="M1167" s="2" t="s">
        <v>40</v>
      </c>
      <c r="N1167" s="2">
        <v>82.35</v>
      </c>
      <c r="O1167" s="2" t="s">
        <v>24</v>
      </c>
      <c r="P1167" s="2">
        <v>7.15</v>
      </c>
      <c r="Q1167" s="2">
        <v>14.09</v>
      </c>
      <c r="R1167" s="3">
        <f t="shared" si="90"/>
        <v>3914.9110000000001</v>
      </c>
      <c r="S1167" s="3">
        <f t="shared" si="91"/>
        <v>7714.8385999999991</v>
      </c>
      <c r="T1167" s="3">
        <f t="shared" si="92"/>
        <v>3799.9275999999991</v>
      </c>
      <c r="U1167" s="4">
        <f t="shared" si="93"/>
        <v>0.4925479063165365</v>
      </c>
      <c r="V1167" s="5">
        <f t="shared" si="94"/>
        <v>17.192755999999999</v>
      </c>
    </row>
    <row r="1168" spans="1:22" x14ac:dyDescent="0.25">
      <c r="A1168" s="2" t="s">
        <v>1202</v>
      </c>
      <c r="B1168" s="2" t="s">
        <v>32</v>
      </c>
      <c r="C1168" s="2" t="s">
        <v>33</v>
      </c>
      <c r="D1168" s="2" t="s">
        <v>20</v>
      </c>
      <c r="E1168" s="2">
        <v>420.44</v>
      </c>
      <c r="F1168" s="2">
        <v>10.46</v>
      </c>
      <c r="G1168" s="2">
        <v>29.95</v>
      </c>
      <c r="H1168" s="2">
        <v>0.5</v>
      </c>
      <c r="I1168" s="2">
        <v>0.9</v>
      </c>
      <c r="J1168" s="2">
        <v>26</v>
      </c>
      <c r="K1168" s="2" t="s">
        <v>21</v>
      </c>
      <c r="L1168" s="2">
        <v>0.52</v>
      </c>
      <c r="M1168" s="2" t="s">
        <v>37</v>
      </c>
      <c r="N1168" s="2">
        <v>50.78</v>
      </c>
      <c r="O1168" s="2" t="s">
        <v>23</v>
      </c>
      <c r="P1168" s="2">
        <v>9.2899999999999991</v>
      </c>
      <c r="Q1168" s="2">
        <v>8.0299999999999994</v>
      </c>
      <c r="R1168" s="3">
        <f t="shared" si="90"/>
        <v>3905.8875999999996</v>
      </c>
      <c r="S1168" s="3">
        <f t="shared" si="91"/>
        <v>3376.1331999999998</v>
      </c>
      <c r="T1168" s="3">
        <f t="shared" si="92"/>
        <v>-529.75439999999981</v>
      </c>
      <c r="U1168" s="4">
        <f t="shared" si="93"/>
        <v>-0.15691158156911578</v>
      </c>
      <c r="V1168" s="5">
        <f t="shared" si="94"/>
        <v>2.1862880000000002</v>
      </c>
    </row>
    <row r="1169" spans="1:22" x14ac:dyDescent="0.25">
      <c r="A1169" s="2" t="s">
        <v>1203</v>
      </c>
      <c r="B1169" s="2" t="s">
        <v>45</v>
      </c>
      <c r="C1169" s="2" t="s">
        <v>43</v>
      </c>
      <c r="D1169" s="2" t="s">
        <v>20</v>
      </c>
      <c r="E1169" s="2">
        <v>542.44000000000005</v>
      </c>
      <c r="F1169" s="2">
        <v>8.6300000000000008</v>
      </c>
      <c r="G1169" s="2">
        <v>24.28</v>
      </c>
      <c r="H1169" s="2">
        <v>0.4</v>
      </c>
      <c r="I1169" s="2">
        <v>0.1</v>
      </c>
      <c r="J1169" s="2">
        <v>24</v>
      </c>
      <c r="K1169" s="2" t="s">
        <v>34</v>
      </c>
      <c r="L1169" s="2">
        <v>1.64</v>
      </c>
      <c r="M1169" s="2" t="s">
        <v>22</v>
      </c>
      <c r="N1169" s="2">
        <v>59.01</v>
      </c>
      <c r="O1169" s="2" t="s">
        <v>30</v>
      </c>
      <c r="P1169" s="2">
        <v>4.3899999999999997</v>
      </c>
      <c r="Q1169" s="2">
        <v>12.54</v>
      </c>
      <c r="R1169" s="3">
        <f t="shared" si="90"/>
        <v>2381.3116</v>
      </c>
      <c r="S1169" s="3">
        <f t="shared" si="91"/>
        <v>6802.1976000000004</v>
      </c>
      <c r="T1169" s="3">
        <f t="shared" si="92"/>
        <v>4420.8860000000004</v>
      </c>
      <c r="U1169" s="4">
        <f t="shared" si="93"/>
        <v>0.64992025518341312</v>
      </c>
      <c r="V1169" s="5">
        <f t="shared" si="94"/>
        <v>8.8960160000000013</v>
      </c>
    </row>
    <row r="1170" spans="1:22" x14ac:dyDescent="0.25">
      <c r="A1170" s="2" t="s">
        <v>1204</v>
      </c>
      <c r="B1170" s="2" t="s">
        <v>18</v>
      </c>
      <c r="C1170" s="2" t="s">
        <v>33</v>
      </c>
      <c r="D1170" s="2" t="s">
        <v>20</v>
      </c>
      <c r="E1170" s="2">
        <v>627.95000000000005</v>
      </c>
      <c r="F1170" s="2">
        <v>9.32</v>
      </c>
      <c r="G1170" s="2">
        <v>21.2</v>
      </c>
      <c r="H1170" s="2">
        <v>0</v>
      </c>
      <c r="I1170" s="2">
        <v>0.4</v>
      </c>
      <c r="J1170" s="2">
        <v>9</v>
      </c>
      <c r="K1170" s="2" t="s">
        <v>21</v>
      </c>
      <c r="L1170" s="2">
        <v>7.63</v>
      </c>
      <c r="M1170" s="2" t="s">
        <v>22</v>
      </c>
      <c r="N1170" s="2">
        <v>96.5</v>
      </c>
      <c r="O1170" s="2" t="s">
        <v>30</v>
      </c>
      <c r="P1170" s="2">
        <v>3.69</v>
      </c>
      <c r="Q1170" s="2">
        <v>9.74</v>
      </c>
      <c r="R1170" s="3">
        <f t="shared" si="90"/>
        <v>2317.1355000000003</v>
      </c>
      <c r="S1170" s="3">
        <f t="shared" si="91"/>
        <v>6116.2330000000002</v>
      </c>
      <c r="T1170" s="3">
        <f t="shared" si="92"/>
        <v>3799.0974999999999</v>
      </c>
      <c r="U1170" s="4">
        <f t="shared" si="93"/>
        <v>0.62114989733059545</v>
      </c>
      <c r="V1170" s="5">
        <f t="shared" si="94"/>
        <v>47.912585</v>
      </c>
    </row>
    <row r="1171" spans="1:22" x14ac:dyDescent="0.25">
      <c r="A1171" s="2" t="s">
        <v>1205</v>
      </c>
      <c r="B1171" s="2" t="s">
        <v>18</v>
      </c>
      <c r="C1171" s="2" t="s">
        <v>27</v>
      </c>
      <c r="D1171" s="2" t="s">
        <v>20</v>
      </c>
      <c r="E1171" s="2">
        <v>278.32</v>
      </c>
      <c r="F1171" s="2">
        <v>16.59</v>
      </c>
      <c r="G1171" s="2">
        <v>26.51</v>
      </c>
      <c r="H1171" s="2">
        <v>3</v>
      </c>
      <c r="I1171" s="2">
        <v>1.4</v>
      </c>
      <c r="J1171" s="2">
        <v>24</v>
      </c>
      <c r="K1171" s="2" t="s">
        <v>29</v>
      </c>
      <c r="L1171" s="2">
        <v>2.62</v>
      </c>
      <c r="M1171" s="2" t="s">
        <v>40</v>
      </c>
      <c r="N1171" s="2">
        <v>83.18</v>
      </c>
      <c r="O1171" s="2" t="s">
        <v>24</v>
      </c>
      <c r="P1171" s="2">
        <v>7.83</v>
      </c>
      <c r="Q1171" s="2">
        <v>13.99</v>
      </c>
      <c r="R1171" s="3">
        <f t="shared" si="90"/>
        <v>2179.2455999999997</v>
      </c>
      <c r="S1171" s="3">
        <f t="shared" si="91"/>
        <v>3893.6968000000002</v>
      </c>
      <c r="T1171" s="3">
        <f t="shared" si="92"/>
        <v>1714.4512000000004</v>
      </c>
      <c r="U1171" s="4">
        <f t="shared" si="93"/>
        <v>0.44031451036454622</v>
      </c>
      <c r="V1171" s="5">
        <f t="shared" si="94"/>
        <v>7.2919840000000002</v>
      </c>
    </row>
    <row r="1172" spans="1:22" x14ac:dyDescent="0.25">
      <c r="A1172" s="2" t="s">
        <v>1206</v>
      </c>
      <c r="B1172" s="2" t="s">
        <v>26</v>
      </c>
      <c r="C1172" s="2" t="s">
        <v>19</v>
      </c>
      <c r="D1172" s="2" t="s">
        <v>20</v>
      </c>
      <c r="E1172" s="2">
        <v>550.27</v>
      </c>
      <c r="F1172" s="2">
        <v>14.34</v>
      </c>
      <c r="G1172" s="2">
        <v>22.87</v>
      </c>
      <c r="H1172" s="2">
        <v>4.2</v>
      </c>
      <c r="I1172" s="2">
        <v>0.3</v>
      </c>
      <c r="J1172" s="2">
        <v>19</v>
      </c>
      <c r="K1172" s="2" t="s">
        <v>29</v>
      </c>
      <c r="L1172" s="2">
        <v>9.9499999999999993</v>
      </c>
      <c r="M1172" s="2" t="s">
        <v>40</v>
      </c>
      <c r="N1172" s="2">
        <v>65.28</v>
      </c>
      <c r="O1172" s="2" t="s">
        <v>24</v>
      </c>
      <c r="P1172" s="2">
        <v>8.76</v>
      </c>
      <c r="Q1172" s="2">
        <v>12.97</v>
      </c>
      <c r="R1172" s="3">
        <f t="shared" si="90"/>
        <v>4820.3651999999993</v>
      </c>
      <c r="S1172" s="3">
        <f t="shared" si="91"/>
        <v>7137.0019000000002</v>
      </c>
      <c r="T1172" s="3">
        <f t="shared" si="92"/>
        <v>2316.6367000000009</v>
      </c>
      <c r="U1172" s="4">
        <f t="shared" si="93"/>
        <v>0.32459521973785671</v>
      </c>
      <c r="V1172" s="5">
        <f t="shared" si="94"/>
        <v>54.751864999999995</v>
      </c>
    </row>
    <row r="1173" spans="1:22" x14ac:dyDescent="0.25">
      <c r="A1173" s="2" t="s">
        <v>1207</v>
      </c>
      <c r="B1173" s="2" t="s">
        <v>18</v>
      </c>
      <c r="C1173" s="2" t="s">
        <v>19</v>
      </c>
      <c r="D1173" s="2" t="s">
        <v>20</v>
      </c>
      <c r="E1173" s="2">
        <v>250.67</v>
      </c>
      <c r="F1173" s="2">
        <v>10.53</v>
      </c>
      <c r="G1173" s="2">
        <v>34.200000000000003</v>
      </c>
      <c r="H1173" s="2">
        <v>1.9</v>
      </c>
      <c r="I1173" s="2">
        <v>1.4</v>
      </c>
      <c r="J1173" s="2">
        <v>25</v>
      </c>
      <c r="K1173" s="2" t="s">
        <v>34</v>
      </c>
      <c r="L1173" s="2">
        <v>2.09</v>
      </c>
      <c r="M1173" s="2" t="s">
        <v>37</v>
      </c>
      <c r="N1173" s="2">
        <v>52.27</v>
      </c>
      <c r="O1173" s="2" t="s">
        <v>23</v>
      </c>
      <c r="P1173" s="2">
        <v>8.9499999999999993</v>
      </c>
      <c r="Q1173" s="2">
        <v>14.01</v>
      </c>
      <c r="R1173" s="3">
        <f t="shared" si="90"/>
        <v>2243.4964999999997</v>
      </c>
      <c r="S1173" s="3">
        <f t="shared" si="91"/>
        <v>3511.8866999999996</v>
      </c>
      <c r="T1173" s="3">
        <f t="shared" si="92"/>
        <v>1268.3901999999998</v>
      </c>
      <c r="U1173" s="4">
        <f t="shared" si="93"/>
        <v>0.3611705924339757</v>
      </c>
      <c r="V1173" s="5">
        <f t="shared" si="94"/>
        <v>5.2390029999999994</v>
      </c>
    </row>
    <row r="1174" spans="1:22" x14ac:dyDescent="0.25">
      <c r="A1174" s="2" t="s">
        <v>1208</v>
      </c>
      <c r="B1174" s="2" t="s">
        <v>18</v>
      </c>
      <c r="C1174" s="2" t="s">
        <v>43</v>
      </c>
      <c r="D1174" s="2" t="s">
        <v>20</v>
      </c>
      <c r="E1174" s="2">
        <v>403.43</v>
      </c>
      <c r="F1174" s="2">
        <v>13.55</v>
      </c>
      <c r="G1174" s="2">
        <v>30.67</v>
      </c>
      <c r="H1174" s="2">
        <v>0.4</v>
      </c>
      <c r="I1174" s="2">
        <v>1.4</v>
      </c>
      <c r="J1174" s="2">
        <v>19</v>
      </c>
      <c r="K1174" s="2" t="s">
        <v>34</v>
      </c>
      <c r="L1174" s="2">
        <v>7.99</v>
      </c>
      <c r="M1174" s="2" t="s">
        <v>22</v>
      </c>
      <c r="N1174" s="2">
        <v>79.3</v>
      </c>
      <c r="O1174" s="2" t="s">
        <v>23</v>
      </c>
      <c r="P1174" s="2">
        <v>7.49</v>
      </c>
      <c r="Q1174" s="2">
        <v>7.14</v>
      </c>
      <c r="R1174" s="3">
        <f t="shared" si="90"/>
        <v>3021.6907000000001</v>
      </c>
      <c r="S1174" s="3">
        <f t="shared" si="91"/>
        <v>2880.4901999999997</v>
      </c>
      <c r="T1174" s="3">
        <f t="shared" si="92"/>
        <v>-141.20050000000037</v>
      </c>
      <c r="U1174" s="4">
        <f t="shared" si="93"/>
        <v>-4.9019607843137393E-2</v>
      </c>
      <c r="V1174" s="5">
        <f t="shared" si="94"/>
        <v>32.234057</v>
      </c>
    </row>
    <row r="1175" spans="1:22" x14ac:dyDescent="0.25">
      <c r="A1175" s="2" t="s">
        <v>1209</v>
      </c>
      <c r="B1175" s="2" t="s">
        <v>18</v>
      </c>
      <c r="C1175" s="2" t="s">
        <v>33</v>
      </c>
      <c r="D1175" s="2" t="s">
        <v>20</v>
      </c>
      <c r="E1175" s="2">
        <v>662.92</v>
      </c>
      <c r="F1175" s="2">
        <v>13.28</v>
      </c>
      <c r="G1175" s="2">
        <v>22.88</v>
      </c>
      <c r="H1175" s="2">
        <v>0.7</v>
      </c>
      <c r="I1175" s="2">
        <v>0.3</v>
      </c>
      <c r="J1175" s="2">
        <v>24</v>
      </c>
      <c r="K1175" s="2" t="s">
        <v>21</v>
      </c>
      <c r="L1175" s="2">
        <v>7.2</v>
      </c>
      <c r="M1175" s="2" t="s">
        <v>22</v>
      </c>
      <c r="N1175" s="2">
        <v>61.14</v>
      </c>
      <c r="O1175" s="2" t="s">
        <v>30</v>
      </c>
      <c r="P1175" s="2">
        <v>8.83</v>
      </c>
      <c r="Q1175" s="2">
        <v>11.68</v>
      </c>
      <c r="R1175" s="3">
        <f t="shared" si="90"/>
        <v>5853.5835999999999</v>
      </c>
      <c r="S1175" s="3">
        <f t="shared" si="91"/>
        <v>7742.9055999999991</v>
      </c>
      <c r="T1175" s="3">
        <f t="shared" si="92"/>
        <v>1889.3219999999992</v>
      </c>
      <c r="U1175" s="4">
        <f t="shared" si="93"/>
        <v>0.24400684931506841</v>
      </c>
      <c r="V1175" s="5">
        <f t="shared" si="94"/>
        <v>47.730239999999995</v>
      </c>
    </row>
    <row r="1176" spans="1:22" x14ac:dyDescent="0.25">
      <c r="A1176" s="2" t="s">
        <v>1210</v>
      </c>
      <c r="B1176" s="2" t="s">
        <v>32</v>
      </c>
      <c r="C1176" s="2" t="s">
        <v>19</v>
      </c>
      <c r="D1176" s="2" t="s">
        <v>20</v>
      </c>
      <c r="E1176" s="2">
        <v>441.82</v>
      </c>
      <c r="F1176" s="2">
        <v>14.55</v>
      </c>
      <c r="G1176" s="2">
        <v>20.18</v>
      </c>
      <c r="H1176" s="2">
        <v>1.3</v>
      </c>
      <c r="I1176" s="2">
        <v>1.3</v>
      </c>
      <c r="J1176" s="2">
        <v>26</v>
      </c>
      <c r="K1176" s="2" t="s">
        <v>29</v>
      </c>
      <c r="L1176" s="2">
        <v>3.56</v>
      </c>
      <c r="M1176" s="2" t="s">
        <v>22</v>
      </c>
      <c r="N1176" s="2">
        <v>98.01</v>
      </c>
      <c r="O1176" s="2" t="s">
        <v>24</v>
      </c>
      <c r="P1176" s="2">
        <v>7.9</v>
      </c>
      <c r="Q1176" s="2">
        <v>12.38</v>
      </c>
      <c r="R1176" s="3">
        <f t="shared" si="90"/>
        <v>3490.3780000000002</v>
      </c>
      <c r="S1176" s="3">
        <f t="shared" si="91"/>
        <v>5469.7316000000001</v>
      </c>
      <c r="T1176" s="3">
        <f t="shared" si="92"/>
        <v>1979.3535999999999</v>
      </c>
      <c r="U1176" s="4">
        <f t="shared" si="93"/>
        <v>0.36187399030694667</v>
      </c>
      <c r="V1176" s="5">
        <f t="shared" si="94"/>
        <v>15.728792</v>
      </c>
    </row>
    <row r="1177" spans="1:22" x14ac:dyDescent="0.25">
      <c r="A1177" s="2" t="s">
        <v>1211</v>
      </c>
      <c r="B1177" s="2" t="s">
        <v>18</v>
      </c>
      <c r="C1177" s="2" t="s">
        <v>33</v>
      </c>
      <c r="D1177" s="2" t="s">
        <v>20</v>
      </c>
      <c r="E1177" s="2">
        <v>382.61</v>
      </c>
      <c r="F1177" s="2">
        <v>10.33</v>
      </c>
      <c r="G1177" s="2">
        <v>36.159999999999997</v>
      </c>
      <c r="H1177" s="2">
        <v>6.2</v>
      </c>
      <c r="I1177" s="2">
        <v>1.4</v>
      </c>
      <c r="J1177" s="2">
        <v>9</v>
      </c>
      <c r="K1177" s="2" t="s">
        <v>21</v>
      </c>
      <c r="L1177" s="2">
        <v>3.64</v>
      </c>
      <c r="M1177" s="2" t="s">
        <v>37</v>
      </c>
      <c r="N1177" s="2">
        <v>84.35</v>
      </c>
      <c r="O1177" s="2" t="s">
        <v>30</v>
      </c>
      <c r="P1177" s="2">
        <v>3.61</v>
      </c>
      <c r="Q1177" s="2">
        <v>12.42</v>
      </c>
      <c r="R1177" s="3">
        <f t="shared" si="90"/>
        <v>1381.2221</v>
      </c>
      <c r="S1177" s="3">
        <f t="shared" si="91"/>
        <v>4752.0162</v>
      </c>
      <c r="T1177" s="3">
        <f t="shared" si="92"/>
        <v>3370.7941000000001</v>
      </c>
      <c r="U1177" s="4">
        <f t="shared" si="93"/>
        <v>0.7093397745571659</v>
      </c>
      <c r="V1177" s="5">
        <f t="shared" si="94"/>
        <v>13.927004000000002</v>
      </c>
    </row>
    <row r="1178" spans="1:22" x14ac:dyDescent="0.25">
      <c r="A1178" s="2" t="s">
        <v>1212</v>
      </c>
      <c r="B1178" s="2" t="s">
        <v>18</v>
      </c>
      <c r="C1178" s="2" t="s">
        <v>33</v>
      </c>
      <c r="D1178" s="2" t="s">
        <v>20</v>
      </c>
      <c r="E1178" s="2">
        <v>480.21</v>
      </c>
      <c r="F1178" s="2">
        <v>16.64</v>
      </c>
      <c r="G1178" s="2">
        <v>23.52</v>
      </c>
      <c r="H1178" s="2">
        <v>0.6</v>
      </c>
      <c r="I1178" s="2">
        <v>0.5</v>
      </c>
      <c r="J1178" s="2">
        <v>23</v>
      </c>
      <c r="K1178" s="2" t="s">
        <v>21</v>
      </c>
      <c r="L1178" s="2">
        <v>5.85</v>
      </c>
      <c r="M1178" s="2" t="s">
        <v>37</v>
      </c>
      <c r="N1178" s="2">
        <v>98.71</v>
      </c>
      <c r="O1178" s="2" t="s">
        <v>30</v>
      </c>
      <c r="P1178" s="2">
        <v>8.33</v>
      </c>
      <c r="Q1178" s="2">
        <v>10.039999999999999</v>
      </c>
      <c r="R1178" s="3">
        <f t="shared" si="90"/>
        <v>4000.1493</v>
      </c>
      <c r="S1178" s="3">
        <f t="shared" si="91"/>
        <v>4821.308399999999</v>
      </c>
      <c r="T1178" s="3">
        <f t="shared" si="92"/>
        <v>821.15909999999894</v>
      </c>
      <c r="U1178" s="4">
        <f t="shared" si="93"/>
        <v>0.17031872509960141</v>
      </c>
      <c r="V1178" s="5">
        <f t="shared" si="94"/>
        <v>28.092284999999997</v>
      </c>
    </row>
    <row r="1179" spans="1:22" x14ac:dyDescent="0.25">
      <c r="A1179" s="2" t="s">
        <v>1213</v>
      </c>
      <c r="B1179" s="2" t="s">
        <v>26</v>
      </c>
      <c r="C1179" s="2" t="s">
        <v>43</v>
      </c>
      <c r="D1179" s="2" t="s">
        <v>20</v>
      </c>
      <c r="E1179" s="2">
        <v>706.79</v>
      </c>
      <c r="F1179" s="2">
        <v>11.09</v>
      </c>
      <c r="G1179" s="2">
        <v>32.119999999999997</v>
      </c>
      <c r="H1179" s="2">
        <v>2.6</v>
      </c>
      <c r="I1179" s="2">
        <v>0.2</v>
      </c>
      <c r="J1179" s="2">
        <v>4</v>
      </c>
      <c r="K1179" s="2" t="s">
        <v>21</v>
      </c>
      <c r="L1179" s="2">
        <v>8.6</v>
      </c>
      <c r="M1179" s="2" t="s">
        <v>37</v>
      </c>
      <c r="N1179" s="2">
        <v>92.44</v>
      </c>
      <c r="O1179" s="2" t="s">
        <v>23</v>
      </c>
      <c r="P1179" s="2">
        <v>4.26</v>
      </c>
      <c r="Q1179" s="2">
        <v>5.1100000000000003</v>
      </c>
      <c r="R1179" s="3">
        <f t="shared" si="90"/>
        <v>3010.9253999999996</v>
      </c>
      <c r="S1179" s="3">
        <f t="shared" si="91"/>
        <v>3611.6968999999999</v>
      </c>
      <c r="T1179" s="3">
        <f t="shared" si="92"/>
        <v>600.77150000000029</v>
      </c>
      <c r="U1179" s="4">
        <f t="shared" si="93"/>
        <v>0.1663405088062623</v>
      </c>
      <c r="V1179" s="5">
        <f t="shared" si="94"/>
        <v>60.783939999999994</v>
      </c>
    </row>
    <row r="1180" spans="1:22" x14ac:dyDescent="0.25">
      <c r="A1180" s="2" t="s">
        <v>1214</v>
      </c>
      <c r="B1180" s="2" t="s">
        <v>18</v>
      </c>
      <c r="C1180" s="2" t="s">
        <v>19</v>
      </c>
      <c r="D1180" s="2" t="s">
        <v>20</v>
      </c>
      <c r="E1180" s="2">
        <v>316.83</v>
      </c>
      <c r="F1180" s="2">
        <v>14.94</v>
      </c>
      <c r="G1180" s="2">
        <v>26.74</v>
      </c>
      <c r="H1180" s="2">
        <v>1.2</v>
      </c>
      <c r="I1180" s="2">
        <v>0.7</v>
      </c>
      <c r="J1180" s="2">
        <v>10</v>
      </c>
      <c r="K1180" s="2" t="s">
        <v>34</v>
      </c>
      <c r="L1180" s="2">
        <v>4.17</v>
      </c>
      <c r="M1180" s="2" t="s">
        <v>40</v>
      </c>
      <c r="N1180" s="2">
        <v>74.150000000000006</v>
      </c>
      <c r="O1180" s="2" t="s">
        <v>23</v>
      </c>
      <c r="P1180" s="2">
        <v>4.66</v>
      </c>
      <c r="Q1180" s="2">
        <v>7.61</v>
      </c>
      <c r="R1180" s="3">
        <f t="shared" si="90"/>
        <v>1476.4277999999999</v>
      </c>
      <c r="S1180" s="3">
        <f t="shared" si="91"/>
        <v>2411.0763000000002</v>
      </c>
      <c r="T1180" s="3">
        <f t="shared" si="92"/>
        <v>934.64850000000024</v>
      </c>
      <c r="U1180" s="4">
        <f t="shared" si="93"/>
        <v>0.38764783180026291</v>
      </c>
      <c r="V1180" s="5">
        <f t="shared" si="94"/>
        <v>13.211811000000001</v>
      </c>
    </row>
    <row r="1181" spans="1:22" x14ac:dyDescent="0.25">
      <c r="A1181" s="2" t="s">
        <v>1215</v>
      </c>
      <c r="B1181" s="2" t="s">
        <v>18</v>
      </c>
      <c r="C1181" s="2" t="s">
        <v>43</v>
      </c>
      <c r="D1181" s="2" t="s">
        <v>20</v>
      </c>
      <c r="E1181" s="2">
        <v>394.87</v>
      </c>
      <c r="F1181" s="2">
        <v>8.16</v>
      </c>
      <c r="G1181" s="2">
        <v>31.71</v>
      </c>
      <c r="H1181" s="2">
        <v>0.7</v>
      </c>
      <c r="I1181" s="2">
        <v>2.5</v>
      </c>
      <c r="J1181" s="2">
        <v>9</v>
      </c>
      <c r="K1181" s="2" t="s">
        <v>29</v>
      </c>
      <c r="L1181" s="2">
        <v>1.08</v>
      </c>
      <c r="M1181" s="2" t="s">
        <v>22</v>
      </c>
      <c r="N1181" s="2">
        <v>83.48</v>
      </c>
      <c r="O1181" s="2" t="s">
        <v>23</v>
      </c>
      <c r="P1181" s="2">
        <v>5.76</v>
      </c>
      <c r="Q1181" s="2">
        <v>8.23</v>
      </c>
      <c r="R1181" s="3">
        <f t="shared" si="90"/>
        <v>2274.4512</v>
      </c>
      <c r="S1181" s="3">
        <f t="shared" si="91"/>
        <v>3249.7801000000004</v>
      </c>
      <c r="T1181" s="3">
        <f t="shared" si="92"/>
        <v>975.32890000000043</v>
      </c>
      <c r="U1181" s="4">
        <f t="shared" si="93"/>
        <v>0.30012150668286763</v>
      </c>
      <c r="V1181" s="5">
        <f t="shared" si="94"/>
        <v>4.2645960000000001</v>
      </c>
    </row>
    <row r="1182" spans="1:22" x14ac:dyDescent="0.25">
      <c r="A1182" s="2" t="s">
        <v>1216</v>
      </c>
      <c r="B1182" s="2" t="s">
        <v>45</v>
      </c>
      <c r="C1182" s="2" t="s">
        <v>43</v>
      </c>
      <c r="D1182" s="2" t="s">
        <v>20</v>
      </c>
      <c r="E1182" s="2">
        <v>649.74</v>
      </c>
      <c r="F1182" s="2">
        <v>11.73</v>
      </c>
      <c r="G1182" s="2">
        <v>26.31</v>
      </c>
      <c r="H1182" s="2">
        <v>1.2</v>
      </c>
      <c r="I1182" s="2">
        <v>1</v>
      </c>
      <c r="J1182" s="2">
        <v>19</v>
      </c>
      <c r="K1182" s="2" t="s">
        <v>21</v>
      </c>
      <c r="L1182" s="2">
        <v>4.0599999999999996</v>
      </c>
      <c r="M1182" s="2" t="s">
        <v>40</v>
      </c>
      <c r="N1182" s="2">
        <v>90.61</v>
      </c>
      <c r="O1182" s="2" t="s">
        <v>24</v>
      </c>
      <c r="P1182" s="2">
        <v>5.2</v>
      </c>
      <c r="Q1182" s="2">
        <v>13.52</v>
      </c>
      <c r="R1182" s="3">
        <f t="shared" si="90"/>
        <v>3378.6480000000001</v>
      </c>
      <c r="S1182" s="3">
        <f t="shared" si="91"/>
        <v>8784.4848000000002</v>
      </c>
      <c r="T1182" s="3">
        <f t="shared" si="92"/>
        <v>5405.8368</v>
      </c>
      <c r="U1182" s="4">
        <f t="shared" si="93"/>
        <v>0.61538461538461542</v>
      </c>
      <c r="V1182" s="5">
        <f t="shared" si="94"/>
        <v>26.379443999999999</v>
      </c>
    </row>
    <row r="1183" spans="1:22" x14ac:dyDescent="0.25">
      <c r="A1183" s="2" t="s">
        <v>1217</v>
      </c>
      <c r="B1183" s="2" t="s">
        <v>26</v>
      </c>
      <c r="C1183" s="2" t="s">
        <v>19</v>
      </c>
      <c r="D1183" s="2" t="s">
        <v>28</v>
      </c>
      <c r="E1183" s="2">
        <v>685.77</v>
      </c>
      <c r="F1183" s="2">
        <v>11.52</v>
      </c>
      <c r="G1183" s="2">
        <v>21.74</v>
      </c>
      <c r="H1183" s="2">
        <v>0.1</v>
      </c>
      <c r="I1183" s="2">
        <v>0.2</v>
      </c>
      <c r="J1183" s="2">
        <v>15</v>
      </c>
      <c r="K1183" s="2" t="s">
        <v>29</v>
      </c>
      <c r="L1183" s="2">
        <v>2.4700000000000002</v>
      </c>
      <c r="M1183" s="2" t="s">
        <v>40</v>
      </c>
      <c r="N1183" s="2">
        <v>78.91</v>
      </c>
      <c r="O1183" s="2" t="s">
        <v>23</v>
      </c>
      <c r="P1183" s="2">
        <v>5.25</v>
      </c>
      <c r="Q1183" s="2">
        <v>13.41</v>
      </c>
      <c r="R1183" s="3">
        <f t="shared" si="90"/>
        <v>3600.2925</v>
      </c>
      <c r="S1183" s="3">
        <f t="shared" si="91"/>
        <v>9196.1756999999998</v>
      </c>
      <c r="T1183" s="3">
        <f t="shared" si="92"/>
        <v>5595.8832000000002</v>
      </c>
      <c r="U1183" s="4">
        <f t="shared" si="93"/>
        <v>0.60850111856823275</v>
      </c>
      <c r="V1183" s="5">
        <f t="shared" si="94"/>
        <v>16.938518999999999</v>
      </c>
    </row>
    <row r="1184" spans="1:22" x14ac:dyDescent="0.25">
      <c r="A1184" s="2" t="s">
        <v>1218</v>
      </c>
      <c r="B1184" s="2" t="s">
        <v>26</v>
      </c>
      <c r="C1184" s="2" t="s">
        <v>19</v>
      </c>
      <c r="D1184" s="2" t="s">
        <v>20</v>
      </c>
      <c r="E1184" s="2">
        <v>489.66</v>
      </c>
      <c r="F1184" s="2">
        <v>13.43</v>
      </c>
      <c r="G1184" s="2">
        <v>24.46</v>
      </c>
      <c r="H1184" s="2">
        <v>3.2</v>
      </c>
      <c r="I1184" s="2">
        <v>1.1000000000000001</v>
      </c>
      <c r="J1184" s="2">
        <v>19</v>
      </c>
      <c r="K1184" s="2" t="s">
        <v>29</v>
      </c>
      <c r="L1184" s="2">
        <v>9.42</v>
      </c>
      <c r="M1184" s="2" t="s">
        <v>37</v>
      </c>
      <c r="N1184" s="2">
        <v>53.07</v>
      </c>
      <c r="O1184" s="2" t="s">
        <v>24</v>
      </c>
      <c r="P1184" s="2">
        <v>4.18</v>
      </c>
      <c r="Q1184" s="2">
        <v>6.05</v>
      </c>
      <c r="R1184" s="3">
        <f t="shared" si="90"/>
        <v>2046.7788</v>
      </c>
      <c r="S1184" s="3">
        <f t="shared" si="91"/>
        <v>2962.4430000000002</v>
      </c>
      <c r="T1184" s="3">
        <f t="shared" si="92"/>
        <v>915.66420000000016</v>
      </c>
      <c r="U1184" s="4">
        <f t="shared" si="93"/>
        <v>0.30909090909090914</v>
      </c>
      <c r="V1184" s="5">
        <f t="shared" si="94"/>
        <v>46.125972000000004</v>
      </c>
    </row>
    <row r="1185" spans="1:22" x14ac:dyDescent="0.25">
      <c r="A1185" s="2" t="s">
        <v>1219</v>
      </c>
      <c r="B1185" s="2" t="s">
        <v>26</v>
      </c>
      <c r="C1185" s="2" t="s">
        <v>27</v>
      </c>
      <c r="D1185" s="2" t="s">
        <v>28</v>
      </c>
      <c r="E1185" s="2">
        <v>376.09</v>
      </c>
      <c r="F1185" s="2">
        <v>8.73</v>
      </c>
      <c r="G1185" s="2">
        <v>23.76</v>
      </c>
      <c r="H1185" s="2">
        <v>0.6</v>
      </c>
      <c r="I1185" s="2">
        <v>0.6</v>
      </c>
      <c r="J1185" s="2">
        <v>2</v>
      </c>
      <c r="K1185" s="2" t="s">
        <v>21</v>
      </c>
      <c r="L1185" s="2">
        <v>7.12</v>
      </c>
      <c r="M1185" s="2" t="s">
        <v>22</v>
      </c>
      <c r="N1185" s="2">
        <v>73.52</v>
      </c>
      <c r="O1185" s="2" t="s">
        <v>30</v>
      </c>
      <c r="P1185" s="2">
        <v>5.0599999999999996</v>
      </c>
      <c r="Q1185" s="2">
        <v>14.5</v>
      </c>
      <c r="R1185" s="3">
        <f t="shared" si="90"/>
        <v>1903.0153999999998</v>
      </c>
      <c r="S1185" s="3">
        <f t="shared" si="91"/>
        <v>5453.3049999999994</v>
      </c>
      <c r="T1185" s="3">
        <f t="shared" si="92"/>
        <v>3550.2895999999996</v>
      </c>
      <c r="U1185" s="4">
        <f t="shared" si="93"/>
        <v>0.65103448275862075</v>
      </c>
      <c r="V1185" s="5">
        <f t="shared" si="94"/>
        <v>26.777608000000001</v>
      </c>
    </row>
    <row r="1186" spans="1:22" x14ac:dyDescent="0.25">
      <c r="A1186" s="2" t="s">
        <v>1220</v>
      </c>
      <c r="B1186" s="2" t="s">
        <v>26</v>
      </c>
      <c r="C1186" s="2" t="s">
        <v>27</v>
      </c>
      <c r="D1186" s="2" t="s">
        <v>20</v>
      </c>
      <c r="E1186" s="2">
        <v>709.58</v>
      </c>
      <c r="F1186" s="2">
        <v>15.9</v>
      </c>
      <c r="G1186" s="2">
        <v>28.56</v>
      </c>
      <c r="H1186" s="2">
        <v>2.6</v>
      </c>
      <c r="I1186" s="2">
        <v>0.9</v>
      </c>
      <c r="J1186" s="2">
        <v>10</v>
      </c>
      <c r="K1186" s="2" t="s">
        <v>21</v>
      </c>
      <c r="L1186" s="2">
        <v>0.98</v>
      </c>
      <c r="M1186" s="2" t="s">
        <v>40</v>
      </c>
      <c r="N1186" s="2">
        <v>56.53</v>
      </c>
      <c r="O1186" s="2" t="s">
        <v>24</v>
      </c>
      <c r="P1186" s="2">
        <v>3.14</v>
      </c>
      <c r="Q1186" s="2">
        <v>6.82</v>
      </c>
      <c r="R1186" s="3">
        <f t="shared" si="90"/>
        <v>2228.0812000000001</v>
      </c>
      <c r="S1186" s="3">
        <f t="shared" si="91"/>
        <v>4839.3356000000003</v>
      </c>
      <c r="T1186" s="3">
        <f t="shared" si="92"/>
        <v>2611.2544000000003</v>
      </c>
      <c r="U1186" s="4">
        <f t="shared" si="93"/>
        <v>0.53958944281524923</v>
      </c>
      <c r="V1186" s="5">
        <f t="shared" si="94"/>
        <v>6.9538840000000004</v>
      </c>
    </row>
    <row r="1187" spans="1:22" x14ac:dyDescent="0.25">
      <c r="A1187" s="2" t="s">
        <v>1221</v>
      </c>
      <c r="B1187" s="2" t="s">
        <v>26</v>
      </c>
      <c r="C1187" s="2" t="s">
        <v>33</v>
      </c>
      <c r="D1187" s="2" t="s">
        <v>20</v>
      </c>
      <c r="E1187" s="2">
        <v>659.44</v>
      </c>
      <c r="F1187" s="2">
        <v>10.18</v>
      </c>
      <c r="G1187" s="2">
        <v>33.17</v>
      </c>
      <c r="H1187" s="2">
        <v>0.1</v>
      </c>
      <c r="I1187" s="2">
        <v>1.3</v>
      </c>
      <c r="J1187" s="2">
        <v>19</v>
      </c>
      <c r="K1187" s="2" t="s">
        <v>34</v>
      </c>
      <c r="L1187" s="2">
        <v>3.28</v>
      </c>
      <c r="M1187" s="2" t="s">
        <v>22</v>
      </c>
      <c r="N1187" s="2">
        <v>85.74</v>
      </c>
      <c r="O1187" s="2" t="s">
        <v>23</v>
      </c>
      <c r="P1187" s="2">
        <v>6.31</v>
      </c>
      <c r="Q1187" s="2">
        <v>9.14</v>
      </c>
      <c r="R1187" s="3">
        <f t="shared" si="90"/>
        <v>4161.0663999999997</v>
      </c>
      <c r="S1187" s="3">
        <f t="shared" si="91"/>
        <v>6027.2816000000012</v>
      </c>
      <c r="T1187" s="3">
        <f t="shared" si="92"/>
        <v>1866.2152000000015</v>
      </c>
      <c r="U1187" s="4">
        <f t="shared" si="93"/>
        <v>0.30962800875273544</v>
      </c>
      <c r="V1187" s="5">
        <f t="shared" si="94"/>
        <v>21.629632000000001</v>
      </c>
    </row>
    <row r="1188" spans="1:22" x14ac:dyDescent="0.25">
      <c r="A1188" s="2" t="s">
        <v>1222</v>
      </c>
      <c r="B1188" s="2" t="s">
        <v>26</v>
      </c>
      <c r="C1188" s="2" t="s">
        <v>19</v>
      </c>
      <c r="D1188" s="2" t="s">
        <v>28</v>
      </c>
      <c r="E1188" s="2">
        <v>567.89</v>
      </c>
      <c r="F1188" s="2">
        <v>14.77</v>
      </c>
      <c r="G1188" s="2">
        <v>25.28</v>
      </c>
      <c r="H1188" s="2">
        <v>6.2</v>
      </c>
      <c r="I1188" s="2">
        <v>0.7</v>
      </c>
      <c r="J1188" s="2">
        <v>17</v>
      </c>
      <c r="K1188" s="2" t="s">
        <v>29</v>
      </c>
      <c r="L1188" s="2">
        <v>0.98</v>
      </c>
      <c r="M1188" s="2" t="s">
        <v>40</v>
      </c>
      <c r="N1188" s="2">
        <v>84.03</v>
      </c>
      <c r="O1188" s="2" t="s">
        <v>24</v>
      </c>
      <c r="P1188" s="2">
        <v>8.3800000000000008</v>
      </c>
      <c r="Q1188" s="2">
        <v>7.15</v>
      </c>
      <c r="R1188" s="3">
        <f t="shared" si="90"/>
        <v>4758.9182000000001</v>
      </c>
      <c r="S1188" s="3">
        <f t="shared" si="91"/>
        <v>4060.4135000000001</v>
      </c>
      <c r="T1188" s="3">
        <f t="shared" si="92"/>
        <v>-698.50469999999996</v>
      </c>
      <c r="U1188" s="4">
        <f t="shared" si="93"/>
        <v>-0.17202797202797201</v>
      </c>
      <c r="V1188" s="5">
        <f t="shared" si="94"/>
        <v>5.5653220000000001</v>
      </c>
    </row>
    <row r="1189" spans="1:22" x14ac:dyDescent="0.25">
      <c r="A1189" s="2" t="s">
        <v>1223</v>
      </c>
      <c r="B1189" s="2" t="s">
        <v>32</v>
      </c>
      <c r="C1189" s="2" t="s">
        <v>27</v>
      </c>
      <c r="D1189" s="2" t="s">
        <v>20</v>
      </c>
      <c r="E1189" s="2">
        <v>418.76</v>
      </c>
      <c r="F1189" s="2">
        <v>16.03</v>
      </c>
      <c r="G1189" s="2">
        <v>20.239999999999998</v>
      </c>
      <c r="H1189" s="2">
        <v>0.4</v>
      </c>
      <c r="I1189" s="2">
        <v>1.7</v>
      </c>
      <c r="J1189" s="2">
        <v>20</v>
      </c>
      <c r="K1189" s="2" t="s">
        <v>21</v>
      </c>
      <c r="L1189" s="2">
        <v>8.39</v>
      </c>
      <c r="M1189" s="2" t="s">
        <v>37</v>
      </c>
      <c r="N1189" s="2">
        <v>99.65</v>
      </c>
      <c r="O1189" s="2" t="s">
        <v>24</v>
      </c>
      <c r="P1189" s="2">
        <v>9.0399999999999991</v>
      </c>
      <c r="Q1189" s="2">
        <v>13.6</v>
      </c>
      <c r="R1189" s="3">
        <f t="shared" si="90"/>
        <v>3785.5903999999996</v>
      </c>
      <c r="S1189" s="3">
        <f t="shared" si="91"/>
        <v>5695.1359999999995</v>
      </c>
      <c r="T1189" s="3">
        <f t="shared" si="92"/>
        <v>1909.5455999999999</v>
      </c>
      <c r="U1189" s="4">
        <f t="shared" si="93"/>
        <v>0.33529411764705885</v>
      </c>
      <c r="V1189" s="5">
        <f t="shared" si="94"/>
        <v>35.133963999999999</v>
      </c>
    </row>
    <row r="1190" spans="1:22" x14ac:dyDescent="0.25">
      <c r="A1190" s="2" t="s">
        <v>1224</v>
      </c>
      <c r="B1190" s="2" t="s">
        <v>18</v>
      </c>
      <c r="C1190" s="2" t="s">
        <v>33</v>
      </c>
      <c r="D1190" s="2" t="s">
        <v>28</v>
      </c>
      <c r="E1190" s="2">
        <v>495.1</v>
      </c>
      <c r="F1190" s="2">
        <v>13.62</v>
      </c>
      <c r="G1190" s="2">
        <v>30.38</v>
      </c>
      <c r="H1190" s="2">
        <v>4.3</v>
      </c>
      <c r="I1190" s="2">
        <v>1.3</v>
      </c>
      <c r="J1190" s="2">
        <v>24</v>
      </c>
      <c r="K1190" s="2" t="s">
        <v>21</v>
      </c>
      <c r="L1190" s="2">
        <v>9.11</v>
      </c>
      <c r="M1190" s="2" t="s">
        <v>40</v>
      </c>
      <c r="N1190" s="2">
        <v>81.44</v>
      </c>
      <c r="O1190" s="2" t="s">
        <v>23</v>
      </c>
      <c r="P1190" s="2">
        <v>8.74</v>
      </c>
      <c r="Q1190" s="2">
        <v>12.49</v>
      </c>
      <c r="R1190" s="3">
        <f t="shared" si="90"/>
        <v>4327.174</v>
      </c>
      <c r="S1190" s="3">
        <f t="shared" si="91"/>
        <v>6183.799</v>
      </c>
      <c r="T1190" s="3">
        <f t="shared" si="92"/>
        <v>1856.625</v>
      </c>
      <c r="U1190" s="4">
        <f t="shared" si="93"/>
        <v>0.300240192153723</v>
      </c>
      <c r="V1190" s="5">
        <f t="shared" si="94"/>
        <v>45.103609999999996</v>
      </c>
    </row>
    <row r="1191" spans="1:22" x14ac:dyDescent="0.25">
      <c r="A1191" s="2" t="s">
        <v>1225</v>
      </c>
      <c r="B1191" s="2" t="s">
        <v>26</v>
      </c>
      <c r="C1191" s="2" t="s">
        <v>33</v>
      </c>
      <c r="D1191" s="2" t="s">
        <v>28</v>
      </c>
      <c r="E1191" s="2">
        <v>483.96</v>
      </c>
      <c r="F1191" s="2">
        <v>15.41</v>
      </c>
      <c r="G1191" s="2">
        <v>32.119999999999997</v>
      </c>
      <c r="H1191" s="2">
        <v>3.3</v>
      </c>
      <c r="I1191" s="2">
        <v>1</v>
      </c>
      <c r="J1191" s="2">
        <v>21</v>
      </c>
      <c r="K1191" s="2" t="s">
        <v>29</v>
      </c>
      <c r="L1191" s="2">
        <v>1.57</v>
      </c>
      <c r="M1191" s="2" t="s">
        <v>37</v>
      </c>
      <c r="N1191" s="2">
        <v>90.01</v>
      </c>
      <c r="O1191" s="2" t="s">
        <v>23</v>
      </c>
      <c r="P1191" s="2">
        <v>5.92</v>
      </c>
      <c r="Q1191" s="2">
        <v>8.5399999999999991</v>
      </c>
      <c r="R1191" s="3">
        <f t="shared" si="90"/>
        <v>2865.0432000000001</v>
      </c>
      <c r="S1191" s="3">
        <f t="shared" si="91"/>
        <v>4133.018399999999</v>
      </c>
      <c r="T1191" s="3">
        <f t="shared" si="92"/>
        <v>1267.9751999999989</v>
      </c>
      <c r="U1191" s="4">
        <f t="shared" si="93"/>
        <v>0.30679156908665089</v>
      </c>
      <c r="V1191" s="5">
        <f t="shared" si="94"/>
        <v>7.5981719999999999</v>
      </c>
    </row>
    <row r="1192" spans="1:22" x14ac:dyDescent="0.25">
      <c r="A1192" s="2" t="s">
        <v>1226</v>
      </c>
      <c r="B1192" s="2" t="s">
        <v>18</v>
      </c>
      <c r="C1192" s="2" t="s">
        <v>33</v>
      </c>
      <c r="D1192" s="2" t="s">
        <v>28</v>
      </c>
      <c r="E1192" s="2">
        <v>533.09</v>
      </c>
      <c r="F1192" s="2">
        <v>14.62</v>
      </c>
      <c r="G1192" s="2">
        <v>39.26</v>
      </c>
      <c r="H1192" s="2">
        <v>6.9</v>
      </c>
      <c r="I1192" s="2">
        <v>0.2</v>
      </c>
      <c r="J1192" s="2">
        <v>2</v>
      </c>
      <c r="K1192" s="2" t="s">
        <v>21</v>
      </c>
      <c r="L1192" s="2">
        <v>4.68</v>
      </c>
      <c r="M1192" s="2" t="s">
        <v>22</v>
      </c>
      <c r="N1192" s="2">
        <v>63.41</v>
      </c>
      <c r="O1192" s="2" t="s">
        <v>30</v>
      </c>
      <c r="P1192" s="2">
        <v>8.11</v>
      </c>
      <c r="Q1192" s="2">
        <v>11.82</v>
      </c>
      <c r="R1192" s="3">
        <f t="shared" si="90"/>
        <v>4323.3599000000004</v>
      </c>
      <c r="S1192" s="3">
        <f t="shared" si="91"/>
        <v>6301.1238000000003</v>
      </c>
      <c r="T1192" s="3">
        <f t="shared" si="92"/>
        <v>1977.7638999999999</v>
      </c>
      <c r="U1192" s="4">
        <f t="shared" si="93"/>
        <v>0.31387478849407779</v>
      </c>
      <c r="V1192" s="5">
        <f t="shared" si="94"/>
        <v>24.948611999999997</v>
      </c>
    </row>
    <row r="1193" spans="1:22" x14ac:dyDescent="0.25">
      <c r="A1193" s="2" t="s">
        <v>1227</v>
      </c>
      <c r="B1193" s="2" t="s">
        <v>18</v>
      </c>
      <c r="C1193" s="2" t="s">
        <v>27</v>
      </c>
      <c r="D1193" s="2" t="s">
        <v>20</v>
      </c>
      <c r="E1193" s="2">
        <v>645.1</v>
      </c>
      <c r="F1193" s="2">
        <v>11.56</v>
      </c>
      <c r="G1193" s="2">
        <v>31.79</v>
      </c>
      <c r="H1193" s="2">
        <v>1.3</v>
      </c>
      <c r="I1193" s="2">
        <v>1.8</v>
      </c>
      <c r="J1193" s="2">
        <v>19</v>
      </c>
      <c r="K1193" s="2" t="s">
        <v>29</v>
      </c>
      <c r="L1193" s="2">
        <v>9.35</v>
      </c>
      <c r="M1193" s="2" t="s">
        <v>40</v>
      </c>
      <c r="N1193" s="2">
        <v>67</v>
      </c>
      <c r="O1193" s="2" t="s">
        <v>24</v>
      </c>
      <c r="P1193" s="2">
        <v>5.0199999999999996</v>
      </c>
      <c r="Q1193" s="2">
        <v>6.84</v>
      </c>
      <c r="R1193" s="3">
        <f t="shared" si="90"/>
        <v>3238.402</v>
      </c>
      <c r="S1193" s="3">
        <f t="shared" si="91"/>
        <v>4412.4840000000004</v>
      </c>
      <c r="T1193" s="3">
        <f t="shared" si="92"/>
        <v>1174.0820000000003</v>
      </c>
      <c r="U1193" s="4">
        <f t="shared" si="93"/>
        <v>0.26608187134502931</v>
      </c>
      <c r="V1193" s="5">
        <f t="shared" si="94"/>
        <v>60.316850000000002</v>
      </c>
    </row>
    <row r="1194" spans="1:22" x14ac:dyDescent="0.25">
      <c r="A1194" s="2" t="s">
        <v>1228</v>
      </c>
      <c r="B1194" s="2" t="s">
        <v>32</v>
      </c>
      <c r="C1194" s="2" t="s">
        <v>19</v>
      </c>
      <c r="D1194" s="2" t="s">
        <v>20</v>
      </c>
      <c r="E1194" s="2">
        <v>587.94000000000005</v>
      </c>
      <c r="F1194" s="2">
        <v>16.09</v>
      </c>
      <c r="G1194" s="2">
        <v>29.42</v>
      </c>
      <c r="H1194" s="2">
        <v>2.6</v>
      </c>
      <c r="I1194" s="2">
        <v>2.7</v>
      </c>
      <c r="J1194" s="2">
        <v>17</v>
      </c>
      <c r="K1194" s="2" t="s">
        <v>21</v>
      </c>
      <c r="L1194" s="2">
        <v>1.88</v>
      </c>
      <c r="M1194" s="2" t="s">
        <v>40</v>
      </c>
      <c r="N1194" s="2">
        <v>95.85</v>
      </c>
      <c r="O1194" s="2" t="s">
        <v>30</v>
      </c>
      <c r="P1194" s="2">
        <v>3.39</v>
      </c>
      <c r="Q1194" s="2">
        <v>8.82</v>
      </c>
      <c r="R1194" s="3">
        <f t="shared" si="90"/>
        <v>1993.1166000000003</v>
      </c>
      <c r="S1194" s="3">
        <f t="shared" si="91"/>
        <v>5185.6308000000008</v>
      </c>
      <c r="T1194" s="3">
        <f t="shared" si="92"/>
        <v>3192.5142000000005</v>
      </c>
      <c r="U1194" s="4">
        <f t="shared" si="93"/>
        <v>0.61564625850340138</v>
      </c>
      <c r="V1194" s="5">
        <f t="shared" si="94"/>
        <v>11.053272</v>
      </c>
    </row>
    <row r="1195" spans="1:22" x14ac:dyDescent="0.25">
      <c r="A1195" s="2" t="s">
        <v>1229</v>
      </c>
      <c r="B1195" s="2" t="s">
        <v>26</v>
      </c>
      <c r="C1195" s="2" t="s">
        <v>43</v>
      </c>
      <c r="D1195" s="2" t="s">
        <v>20</v>
      </c>
      <c r="E1195" s="2">
        <v>392.26</v>
      </c>
      <c r="F1195" s="2">
        <v>10.95</v>
      </c>
      <c r="G1195" s="2">
        <v>31.47</v>
      </c>
      <c r="H1195" s="2">
        <v>0.9</v>
      </c>
      <c r="I1195" s="2">
        <v>0.1</v>
      </c>
      <c r="J1195" s="2">
        <v>18</v>
      </c>
      <c r="K1195" s="2" t="s">
        <v>29</v>
      </c>
      <c r="L1195" s="2">
        <v>3.27</v>
      </c>
      <c r="M1195" s="2" t="s">
        <v>37</v>
      </c>
      <c r="N1195" s="2">
        <v>87.76</v>
      </c>
      <c r="O1195" s="2" t="s">
        <v>30</v>
      </c>
      <c r="P1195" s="2">
        <v>7.73</v>
      </c>
      <c r="Q1195" s="2">
        <v>8.77</v>
      </c>
      <c r="R1195" s="3">
        <f t="shared" si="90"/>
        <v>3032.1698000000001</v>
      </c>
      <c r="S1195" s="3">
        <f t="shared" si="91"/>
        <v>3440.1201999999998</v>
      </c>
      <c r="T1195" s="3">
        <f t="shared" si="92"/>
        <v>407.95039999999972</v>
      </c>
      <c r="U1195" s="4">
        <f t="shared" si="93"/>
        <v>0.11858608893956663</v>
      </c>
      <c r="V1195" s="5">
        <f t="shared" si="94"/>
        <v>12.826902</v>
      </c>
    </row>
    <row r="1196" spans="1:22" x14ac:dyDescent="0.25">
      <c r="A1196" s="2" t="s">
        <v>1230</v>
      </c>
      <c r="B1196" s="2" t="s">
        <v>45</v>
      </c>
      <c r="C1196" s="2" t="s">
        <v>33</v>
      </c>
      <c r="D1196" s="2" t="s">
        <v>28</v>
      </c>
      <c r="E1196" s="2">
        <v>637.65</v>
      </c>
      <c r="F1196" s="2">
        <v>13.71</v>
      </c>
      <c r="G1196" s="2">
        <v>38.56</v>
      </c>
      <c r="H1196" s="2">
        <v>0.4</v>
      </c>
      <c r="I1196" s="2">
        <v>0.7</v>
      </c>
      <c r="J1196" s="2">
        <v>17</v>
      </c>
      <c r="K1196" s="2" t="s">
        <v>21</v>
      </c>
      <c r="L1196" s="2">
        <v>3.39</v>
      </c>
      <c r="M1196" s="2" t="s">
        <v>37</v>
      </c>
      <c r="N1196" s="2">
        <v>82.76</v>
      </c>
      <c r="O1196" s="2" t="s">
        <v>24</v>
      </c>
      <c r="P1196" s="2">
        <v>7.54</v>
      </c>
      <c r="Q1196" s="2">
        <v>7.38</v>
      </c>
      <c r="R1196" s="3">
        <f t="shared" si="90"/>
        <v>4807.8809999999994</v>
      </c>
      <c r="S1196" s="3">
        <f t="shared" si="91"/>
        <v>4705.857</v>
      </c>
      <c r="T1196" s="3">
        <f t="shared" si="92"/>
        <v>-102.02399999999943</v>
      </c>
      <c r="U1196" s="4">
        <f t="shared" si="93"/>
        <v>-2.16802168021679E-2</v>
      </c>
      <c r="V1196" s="5">
        <f t="shared" si="94"/>
        <v>21.616334999999999</v>
      </c>
    </row>
    <row r="1197" spans="1:22" x14ac:dyDescent="0.25">
      <c r="A1197" s="2" t="s">
        <v>1231</v>
      </c>
      <c r="B1197" s="2" t="s">
        <v>32</v>
      </c>
      <c r="C1197" s="2" t="s">
        <v>27</v>
      </c>
      <c r="D1197" s="2" t="s">
        <v>28</v>
      </c>
      <c r="E1197" s="2">
        <v>531.30999999999995</v>
      </c>
      <c r="F1197" s="2">
        <v>15.45</v>
      </c>
      <c r="G1197" s="2">
        <v>36.57</v>
      </c>
      <c r="H1197" s="2">
        <v>1.2</v>
      </c>
      <c r="I1197" s="2">
        <v>0.3</v>
      </c>
      <c r="J1197" s="2">
        <v>2</v>
      </c>
      <c r="K1197" s="2" t="s">
        <v>21</v>
      </c>
      <c r="L1197" s="2">
        <v>0.79</v>
      </c>
      <c r="M1197" s="2" t="s">
        <v>22</v>
      </c>
      <c r="N1197" s="2">
        <v>62.7</v>
      </c>
      <c r="O1197" s="2" t="s">
        <v>30</v>
      </c>
      <c r="P1197" s="2">
        <v>8.61</v>
      </c>
      <c r="Q1197" s="2">
        <v>13.76</v>
      </c>
      <c r="R1197" s="3">
        <f t="shared" si="90"/>
        <v>4574.579099999999</v>
      </c>
      <c r="S1197" s="3">
        <f t="shared" si="91"/>
        <v>7310.8255999999992</v>
      </c>
      <c r="T1197" s="3">
        <f t="shared" si="92"/>
        <v>2736.2465000000002</v>
      </c>
      <c r="U1197" s="4">
        <f t="shared" si="93"/>
        <v>0.37427325581395354</v>
      </c>
      <c r="V1197" s="5">
        <f t="shared" si="94"/>
        <v>4.197349</v>
      </c>
    </row>
    <row r="1198" spans="1:22" x14ac:dyDescent="0.25">
      <c r="A1198" s="2" t="s">
        <v>1232</v>
      </c>
      <c r="B1198" s="2" t="s">
        <v>45</v>
      </c>
      <c r="C1198" s="2" t="s">
        <v>27</v>
      </c>
      <c r="D1198" s="2" t="s">
        <v>20</v>
      </c>
      <c r="E1198" s="2">
        <v>568.71</v>
      </c>
      <c r="F1198" s="2">
        <v>11.79</v>
      </c>
      <c r="G1198" s="2">
        <v>26.46</v>
      </c>
      <c r="H1198" s="2">
        <v>0.4</v>
      </c>
      <c r="I1198" s="2">
        <v>1.4</v>
      </c>
      <c r="J1198" s="2">
        <v>19</v>
      </c>
      <c r="K1198" s="2" t="s">
        <v>34</v>
      </c>
      <c r="L1198" s="2">
        <v>0.84</v>
      </c>
      <c r="M1198" s="2" t="s">
        <v>37</v>
      </c>
      <c r="N1198" s="2">
        <v>84.93</v>
      </c>
      <c r="O1198" s="2" t="s">
        <v>24</v>
      </c>
      <c r="P1198" s="2">
        <v>7.31</v>
      </c>
      <c r="Q1198" s="2">
        <v>11.79</v>
      </c>
      <c r="R1198" s="3">
        <f t="shared" si="90"/>
        <v>4157.2700999999997</v>
      </c>
      <c r="S1198" s="3">
        <f t="shared" si="91"/>
        <v>6705.0909000000001</v>
      </c>
      <c r="T1198" s="3">
        <f t="shared" si="92"/>
        <v>2547.8208000000004</v>
      </c>
      <c r="U1198" s="4">
        <f t="shared" si="93"/>
        <v>0.37998303647158616</v>
      </c>
      <c r="V1198" s="5">
        <f t="shared" si="94"/>
        <v>4.777164</v>
      </c>
    </row>
    <row r="1199" spans="1:22" x14ac:dyDescent="0.25">
      <c r="A1199" s="2" t="s">
        <v>1233</v>
      </c>
      <c r="B1199" s="2" t="s">
        <v>18</v>
      </c>
      <c r="C1199" s="2" t="s">
        <v>43</v>
      </c>
      <c r="D1199" s="2" t="s">
        <v>20</v>
      </c>
      <c r="E1199" s="2">
        <v>646.65</v>
      </c>
      <c r="F1199" s="2">
        <v>11.03</v>
      </c>
      <c r="G1199" s="2">
        <v>24.75</v>
      </c>
      <c r="H1199" s="2">
        <v>8</v>
      </c>
      <c r="I1199" s="2">
        <v>1.3</v>
      </c>
      <c r="J1199" s="2">
        <v>1</v>
      </c>
      <c r="K1199" s="2" t="s">
        <v>29</v>
      </c>
      <c r="L1199" s="2">
        <v>9.5500000000000007</v>
      </c>
      <c r="M1199" s="2" t="s">
        <v>22</v>
      </c>
      <c r="N1199" s="2">
        <v>94.34</v>
      </c>
      <c r="O1199" s="2" t="s">
        <v>30</v>
      </c>
      <c r="P1199" s="2">
        <v>4.0999999999999996</v>
      </c>
      <c r="Q1199" s="2">
        <v>7.8</v>
      </c>
      <c r="R1199" s="3">
        <f t="shared" si="90"/>
        <v>2651.2649999999999</v>
      </c>
      <c r="S1199" s="3">
        <f t="shared" si="91"/>
        <v>5043.87</v>
      </c>
      <c r="T1199" s="3">
        <f t="shared" si="92"/>
        <v>2392.605</v>
      </c>
      <c r="U1199" s="4">
        <f t="shared" si="93"/>
        <v>0.47435897435897439</v>
      </c>
      <c r="V1199" s="5">
        <f t="shared" si="94"/>
        <v>61.755075000000005</v>
      </c>
    </row>
    <row r="1200" spans="1:22" x14ac:dyDescent="0.25">
      <c r="A1200" s="2" t="s">
        <v>1234</v>
      </c>
      <c r="B1200" s="2" t="s">
        <v>18</v>
      </c>
      <c r="C1200" s="2" t="s">
        <v>43</v>
      </c>
      <c r="D1200" s="2" t="s">
        <v>20</v>
      </c>
      <c r="E1200" s="2">
        <v>388.84</v>
      </c>
      <c r="F1200" s="2">
        <v>12.59</v>
      </c>
      <c r="G1200" s="2">
        <v>25.25</v>
      </c>
      <c r="H1200" s="2">
        <v>0.2</v>
      </c>
      <c r="I1200" s="2">
        <v>0.2</v>
      </c>
      <c r="J1200" s="2">
        <v>11</v>
      </c>
      <c r="K1200" s="2" t="s">
        <v>34</v>
      </c>
      <c r="L1200" s="2">
        <v>5.93</v>
      </c>
      <c r="M1200" s="2" t="s">
        <v>40</v>
      </c>
      <c r="N1200" s="2">
        <v>61.54</v>
      </c>
      <c r="O1200" s="2" t="s">
        <v>30</v>
      </c>
      <c r="P1200" s="2">
        <v>8.9700000000000006</v>
      </c>
      <c r="Q1200" s="2">
        <v>7.42</v>
      </c>
      <c r="R1200" s="3">
        <f t="shared" si="90"/>
        <v>3487.8948</v>
      </c>
      <c r="S1200" s="3">
        <f t="shared" si="91"/>
        <v>2885.1927999999998</v>
      </c>
      <c r="T1200" s="3">
        <f t="shared" si="92"/>
        <v>-602.70200000000023</v>
      </c>
      <c r="U1200" s="4">
        <f t="shared" si="93"/>
        <v>-0.20889487870619955</v>
      </c>
      <c r="V1200" s="5">
        <f t="shared" si="94"/>
        <v>23.058211999999997</v>
      </c>
    </row>
    <row r="1201" spans="1:22" x14ac:dyDescent="0.25">
      <c r="A1201" s="2" t="s">
        <v>1235</v>
      </c>
      <c r="B1201" s="2" t="s">
        <v>32</v>
      </c>
      <c r="C1201" s="2" t="s">
        <v>27</v>
      </c>
      <c r="D1201" s="2" t="s">
        <v>20</v>
      </c>
      <c r="E1201" s="2">
        <v>496.42</v>
      </c>
      <c r="F1201" s="2">
        <v>16.18</v>
      </c>
      <c r="G1201" s="2">
        <v>30.09</v>
      </c>
      <c r="H1201" s="2">
        <v>1.8</v>
      </c>
      <c r="I1201" s="2">
        <v>2.1</v>
      </c>
      <c r="J1201" s="2">
        <v>25</v>
      </c>
      <c r="K1201" s="2" t="s">
        <v>21</v>
      </c>
      <c r="L1201" s="2">
        <v>3.41</v>
      </c>
      <c r="M1201" s="2" t="s">
        <v>22</v>
      </c>
      <c r="N1201" s="2">
        <v>85.31</v>
      </c>
      <c r="O1201" s="2" t="s">
        <v>24</v>
      </c>
      <c r="P1201" s="2">
        <v>7.39</v>
      </c>
      <c r="Q1201" s="2">
        <v>5.18</v>
      </c>
      <c r="R1201" s="3">
        <f t="shared" si="90"/>
        <v>3668.5437999999999</v>
      </c>
      <c r="S1201" s="3">
        <f t="shared" si="91"/>
        <v>2571.4555999999998</v>
      </c>
      <c r="T1201" s="3">
        <f t="shared" si="92"/>
        <v>-1097.0882000000001</v>
      </c>
      <c r="U1201" s="4">
        <f t="shared" si="93"/>
        <v>-0.42664092664092673</v>
      </c>
      <c r="V1201" s="5">
        <f t="shared" si="94"/>
        <v>16.927922000000002</v>
      </c>
    </row>
    <row r="1202" spans="1:22" x14ac:dyDescent="0.25">
      <c r="A1202" s="2" t="s">
        <v>1236</v>
      </c>
      <c r="B1202" s="2" t="s">
        <v>32</v>
      </c>
      <c r="C1202" s="2" t="s">
        <v>19</v>
      </c>
      <c r="D1202" s="2" t="s">
        <v>20</v>
      </c>
      <c r="E1202" s="2">
        <v>446.85</v>
      </c>
      <c r="F1202" s="2">
        <v>17.3</v>
      </c>
      <c r="G1202" s="2">
        <v>34.880000000000003</v>
      </c>
      <c r="H1202" s="2">
        <v>2</v>
      </c>
      <c r="I1202" s="2">
        <v>0.2</v>
      </c>
      <c r="J1202" s="2">
        <v>10</v>
      </c>
      <c r="K1202" s="2" t="s">
        <v>29</v>
      </c>
      <c r="L1202" s="2">
        <v>4.0999999999999996</v>
      </c>
      <c r="M1202" s="2" t="s">
        <v>22</v>
      </c>
      <c r="N1202" s="2">
        <v>69.680000000000007</v>
      </c>
      <c r="O1202" s="2" t="s">
        <v>23</v>
      </c>
      <c r="P1202" s="2">
        <v>8.65</v>
      </c>
      <c r="Q1202" s="2">
        <v>8.4700000000000006</v>
      </c>
      <c r="R1202" s="3">
        <f t="shared" si="90"/>
        <v>3865.2525000000005</v>
      </c>
      <c r="S1202" s="3">
        <f t="shared" si="91"/>
        <v>3784.8195000000005</v>
      </c>
      <c r="T1202" s="3">
        <f t="shared" si="92"/>
        <v>-80.432999999999993</v>
      </c>
      <c r="U1202" s="4">
        <f t="shared" si="93"/>
        <v>-2.1251475796930337E-2</v>
      </c>
      <c r="V1202" s="5">
        <f t="shared" si="94"/>
        <v>18.32085</v>
      </c>
    </row>
    <row r="1203" spans="1:22" x14ac:dyDescent="0.25">
      <c r="A1203" s="2" t="s">
        <v>1237</v>
      </c>
      <c r="B1203" s="2" t="s">
        <v>45</v>
      </c>
      <c r="C1203" s="2" t="s">
        <v>43</v>
      </c>
      <c r="D1203" s="2" t="s">
        <v>28</v>
      </c>
      <c r="E1203" s="2">
        <v>343.21</v>
      </c>
      <c r="F1203" s="2">
        <v>13.45</v>
      </c>
      <c r="G1203" s="2">
        <v>30.06</v>
      </c>
      <c r="H1203" s="2">
        <v>1.5</v>
      </c>
      <c r="I1203" s="2">
        <v>1.6</v>
      </c>
      <c r="J1203" s="2">
        <v>5</v>
      </c>
      <c r="K1203" s="2" t="s">
        <v>29</v>
      </c>
      <c r="L1203" s="2">
        <v>7.29</v>
      </c>
      <c r="M1203" s="2" t="s">
        <v>22</v>
      </c>
      <c r="N1203" s="2">
        <v>55.94</v>
      </c>
      <c r="O1203" s="2" t="s">
        <v>24</v>
      </c>
      <c r="P1203" s="2">
        <v>8.42</v>
      </c>
      <c r="Q1203" s="2">
        <v>10.27</v>
      </c>
      <c r="R1203" s="3">
        <f t="shared" si="90"/>
        <v>2889.8281999999999</v>
      </c>
      <c r="S1203" s="3">
        <f t="shared" si="91"/>
        <v>3524.7666999999997</v>
      </c>
      <c r="T1203" s="3">
        <f t="shared" si="92"/>
        <v>634.93849999999975</v>
      </c>
      <c r="U1203" s="4">
        <f t="shared" si="93"/>
        <v>0.18013631937682564</v>
      </c>
      <c r="V1203" s="5">
        <f t="shared" si="94"/>
        <v>25.020009000000002</v>
      </c>
    </row>
    <row r="1204" spans="1:22" x14ac:dyDescent="0.25">
      <c r="A1204" s="2" t="s">
        <v>1238</v>
      </c>
      <c r="B1204" s="2" t="s">
        <v>26</v>
      </c>
      <c r="C1204" s="2" t="s">
        <v>27</v>
      </c>
      <c r="D1204" s="2" t="s">
        <v>28</v>
      </c>
      <c r="E1204" s="2">
        <v>534.66999999999996</v>
      </c>
      <c r="F1204" s="2">
        <v>14.61</v>
      </c>
      <c r="G1204" s="2">
        <v>21.36</v>
      </c>
      <c r="H1204" s="2">
        <v>2.2000000000000002</v>
      </c>
      <c r="I1204" s="2">
        <v>0.6</v>
      </c>
      <c r="J1204" s="2">
        <v>16</v>
      </c>
      <c r="K1204" s="2" t="s">
        <v>21</v>
      </c>
      <c r="L1204" s="2">
        <v>3.98</v>
      </c>
      <c r="M1204" s="2" t="s">
        <v>40</v>
      </c>
      <c r="N1204" s="2">
        <v>88.17</v>
      </c>
      <c r="O1204" s="2" t="s">
        <v>23</v>
      </c>
      <c r="P1204" s="2">
        <v>5.09</v>
      </c>
      <c r="Q1204" s="2">
        <v>7.78</v>
      </c>
      <c r="R1204" s="3">
        <f t="shared" si="90"/>
        <v>2721.4702999999995</v>
      </c>
      <c r="S1204" s="3">
        <f t="shared" si="91"/>
        <v>4159.7325999999994</v>
      </c>
      <c r="T1204" s="3">
        <f t="shared" si="92"/>
        <v>1438.2622999999999</v>
      </c>
      <c r="U1204" s="4">
        <f t="shared" si="93"/>
        <v>0.34575835475578409</v>
      </c>
      <c r="V1204" s="5">
        <f t="shared" si="94"/>
        <v>21.279865999999998</v>
      </c>
    </row>
    <row r="1205" spans="1:22" x14ac:dyDescent="0.25">
      <c r="A1205" s="2" t="s">
        <v>1239</v>
      </c>
      <c r="B1205" s="2" t="s">
        <v>45</v>
      </c>
      <c r="C1205" s="2" t="s">
        <v>43</v>
      </c>
      <c r="D1205" s="2" t="s">
        <v>28</v>
      </c>
      <c r="E1205" s="2">
        <v>751.16</v>
      </c>
      <c r="F1205" s="2">
        <v>17.03</v>
      </c>
      <c r="G1205" s="2">
        <v>34.47</v>
      </c>
      <c r="H1205" s="2">
        <v>0.2</v>
      </c>
      <c r="I1205" s="2">
        <v>0.4</v>
      </c>
      <c r="J1205" s="2">
        <v>24</v>
      </c>
      <c r="K1205" s="2" t="s">
        <v>21</v>
      </c>
      <c r="L1205" s="2">
        <v>2.66</v>
      </c>
      <c r="M1205" s="2" t="s">
        <v>40</v>
      </c>
      <c r="N1205" s="2">
        <v>58.36</v>
      </c>
      <c r="O1205" s="2" t="s">
        <v>24</v>
      </c>
      <c r="P1205" s="2">
        <v>3.52</v>
      </c>
      <c r="Q1205" s="2">
        <v>12</v>
      </c>
      <c r="R1205" s="3">
        <f t="shared" si="90"/>
        <v>2644.0832</v>
      </c>
      <c r="S1205" s="3">
        <f t="shared" si="91"/>
        <v>9013.92</v>
      </c>
      <c r="T1205" s="3">
        <f t="shared" si="92"/>
        <v>6369.8368</v>
      </c>
      <c r="U1205" s="4">
        <f t="shared" si="93"/>
        <v>0.70666666666666667</v>
      </c>
      <c r="V1205" s="5">
        <f t="shared" si="94"/>
        <v>19.980856000000003</v>
      </c>
    </row>
    <row r="1206" spans="1:22" x14ac:dyDescent="0.25">
      <c r="A1206" s="2" t="s">
        <v>1240</v>
      </c>
      <c r="B1206" s="2" t="s">
        <v>32</v>
      </c>
      <c r="C1206" s="2" t="s">
        <v>19</v>
      </c>
      <c r="D1206" s="2" t="s">
        <v>20</v>
      </c>
      <c r="E1206" s="2">
        <v>315.99</v>
      </c>
      <c r="F1206" s="2">
        <v>8.99</v>
      </c>
      <c r="G1206" s="2">
        <v>36.119999999999997</v>
      </c>
      <c r="H1206" s="2">
        <v>1.6</v>
      </c>
      <c r="I1206" s="2">
        <v>0.2</v>
      </c>
      <c r="J1206" s="2">
        <v>5</v>
      </c>
      <c r="K1206" s="2" t="s">
        <v>21</v>
      </c>
      <c r="L1206" s="2">
        <v>1.47</v>
      </c>
      <c r="M1206" s="2" t="s">
        <v>37</v>
      </c>
      <c r="N1206" s="2">
        <v>62.64</v>
      </c>
      <c r="O1206" s="2" t="s">
        <v>24</v>
      </c>
      <c r="P1206" s="2">
        <v>4.24</v>
      </c>
      <c r="Q1206" s="2">
        <v>9.1199999999999992</v>
      </c>
      <c r="R1206" s="3">
        <f t="shared" si="90"/>
        <v>1339.7976000000001</v>
      </c>
      <c r="S1206" s="3">
        <f t="shared" si="91"/>
        <v>2881.8287999999998</v>
      </c>
      <c r="T1206" s="3">
        <f t="shared" si="92"/>
        <v>1542.0311999999997</v>
      </c>
      <c r="U1206" s="4">
        <f t="shared" si="93"/>
        <v>0.5350877192982455</v>
      </c>
      <c r="V1206" s="5">
        <f t="shared" si="94"/>
        <v>4.6450529999999999</v>
      </c>
    </row>
    <row r="1207" spans="1:22" x14ac:dyDescent="0.25">
      <c r="A1207" s="2" t="s">
        <v>1241</v>
      </c>
      <c r="B1207" s="2" t="s">
        <v>45</v>
      </c>
      <c r="C1207" s="2" t="s">
        <v>33</v>
      </c>
      <c r="D1207" s="2" t="s">
        <v>28</v>
      </c>
      <c r="E1207" s="2">
        <v>496.77</v>
      </c>
      <c r="F1207" s="2">
        <v>10.32</v>
      </c>
      <c r="G1207" s="2">
        <v>25.79</v>
      </c>
      <c r="H1207" s="2">
        <v>0.7</v>
      </c>
      <c r="I1207" s="2">
        <v>0.2</v>
      </c>
      <c r="J1207" s="2">
        <v>24</v>
      </c>
      <c r="K1207" s="2" t="s">
        <v>21</v>
      </c>
      <c r="L1207" s="2">
        <v>7.42</v>
      </c>
      <c r="M1207" s="2" t="s">
        <v>22</v>
      </c>
      <c r="N1207" s="2">
        <v>89.15</v>
      </c>
      <c r="O1207" s="2" t="s">
        <v>23</v>
      </c>
      <c r="P1207" s="2">
        <v>3.65</v>
      </c>
      <c r="Q1207" s="2">
        <v>8.16</v>
      </c>
      <c r="R1207" s="3">
        <f t="shared" si="90"/>
        <v>1813.2104999999999</v>
      </c>
      <c r="S1207" s="3">
        <f t="shared" si="91"/>
        <v>4053.6432</v>
      </c>
      <c r="T1207" s="3">
        <f t="shared" si="92"/>
        <v>2240.4327000000003</v>
      </c>
      <c r="U1207" s="4">
        <f t="shared" si="93"/>
        <v>0.55269607843137258</v>
      </c>
      <c r="V1207" s="5">
        <f t="shared" si="94"/>
        <v>36.860333999999995</v>
      </c>
    </row>
    <row r="1208" spans="1:22" x14ac:dyDescent="0.25">
      <c r="A1208" s="2" t="s">
        <v>1242</v>
      </c>
      <c r="B1208" s="2" t="s">
        <v>32</v>
      </c>
      <c r="C1208" s="2" t="s">
        <v>43</v>
      </c>
      <c r="D1208" s="2" t="s">
        <v>28</v>
      </c>
      <c r="E1208" s="2">
        <v>564.04999999999995</v>
      </c>
      <c r="F1208" s="2">
        <v>15.09</v>
      </c>
      <c r="G1208" s="2">
        <v>33.28</v>
      </c>
      <c r="H1208" s="2">
        <v>5.6</v>
      </c>
      <c r="I1208" s="2">
        <v>1.1000000000000001</v>
      </c>
      <c r="J1208" s="2">
        <v>23</v>
      </c>
      <c r="K1208" s="2" t="s">
        <v>29</v>
      </c>
      <c r="L1208" s="2">
        <v>2.2200000000000002</v>
      </c>
      <c r="M1208" s="2" t="s">
        <v>40</v>
      </c>
      <c r="N1208" s="2">
        <v>87.11</v>
      </c>
      <c r="O1208" s="2" t="s">
        <v>23</v>
      </c>
      <c r="P1208" s="2">
        <v>4.7</v>
      </c>
      <c r="Q1208" s="2">
        <v>14.39</v>
      </c>
      <c r="R1208" s="3">
        <f t="shared" si="90"/>
        <v>2651.0349999999999</v>
      </c>
      <c r="S1208" s="3">
        <f t="shared" si="91"/>
        <v>8116.6794999999993</v>
      </c>
      <c r="T1208" s="3">
        <f t="shared" si="92"/>
        <v>5465.6444999999994</v>
      </c>
      <c r="U1208" s="4">
        <f t="shared" si="93"/>
        <v>0.6733842946490618</v>
      </c>
      <c r="V1208" s="5">
        <f t="shared" si="94"/>
        <v>12.52191</v>
      </c>
    </row>
    <row r="1209" spans="1:22" x14ac:dyDescent="0.25">
      <c r="A1209" s="2" t="s">
        <v>1243</v>
      </c>
      <c r="B1209" s="2" t="s">
        <v>45</v>
      </c>
      <c r="C1209" s="2" t="s">
        <v>19</v>
      </c>
      <c r="D1209" s="2" t="s">
        <v>28</v>
      </c>
      <c r="E1209" s="2">
        <v>512.30999999999995</v>
      </c>
      <c r="F1209" s="2">
        <v>16.239999999999998</v>
      </c>
      <c r="G1209" s="2">
        <v>28.53</v>
      </c>
      <c r="H1209" s="2">
        <v>2.9</v>
      </c>
      <c r="I1209" s="2">
        <v>0.8</v>
      </c>
      <c r="J1209" s="2">
        <v>12</v>
      </c>
      <c r="K1209" s="2" t="s">
        <v>34</v>
      </c>
      <c r="L1209" s="2">
        <v>1.1599999999999999</v>
      </c>
      <c r="M1209" s="2" t="s">
        <v>22</v>
      </c>
      <c r="N1209" s="2">
        <v>62.71</v>
      </c>
      <c r="O1209" s="2" t="s">
        <v>24</v>
      </c>
      <c r="P1209" s="2">
        <v>6.22</v>
      </c>
      <c r="Q1209" s="2">
        <v>7.63</v>
      </c>
      <c r="R1209" s="3">
        <f t="shared" si="90"/>
        <v>3186.5681999999997</v>
      </c>
      <c r="S1209" s="3">
        <f t="shared" si="91"/>
        <v>3908.9252999999994</v>
      </c>
      <c r="T1209" s="3">
        <f t="shared" si="92"/>
        <v>722.35709999999972</v>
      </c>
      <c r="U1209" s="4">
        <f t="shared" si="93"/>
        <v>0.18479685452162511</v>
      </c>
      <c r="V1209" s="5">
        <f t="shared" si="94"/>
        <v>5.9427959999999986</v>
      </c>
    </row>
    <row r="1210" spans="1:22" x14ac:dyDescent="0.25">
      <c r="A1210" s="2" t="s">
        <v>1244</v>
      </c>
      <c r="B1210" s="2" t="s">
        <v>32</v>
      </c>
      <c r="C1210" s="2" t="s">
        <v>27</v>
      </c>
      <c r="D1210" s="2" t="s">
        <v>28</v>
      </c>
      <c r="E1210" s="2">
        <v>488.69</v>
      </c>
      <c r="F1210" s="2">
        <v>16.57</v>
      </c>
      <c r="G1210" s="2">
        <v>37.78</v>
      </c>
      <c r="H1210" s="2">
        <v>7.2</v>
      </c>
      <c r="I1210" s="2">
        <v>0.1</v>
      </c>
      <c r="J1210" s="2">
        <v>4</v>
      </c>
      <c r="K1210" s="2" t="s">
        <v>29</v>
      </c>
      <c r="L1210" s="2">
        <v>4.5599999999999996</v>
      </c>
      <c r="M1210" s="2" t="s">
        <v>22</v>
      </c>
      <c r="N1210" s="2">
        <v>97.05</v>
      </c>
      <c r="O1210" s="2" t="s">
        <v>24</v>
      </c>
      <c r="P1210" s="2">
        <v>9.35</v>
      </c>
      <c r="Q1210" s="2">
        <v>8.98</v>
      </c>
      <c r="R1210" s="3">
        <f t="shared" si="90"/>
        <v>4569.2514999999994</v>
      </c>
      <c r="S1210" s="3">
        <f t="shared" si="91"/>
        <v>4388.4362000000001</v>
      </c>
      <c r="T1210" s="3">
        <f t="shared" si="92"/>
        <v>-180.8152999999993</v>
      </c>
      <c r="U1210" s="4">
        <f t="shared" si="93"/>
        <v>-4.1202672605790483E-2</v>
      </c>
      <c r="V1210" s="5">
        <f t="shared" si="94"/>
        <v>22.284263999999997</v>
      </c>
    </row>
    <row r="1211" spans="1:22" x14ac:dyDescent="0.25">
      <c r="A1211" s="2" t="s">
        <v>1245</v>
      </c>
      <c r="B1211" s="2" t="s">
        <v>32</v>
      </c>
      <c r="C1211" s="2" t="s">
        <v>43</v>
      </c>
      <c r="D1211" s="2" t="s">
        <v>28</v>
      </c>
      <c r="E1211" s="2">
        <v>370.08</v>
      </c>
      <c r="F1211" s="2">
        <v>12.15</v>
      </c>
      <c r="G1211" s="2">
        <v>36.9</v>
      </c>
      <c r="H1211" s="2">
        <v>0.1</v>
      </c>
      <c r="I1211" s="2">
        <v>0.1</v>
      </c>
      <c r="J1211" s="2">
        <v>23</v>
      </c>
      <c r="K1211" s="2" t="s">
        <v>29</v>
      </c>
      <c r="L1211" s="2">
        <v>0.88</v>
      </c>
      <c r="M1211" s="2" t="s">
        <v>22</v>
      </c>
      <c r="N1211" s="2">
        <v>60.76</v>
      </c>
      <c r="O1211" s="2" t="s">
        <v>24</v>
      </c>
      <c r="P1211" s="2">
        <v>9.1</v>
      </c>
      <c r="Q1211" s="2">
        <v>8.82</v>
      </c>
      <c r="R1211" s="3">
        <f t="shared" si="90"/>
        <v>3367.7279999999996</v>
      </c>
      <c r="S1211" s="3">
        <f t="shared" si="91"/>
        <v>3264.1055999999999</v>
      </c>
      <c r="T1211" s="3">
        <f t="shared" si="92"/>
        <v>-103.62239999999974</v>
      </c>
      <c r="U1211" s="4">
        <f t="shared" si="93"/>
        <v>-3.1746031746031668E-2</v>
      </c>
      <c r="V1211" s="5">
        <f t="shared" si="94"/>
        <v>3.2567039999999996</v>
      </c>
    </row>
    <row r="1212" spans="1:22" x14ac:dyDescent="0.25">
      <c r="A1212" s="2" t="s">
        <v>1246</v>
      </c>
      <c r="B1212" s="2" t="s">
        <v>32</v>
      </c>
      <c r="C1212" s="2" t="s">
        <v>43</v>
      </c>
      <c r="D1212" s="2" t="s">
        <v>20</v>
      </c>
      <c r="E1212" s="2">
        <v>523.28</v>
      </c>
      <c r="F1212" s="2">
        <v>8.89</v>
      </c>
      <c r="G1212" s="2">
        <v>30.51</v>
      </c>
      <c r="H1212" s="2">
        <v>0.7</v>
      </c>
      <c r="I1212" s="2">
        <v>0.1</v>
      </c>
      <c r="J1212" s="2">
        <v>6</v>
      </c>
      <c r="K1212" s="2" t="s">
        <v>29</v>
      </c>
      <c r="L1212" s="2">
        <v>9.67</v>
      </c>
      <c r="M1212" s="2" t="s">
        <v>40</v>
      </c>
      <c r="N1212" s="2">
        <v>99.68</v>
      </c>
      <c r="O1212" s="2" t="s">
        <v>23</v>
      </c>
      <c r="P1212" s="2">
        <v>8.0299999999999994</v>
      </c>
      <c r="Q1212" s="2">
        <v>7.41</v>
      </c>
      <c r="R1212" s="3">
        <f t="shared" si="90"/>
        <v>4201.9383999999991</v>
      </c>
      <c r="S1212" s="3">
        <f t="shared" si="91"/>
        <v>3877.5047999999997</v>
      </c>
      <c r="T1212" s="3">
        <f t="shared" si="92"/>
        <v>-324.43359999999939</v>
      </c>
      <c r="U1212" s="4">
        <f t="shared" si="93"/>
        <v>-8.3670715249662464E-2</v>
      </c>
      <c r="V1212" s="5">
        <f t="shared" si="94"/>
        <v>50.601175999999995</v>
      </c>
    </row>
    <row r="1213" spans="1:22" x14ac:dyDescent="0.25">
      <c r="A1213" s="2" t="s">
        <v>1247</v>
      </c>
      <c r="B1213" s="2" t="s">
        <v>26</v>
      </c>
      <c r="C1213" s="2" t="s">
        <v>27</v>
      </c>
      <c r="D1213" s="2" t="s">
        <v>28</v>
      </c>
      <c r="E1213" s="2">
        <v>424.32</v>
      </c>
      <c r="F1213" s="2">
        <v>12.38</v>
      </c>
      <c r="G1213" s="2">
        <v>33.83</v>
      </c>
      <c r="H1213" s="2">
        <v>0.4</v>
      </c>
      <c r="I1213" s="2">
        <v>1.4</v>
      </c>
      <c r="J1213" s="2">
        <v>19</v>
      </c>
      <c r="K1213" s="2" t="s">
        <v>29</v>
      </c>
      <c r="L1213" s="2">
        <v>6.46</v>
      </c>
      <c r="M1213" s="2" t="s">
        <v>22</v>
      </c>
      <c r="N1213" s="2">
        <v>86.89</v>
      </c>
      <c r="O1213" s="2" t="s">
        <v>24</v>
      </c>
      <c r="P1213" s="2">
        <v>3.17</v>
      </c>
      <c r="Q1213" s="2">
        <v>7.17</v>
      </c>
      <c r="R1213" s="3">
        <f t="shared" si="90"/>
        <v>1345.0944</v>
      </c>
      <c r="S1213" s="3">
        <f t="shared" si="91"/>
        <v>3042.3743999999997</v>
      </c>
      <c r="T1213" s="3">
        <f t="shared" si="92"/>
        <v>1697.2799999999997</v>
      </c>
      <c r="U1213" s="4">
        <f t="shared" si="93"/>
        <v>0.55788005578800559</v>
      </c>
      <c r="V1213" s="5">
        <f t="shared" si="94"/>
        <v>27.411072000000001</v>
      </c>
    </row>
    <row r="1214" spans="1:22" x14ac:dyDescent="0.25">
      <c r="A1214" s="2" t="s">
        <v>1248</v>
      </c>
      <c r="B1214" s="2" t="s">
        <v>45</v>
      </c>
      <c r="C1214" s="2" t="s">
        <v>33</v>
      </c>
      <c r="D1214" s="2" t="s">
        <v>20</v>
      </c>
      <c r="E1214" s="2">
        <v>281.01</v>
      </c>
      <c r="F1214" s="2">
        <v>10.31</v>
      </c>
      <c r="G1214" s="2">
        <v>37.67</v>
      </c>
      <c r="H1214" s="2">
        <v>0</v>
      </c>
      <c r="I1214" s="2">
        <v>1.2</v>
      </c>
      <c r="J1214" s="2">
        <v>9</v>
      </c>
      <c r="K1214" s="2" t="s">
        <v>21</v>
      </c>
      <c r="L1214" s="2">
        <v>1.95</v>
      </c>
      <c r="M1214" s="2" t="s">
        <v>22</v>
      </c>
      <c r="N1214" s="2">
        <v>69.63</v>
      </c>
      <c r="O1214" s="2" t="s">
        <v>23</v>
      </c>
      <c r="P1214" s="2">
        <v>5.39</v>
      </c>
      <c r="Q1214" s="2">
        <v>8.02</v>
      </c>
      <c r="R1214" s="3">
        <f t="shared" si="90"/>
        <v>1514.6438999999998</v>
      </c>
      <c r="S1214" s="3">
        <f t="shared" si="91"/>
        <v>2253.7001999999998</v>
      </c>
      <c r="T1214" s="3">
        <f t="shared" si="92"/>
        <v>739.05629999999996</v>
      </c>
      <c r="U1214" s="4">
        <f t="shared" si="93"/>
        <v>0.32793017456359103</v>
      </c>
      <c r="V1214" s="5">
        <f t="shared" si="94"/>
        <v>5.4796949999999995</v>
      </c>
    </row>
    <row r="1215" spans="1:22" x14ac:dyDescent="0.25">
      <c r="A1215" s="2" t="s">
        <v>1249</v>
      </c>
      <c r="B1215" s="2" t="s">
        <v>45</v>
      </c>
      <c r="C1215" s="2" t="s">
        <v>27</v>
      </c>
      <c r="D1215" s="2" t="s">
        <v>20</v>
      </c>
      <c r="E1215" s="2">
        <v>619.46</v>
      </c>
      <c r="F1215" s="2">
        <v>10.91</v>
      </c>
      <c r="G1215" s="2">
        <v>29.91</v>
      </c>
      <c r="H1215" s="2">
        <v>0.6</v>
      </c>
      <c r="I1215" s="2">
        <v>0.1</v>
      </c>
      <c r="J1215" s="2">
        <v>12</v>
      </c>
      <c r="K1215" s="2" t="s">
        <v>34</v>
      </c>
      <c r="L1215" s="2">
        <v>2.14</v>
      </c>
      <c r="M1215" s="2" t="s">
        <v>37</v>
      </c>
      <c r="N1215" s="2">
        <v>56.52</v>
      </c>
      <c r="O1215" s="2" t="s">
        <v>30</v>
      </c>
      <c r="P1215" s="2">
        <v>7.78</v>
      </c>
      <c r="Q1215" s="2">
        <v>13.64</v>
      </c>
      <c r="R1215" s="3">
        <f t="shared" si="90"/>
        <v>4819.3988000000008</v>
      </c>
      <c r="S1215" s="3">
        <f t="shared" si="91"/>
        <v>8449.4344000000001</v>
      </c>
      <c r="T1215" s="3">
        <f t="shared" si="92"/>
        <v>3630.0355999999992</v>
      </c>
      <c r="U1215" s="4">
        <f t="shared" si="93"/>
        <v>0.42961876832844564</v>
      </c>
      <c r="V1215" s="5">
        <f t="shared" si="94"/>
        <v>13.256444000000002</v>
      </c>
    </row>
    <row r="1216" spans="1:22" x14ac:dyDescent="0.25">
      <c r="A1216" s="2" t="s">
        <v>1250</v>
      </c>
      <c r="B1216" s="2" t="s">
        <v>45</v>
      </c>
      <c r="C1216" s="2" t="s">
        <v>43</v>
      </c>
      <c r="D1216" s="2" t="s">
        <v>20</v>
      </c>
      <c r="E1216" s="2">
        <v>595.84</v>
      </c>
      <c r="F1216" s="2">
        <v>15.72</v>
      </c>
      <c r="G1216" s="2">
        <v>26.27</v>
      </c>
      <c r="H1216" s="2">
        <v>2.2999999999999998</v>
      </c>
      <c r="I1216" s="2">
        <v>0.8</v>
      </c>
      <c r="J1216" s="2">
        <v>26</v>
      </c>
      <c r="K1216" s="2" t="s">
        <v>29</v>
      </c>
      <c r="L1216" s="2">
        <v>5.91</v>
      </c>
      <c r="M1216" s="2" t="s">
        <v>22</v>
      </c>
      <c r="N1216" s="2">
        <v>66.03</v>
      </c>
      <c r="O1216" s="2" t="s">
        <v>23</v>
      </c>
      <c r="P1216" s="2">
        <v>3.9</v>
      </c>
      <c r="Q1216" s="2">
        <v>12.67</v>
      </c>
      <c r="R1216" s="3">
        <f t="shared" si="90"/>
        <v>2323.7760000000003</v>
      </c>
      <c r="S1216" s="3">
        <f t="shared" si="91"/>
        <v>7549.2928000000002</v>
      </c>
      <c r="T1216" s="3">
        <f t="shared" si="92"/>
        <v>5225.5167999999994</v>
      </c>
      <c r="U1216" s="4">
        <f t="shared" si="93"/>
        <v>0.69218626677190209</v>
      </c>
      <c r="V1216" s="5">
        <f t="shared" si="94"/>
        <v>35.214144000000005</v>
      </c>
    </row>
    <row r="1217" spans="1:22" x14ac:dyDescent="0.25">
      <c r="A1217" s="2" t="s">
        <v>1251</v>
      </c>
      <c r="B1217" s="2" t="s">
        <v>32</v>
      </c>
      <c r="C1217" s="2" t="s">
        <v>27</v>
      </c>
      <c r="D1217" s="2" t="s">
        <v>20</v>
      </c>
      <c r="E1217" s="2">
        <v>505.17</v>
      </c>
      <c r="F1217" s="2">
        <v>8.76</v>
      </c>
      <c r="G1217" s="2">
        <v>35.07</v>
      </c>
      <c r="H1217" s="2">
        <v>0.5</v>
      </c>
      <c r="I1217" s="2">
        <v>0.1</v>
      </c>
      <c r="J1217" s="2">
        <v>15</v>
      </c>
      <c r="K1217" s="2" t="s">
        <v>29</v>
      </c>
      <c r="L1217" s="2">
        <v>3.89</v>
      </c>
      <c r="M1217" s="2" t="s">
        <v>37</v>
      </c>
      <c r="N1217" s="2">
        <v>59.69</v>
      </c>
      <c r="O1217" s="2" t="s">
        <v>30</v>
      </c>
      <c r="P1217" s="2">
        <v>8.61</v>
      </c>
      <c r="Q1217" s="2">
        <v>11.81</v>
      </c>
      <c r="R1217" s="3">
        <f t="shared" si="90"/>
        <v>4349.5136999999995</v>
      </c>
      <c r="S1217" s="3">
        <f t="shared" si="91"/>
        <v>5966.0577000000003</v>
      </c>
      <c r="T1217" s="3">
        <f t="shared" si="92"/>
        <v>1616.5440000000008</v>
      </c>
      <c r="U1217" s="4">
        <f t="shared" si="93"/>
        <v>0.27095681625740908</v>
      </c>
      <c r="V1217" s="5">
        <f t="shared" si="94"/>
        <v>19.651112999999999</v>
      </c>
    </row>
    <row r="1218" spans="1:22" x14ac:dyDescent="0.25">
      <c r="A1218" s="2" t="s">
        <v>1252</v>
      </c>
      <c r="B1218" s="2" t="s">
        <v>45</v>
      </c>
      <c r="C1218" s="2" t="s">
        <v>19</v>
      </c>
      <c r="D1218" s="2" t="s">
        <v>20</v>
      </c>
      <c r="E1218" s="2">
        <v>522.91</v>
      </c>
      <c r="F1218" s="2">
        <v>16.28</v>
      </c>
      <c r="G1218" s="2">
        <v>24.4</v>
      </c>
      <c r="H1218" s="2">
        <v>1.4</v>
      </c>
      <c r="I1218" s="2">
        <v>2.2999999999999998</v>
      </c>
      <c r="J1218" s="2">
        <v>16</v>
      </c>
      <c r="K1218" s="2" t="s">
        <v>34</v>
      </c>
      <c r="L1218" s="2">
        <v>7.86</v>
      </c>
      <c r="M1218" s="2" t="s">
        <v>22</v>
      </c>
      <c r="N1218" s="2">
        <v>81.09</v>
      </c>
      <c r="O1218" s="2" t="s">
        <v>24</v>
      </c>
      <c r="P1218" s="2">
        <v>9.4</v>
      </c>
      <c r="Q1218" s="2">
        <v>9.57</v>
      </c>
      <c r="R1218" s="3">
        <f t="shared" si="90"/>
        <v>4915.3540000000003</v>
      </c>
      <c r="S1218" s="3">
        <f t="shared" si="91"/>
        <v>5004.2487000000001</v>
      </c>
      <c r="T1218" s="3">
        <f t="shared" si="92"/>
        <v>88.89469999999983</v>
      </c>
      <c r="U1218" s="4">
        <f t="shared" si="93"/>
        <v>1.7763845350052213E-2</v>
      </c>
      <c r="V1218" s="5">
        <f t="shared" si="94"/>
        <v>41.100725999999995</v>
      </c>
    </row>
    <row r="1219" spans="1:22" x14ac:dyDescent="0.25">
      <c r="A1219" s="2" t="s">
        <v>1253</v>
      </c>
      <c r="B1219" s="2" t="s">
        <v>45</v>
      </c>
      <c r="C1219" s="2" t="s">
        <v>27</v>
      </c>
      <c r="D1219" s="2" t="s">
        <v>28</v>
      </c>
      <c r="E1219" s="2">
        <v>607.42999999999995</v>
      </c>
      <c r="F1219" s="2">
        <v>12.28</v>
      </c>
      <c r="G1219" s="2">
        <v>27.77</v>
      </c>
      <c r="H1219" s="2">
        <v>4.4000000000000004</v>
      </c>
      <c r="I1219" s="2">
        <v>2.4</v>
      </c>
      <c r="J1219" s="2">
        <v>13</v>
      </c>
      <c r="K1219" s="2" t="s">
        <v>21</v>
      </c>
      <c r="L1219" s="2">
        <v>5.69</v>
      </c>
      <c r="M1219" s="2" t="s">
        <v>37</v>
      </c>
      <c r="N1219" s="2">
        <v>67.84</v>
      </c>
      <c r="O1219" s="2" t="s">
        <v>24</v>
      </c>
      <c r="P1219" s="2">
        <v>5.48</v>
      </c>
      <c r="Q1219" s="2">
        <v>10.08</v>
      </c>
      <c r="R1219" s="3">
        <f t="shared" ref="R1219:R1282" si="95">E1219*P1219</f>
        <v>3328.7163999999998</v>
      </c>
      <c r="S1219" s="3">
        <f t="shared" ref="S1219:S1282" si="96">E1219*Q1219</f>
        <v>6122.8943999999992</v>
      </c>
      <c r="T1219" s="3">
        <f t="shared" ref="T1219:T1282" si="97">S1219-R1219</f>
        <v>2794.1779999999994</v>
      </c>
      <c r="U1219" s="4">
        <f t="shared" ref="U1219:U1282" si="98">T1219/S1219</f>
        <v>0.45634920634920634</v>
      </c>
      <c r="V1219" s="5">
        <f t="shared" ref="V1219:V1282" si="99">E1219*L1219/100</f>
        <v>34.562767000000001</v>
      </c>
    </row>
    <row r="1220" spans="1:22" x14ac:dyDescent="0.25">
      <c r="A1220" s="2" t="s">
        <v>1254</v>
      </c>
      <c r="B1220" s="2" t="s">
        <v>32</v>
      </c>
      <c r="C1220" s="2" t="s">
        <v>43</v>
      </c>
      <c r="D1220" s="2" t="s">
        <v>28</v>
      </c>
      <c r="E1220" s="2">
        <v>522.42999999999995</v>
      </c>
      <c r="F1220" s="2">
        <v>13.96</v>
      </c>
      <c r="G1220" s="2">
        <v>37.31</v>
      </c>
      <c r="H1220" s="2">
        <v>2.4</v>
      </c>
      <c r="I1220" s="2">
        <v>1.2</v>
      </c>
      <c r="J1220" s="2">
        <v>25</v>
      </c>
      <c r="K1220" s="2" t="s">
        <v>29</v>
      </c>
      <c r="L1220" s="2">
        <v>4.62</v>
      </c>
      <c r="M1220" s="2" t="s">
        <v>40</v>
      </c>
      <c r="N1220" s="2">
        <v>64.75</v>
      </c>
      <c r="O1220" s="2" t="s">
        <v>23</v>
      </c>
      <c r="P1220" s="2">
        <v>7.94</v>
      </c>
      <c r="Q1220" s="2">
        <v>7.67</v>
      </c>
      <c r="R1220" s="3">
        <f t="shared" si="95"/>
        <v>4148.0941999999995</v>
      </c>
      <c r="S1220" s="3">
        <f t="shared" si="96"/>
        <v>4007.0380999999998</v>
      </c>
      <c r="T1220" s="3">
        <f t="shared" si="97"/>
        <v>-141.05609999999979</v>
      </c>
      <c r="U1220" s="4">
        <f t="shared" si="98"/>
        <v>-3.5202086049543627E-2</v>
      </c>
      <c r="V1220" s="5">
        <f t="shared" si="99"/>
        <v>24.136265999999996</v>
      </c>
    </row>
    <row r="1221" spans="1:22" x14ac:dyDescent="0.25">
      <c r="A1221" s="2" t="s">
        <v>1255</v>
      </c>
      <c r="B1221" s="2" t="s">
        <v>18</v>
      </c>
      <c r="C1221" s="2" t="s">
        <v>27</v>
      </c>
      <c r="D1221" s="2" t="s">
        <v>20</v>
      </c>
      <c r="E1221" s="2">
        <v>590.4</v>
      </c>
      <c r="F1221" s="2">
        <v>8.9</v>
      </c>
      <c r="G1221" s="2">
        <v>34.49</v>
      </c>
      <c r="H1221" s="2">
        <v>1</v>
      </c>
      <c r="I1221" s="2">
        <v>2.6</v>
      </c>
      <c r="J1221" s="2">
        <v>21</v>
      </c>
      <c r="K1221" s="2" t="s">
        <v>21</v>
      </c>
      <c r="L1221" s="2">
        <v>9.65</v>
      </c>
      <c r="M1221" s="2" t="s">
        <v>40</v>
      </c>
      <c r="N1221" s="2">
        <v>87.86</v>
      </c>
      <c r="O1221" s="2" t="s">
        <v>30</v>
      </c>
      <c r="P1221" s="2">
        <v>4.04</v>
      </c>
      <c r="Q1221" s="2">
        <v>5.74</v>
      </c>
      <c r="R1221" s="3">
        <f t="shared" si="95"/>
        <v>2385.2159999999999</v>
      </c>
      <c r="S1221" s="3">
        <f t="shared" si="96"/>
        <v>3388.8960000000002</v>
      </c>
      <c r="T1221" s="3">
        <f t="shared" si="97"/>
        <v>1003.6800000000003</v>
      </c>
      <c r="U1221" s="4">
        <f t="shared" si="98"/>
        <v>0.29616724738675965</v>
      </c>
      <c r="V1221" s="5">
        <f t="shared" si="99"/>
        <v>56.973599999999998</v>
      </c>
    </row>
    <row r="1222" spans="1:22" x14ac:dyDescent="0.25">
      <c r="A1222" s="2" t="s">
        <v>1256</v>
      </c>
      <c r="B1222" s="2" t="s">
        <v>32</v>
      </c>
      <c r="C1222" s="2" t="s">
        <v>33</v>
      </c>
      <c r="D1222" s="2" t="s">
        <v>20</v>
      </c>
      <c r="E1222" s="2">
        <v>470.25</v>
      </c>
      <c r="F1222" s="2">
        <v>11.37</v>
      </c>
      <c r="G1222" s="2">
        <v>28.08</v>
      </c>
      <c r="H1222" s="2">
        <v>0.9</v>
      </c>
      <c r="I1222" s="2">
        <v>1.7</v>
      </c>
      <c r="J1222" s="2">
        <v>24</v>
      </c>
      <c r="K1222" s="2" t="s">
        <v>29</v>
      </c>
      <c r="L1222" s="2">
        <v>4.21</v>
      </c>
      <c r="M1222" s="2" t="s">
        <v>22</v>
      </c>
      <c r="N1222" s="2">
        <v>61.53</v>
      </c>
      <c r="O1222" s="2" t="s">
        <v>24</v>
      </c>
      <c r="P1222" s="2">
        <v>7.84</v>
      </c>
      <c r="Q1222" s="2">
        <v>8.31</v>
      </c>
      <c r="R1222" s="3">
        <f t="shared" si="95"/>
        <v>3686.7599999999998</v>
      </c>
      <c r="S1222" s="3">
        <f t="shared" si="96"/>
        <v>3907.7775000000001</v>
      </c>
      <c r="T1222" s="3">
        <f t="shared" si="97"/>
        <v>221.01750000000038</v>
      </c>
      <c r="U1222" s="4">
        <f t="shared" si="98"/>
        <v>5.6558363417569292E-2</v>
      </c>
      <c r="V1222" s="5">
        <f t="shared" si="99"/>
        <v>19.797525</v>
      </c>
    </row>
    <row r="1223" spans="1:22" x14ac:dyDescent="0.25">
      <c r="A1223" s="2" t="s">
        <v>1257</v>
      </c>
      <c r="B1223" s="2" t="s">
        <v>45</v>
      </c>
      <c r="C1223" s="2" t="s">
        <v>27</v>
      </c>
      <c r="D1223" s="2" t="s">
        <v>20</v>
      </c>
      <c r="E1223" s="2">
        <v>631.20000000000005</v>
      </c>
      <c r="F1223" s="2">
        <v>8.9</v>
      </c>
      <c r="G1223" s="2">
        <v>24.29</v>
      </c>
      <c r="H1223" s="2">
        <v>1.2</v>
      </c>
      <c r="I1223" s="2">
        <v>1.8</v>
      </c>
      <c r="J1223" s="2">
        <v>7</v>
      </c>
      <c r="K1223" s="2" t="s">
        <v>29</v>
      </c>
      <c r="L1223" s="2">
        <v>4.3099999999999996</v>
      </c>
      <c r="M1223" s="2" t="s">
        <v>37</v>
      </c>
      <c r="N1223" s="2">
        <v>79.34</v>
      </c>
      <c r="O1223" s="2" t="s">
        <v>24</v>
      </c>
      <c r="P1223" s="2">
        <v>3.15</v>
      </c>
      <c r="Q1223" s="2">
        <v>9.9600000000000009</v>
      </c>
      <c r="R1223" s="3">
        <f t="shared" si="95"/>
        <v>1988.2800000000002</v>
      </c>
      <c r="S1223" s="3">
        <f t="shared" si="96"/>
        <v>6286.7520000000013</v>
      </c>
      <c r="T1223" s="3">
        <f t="shared" si="97"/>
        <v>4298.4720000000016</v>
      </c>
      <c r="U1223" s="4">
        <f t="shared" si="98"/>
        <v>0.68373493975903621</v>
      </c>
      <c r="V1223" s="5">
        <f t="shared" si="99"/>
        <v>27.204719999999998</v>
      </c>
    </row>
    <row r="1224" spans="1:22" x14ac:dyDescent="0.25">
      <c r="A1224" s="2" t="s">
        <v>1258</v>
      </c>
      <c r="B1224" s="2" t="s">
        <v>32</v>
      </c>
      <c r="C1224" s="2" t="s">
        <v>33</v>
      </c>
      <c r="D1224" s="2" t="s">
        <v>28</v>
      </c>
      <c r="E1224" s="2">
        <v>532.08000000000004</v>
      </c>
      <c r="F1224" s="2">
        <v>17.62</v>
      </c>
      <c r="G1224" s="2">
        <v>27.12</v>
      </c>
      <c r="H1224" s="2">
        <v>0.4</v>
      </c>
      <c r="I1224" s="2">
        <v>0.8</v>
      </c>
      <c r="J1224" s="2">
        <v>25</v>
      </c>
      <c r="K1224" s="2" t="s">
        <v>34</v>
      </c>
      <c r="L1224" s="2">
        <v>6.82</v>
      </c>
      <c r="M1224" s="2" t="s">
        <v>40</v>
      </c>
      <c r="N1224" s="2">
        <v>59.73</v>
      </c>
      <c r="O1224" s="2" t="s">
        <v>30</v>
      </c>
      <c r="P1224" s="2">
        <v>4.0599999999999996</v>
      </c>
      <c r="Q1224" s="2">
        <v>5.57</v>
      </c>
      <c r="R1224" s="3">
        <f t="shared" si="95"/>
        <v>2160.2447999999999</v>
      </c>
      <c r="S1224" s="3">
        <f t="shared" si="96"/>
        <v>2963.6856000000002</v>
      </c>
      <c r="T1224" s="3">
        <f t="shared" si="97"/>
        <v>803.44080000000031</v>
      </c>
      <c r="U1224" s="4">
        <f t="shared" si="98"/>
        <v>0.27109515260323169</v>
      </c>
      <c r="V1224" s="5">
        <f t="shared" si="99"/>
        <v>36.287856000000005</v>
      </c>
    </row>
    <row r="1225" spans="1:22" x14ac:dyDescent="0.25">
      <c r="A1225" s="2" t="s">
        <v>1259</v>
      </c>
      <c r="B1225" s="2" t="s">
        <v>18</v>
      </c>
      <c r="C1225" s="2" t="s">
        <v>19</v>
      </c>
      <c r="D1225" s="2" t="s">
        <v>20</v>
      </c>
      <c r="E1225" s="2">
        <v>519.41</v>
      </c>
      <c r="F1225" s="2">
        <v>16.07</v>
      </c>
      <c r="G1225" s="2">
        <v>25.68</v>
      </c>
      <c r="H1225" s="2">
        <v>2</v>
      </c>
      <c r="I1225" s="2">
        <v>0.4</v>
      </c>
      <c r="J1225" s="2">
        <v>23</v>
      </c>
      <c r="K1225" s="2" t="s">
        <v>34</v>
      </c>
      <c r="L1225" s="2">
        <v>8.19</v>
      </c>
      <c r="M1225" s="2" t="s">
        <v>22</v>
      </c>
      <c r="N1225" s="2">
        <v>85.74</v>
      </c>
      <c r="O1225" s="2" t="s">
        <v>24</v>
      </c>
      <c r="P1225" s="2">
        <v>7.97</v>
      </c>
      <c r="Q1225" s="2">
        <v>5.88</v>
      </c>
      <c r="R1225" s="3">
        <f t="shared" si="95"/>
        <v>4139.6976999999997</v>
      </c>
      <c r="S1225" s="3">
        <f t="shared" si="96"/>
        <v>3054.1307999999999</v>
      </c>
      <c r="T1225" s="3">
        <f t="shared" si="97"/>
        <v>-1085.5668999999998</v>
      </c>
      <c r="U1225" s="4">
        <f t="shared" si="98"/>
        <v>-0.35544217687074825</v>
      </c>
      <c r="V1225" s="5">
        <f t="shared" si="99"/>
        <v>42.539679</v>
      </c>
    </row>
    <row r="1226" spans="1:22" x14ac:dyDescent="0.25">
      <c r="A1226" s="2" t="s">
        <v>1260</v>
      </c>
      <c r="B1226" s="2" t="s">
        <v>32</v>
      </c>
      <c r="C1226" s="2" t="s">
        <v>33</v>
      </c>
      <c r="D1226" s="2" t="s">
        <v>28</v>
      </c>
      <c r="E1226" s="2">
        <v>372.99</v>
      </c>
      <c r="F1226" s="2">
        <v>12.6</v>
      </c>
      <c r="G1226" s="2">
        <v>23.52</v>
      </c>
      <c r="H1226" s="2">
        <v>0.9</v>
      </c>
      <c r="I1226" s="2">
        <v>0.2</v>
      </c>
      <c r="J1226" s="2">
        <v>20</v>
      </c>
      <c r="K1226" s="2" t="s">
        <v>21</v>
      </c>
      <c r="L1226" s="2">
        <v>6.45</v>
      </c>
      <c r="M1226" s="2" t="s">
        <v>22</v>
      </c>
      <c r="N1226" s="2">
        <v>81.260000000000005</v>
      </c>
      <c r="O1226" s="2" t="s">
        <v>24</v>
      </c>
      <c r="P1226" s="2">
        <v>7.98</v>
      </c>
      <c r="Q1226" s="2">
        <v>7.63</v>
      </c>
      <c r="R1226" s="3">
        <f t="shared" si="95"/>
        <v>2976.4602000000004</v>
      </c>
      <c r="S1226" s="3">
        <f t="shared" si="96"/>
        <v>2845.9137000000001</v>
      </c>
      <c r="T1226" s="3">
        <f t="shared" si="97"/>
        <v>-130.54650000000038</v>
      </c>
      <c r="U1226" s="4">
        <f t="shared" si="98"/>
        <v>-4.5871559633027657E-2</v>
      </c>
      <c r="V1226" s="5">
        <f t="shared" si="99"/>
        <v>24.057855</v>
      </c>
    </row>
    <row r="1227" spans="1:22" x14ac:dyDescent="0.25">
      <c r="A1227" s="2" t="s">
        <v>1261</v>
      </c>
      <c r="B1227" s="2" t="s">
        <v>45</v>
      </c>
      <c r="C1227" s="2" t="s">
        <v>27</v>
      </c>
      <c r="D1227" s="2" t="s">
        <v>20</v>
      </c>
      <c r="E1227" s="2">
        <v>528.70000000000005</v>
      </c>
      <c r="F1227" s="2">
        <v>10.24</v>
      </c>
      <c r="G1227" s="2">
        <v>34.869999999999997</v>
      </c>
      <c r="H1227" s="2">
        <v>3.8</v>
      </c>
      <c r="I1227" s="2">
        <v>0.4</v>
      </c>
      <c r="J1227" s="2">
        <v>4</v>
      </c>
      <c r="K1227" s="2" t="s">
        <v>29</v>
      </c>
      <c r="L1227" s="2">
        <v>7.14</v>
      </c>
      <c r="M1227" s="2" t="s">
        <v>37</v>
      </c>
      <c r="N1227" s="2">
        <v>89.91</v>
      </c>
      <c r="O1227" s="2" t="s">
        <v>23</v>
      </c>
      <c r="P1227" s="2">
        <v>7.49</v>
      </c>
      <c r="Q1227" s="2">
        <v>8.67</v>
      </c>
      <c r="R1227" s="3">
        <f t="shared" si="95"/>
        <v>3959.9630000000006</v>
      </c>
      <c r="S1227" s="3">
        <f t="shared" si="96"/>
        <v>4583.8290000000006</v>
      </c>
      <c r="T1227" s="3">
        <f t="shared" si="97"/>
        <v>623.86599999999999</v>
      </c>
      <c r="U1227" s="4">
        <f t="shared" si="98"/>
        <v>0.13610149942329872</v>
      </c>
      <c r="V1227" s="5">
        <f t="shared" si="99"/>
        <v>37.749180000000003</v>
      </c>
    </row>
    <row r="1228" spans="1:22" x14ac:dyDescent="0.25">
      <c r="A1228" s="2" t="s">
        <v>1262</v>
      </c>
      <c r="B1228" s="2" t="s">
        <v>18</v>
      </c>
      <c r="C1228" s="2" t="s">
        <v>43</v>
      </c>
      <c r="D1228" s="2" t="s">
        <v>28</v>
      </c>
      <c r="E1228" s="2">
        <v>416.8</v>
      </c>
      <c r="F1228" s="2">
        <v>17.329999999999998</v>
      </c>
      <c r="G1228" s="2">
        <v>25.04</v>
      </c>
      <c r="H1228" s="2">
        <v>2.8</v>
      </c>
      <c r="I1228" s="2">
        <v>1</v>
      </c>
      <c r="J1228" s="2">
        <v>11</v>
      </c>
      <c r="K1228" s="2" t="s">
        <v>21</v>
      </c>
      <c r="L1228" s="2">
        <v>4.04</v>
      </c>
      <c r="M1228" s="2" t="s">
        <v>37</v>
      </c>
      <c r="N1228" s="2">
        <v>53.42</v>
      </c>
      <c r="O1228" s="2" t="s">
        <v>24</v>
      </c>
      <c r="P1228" s="2">
        <v>6.34</v>
      </c>
      <c r="Q1228" s="2">
        <v>8.93</v>
      </c>
      <c r="R1228" s="3">
        <f t="shared" si="95"/>
        <v>2642.5120000000002</v>
      </c>
      <c r="S1228" s="3">
        <f t="shared" si="96"/>
        <v>3722.0239999999999</v>
      </c>
      <c r="T1228" s="3">
        <f t="shared" si="97"/>
        <v>1079.5119999999997</v>
      </c>
      <c r="U1228" s="4">
        <f t="shared" si="98"/>
        <v>0.29003359462485995</v>
      </c>
      <c r="V1228" s="5">
        <f t="shared" si="99"/>
        <v>16.838720000000002</v>
      </c>
    </row>
    <row r="1229" spans="1:22" x14ac:dyDescent="0.25">
      <c r="A1229" s="2" t="s">
        <v>1263</v>
      </c>
      <c r="B1229" s="2" t="s">
        <v>26</v>
      </c>
      <c r="C1229" s="2" t="s">
        <v>33</v>
      </c>
      <c r="D1229" s="2" t="s">
        <v>20</v>
      </c>
      <c r="E1229" s="2">
        <v>436.17</v>
      </c>
      <c r="F1229" s="2">
        <v>11.45</v>
      </c>
      <c r="G1229" s="2">
        <v>29.08</v>
      </c>
      <c r="H1229" s="2">
        <v>1.9</v>
      </c>
      <c r="I1229" s="2">
        <v>0.2</v>
      </c>
      <c r="J1229" s="2">
        <v>8</v>
      </c>
      <c r="K1229" s="2" t="s">
        <v>34</v>
      </c>
      <c r="L1229" s="2">
        <v>5.0599999999999996</v>
      </c>
      <c r="M1229" s="2" t="s">
        <v>22</v>
      </c>
      <c r="N1229" s="2">
        <v>60.51</v>
      </c>
      <c r="O1229" s="2" t="s">
        <v>30</v>
      </c>
      <c r="P1229" s="2">
        <v>7.72</v>
      </c>
      <c r="Q1229" s="2">
        <v>6.18</v>
      </c>
      <c r="R1229" s="3">
        <f t="shared" si="95"/>
        <v>3367.2323999999999</v>
      </c>
      <c r="S1229" s="3">
        <f t="shared" si="96"/>
        <v>2695.5306</v>
      </c>
      <c r="T1229" s="3">
        <f t="shared" si="97"/>
        <v>-671.70179999999982</v>
      </c>
      <c r="U1229" s="4">
        <f t="shared" si="98"/>
        <v>-0.24919093851132679</v>
      </c>
      <c r="V1229" s="5">
        <f t="shared" si="99"/>
        <v>22.070201999999998</v>
      </c>
    </row>
    <row r="1230" spans="1:22" x14ac:dyDescent="0.25">
      <c r="A1230" s="2" t="s">
        <v>1264</v>
      </c>
      <c r="B1230" s="2" t="s">
        <v>45</v>
      </c>
      <c r="C1230" s="2" t="s">
        <v>19</v>
      </c>
      <c r="D1230" s="2" t="s">
        <v>28</v>
      </c>
      <c r="E1230" s="2">
        <v>418.46</v>
      </c>
      <c r="F1230" s="2">
        <v>9.61</v>
      </c>
      <c r="G1230" s="2">
        <v>27.72</v>
      </c>
      <c r="H1230" s="2">
        <v>0.9</v>
      </c>
      <c r="I1230" s="2">
        <v>0.3</v>
      </c>
      <c r="J1230" s="2">
        <v>6</v>
      </c>
      <c r="K1230" s="2" t="s">
        <v>34</v>
      </c>
      <c r="L1230" s="2">
        <v>2.37</v>
      </c>
      <c r="M1230" s="2" t="s">
        <v>37</v>
      </c>
      <c r="N1230" s="2">
        <v>57.72</v>
      </c>
      <c r="O1230" s="2" t="s">
        <v>24</v>
      </c>
      <c r="P1230" s="2">
        <v>8.42</v>
      </c>
      <c r="Q1230" s="2">
        <v>7.26</v>
      </c>
      <c r="R1230" s="3">
        <f t="shared" si="95"/>
        <v>3523.4331999999999</v>
      </c>
      <c r="S1230" s="3">
        <f t="shared" si="96"/>
        <v>3038.0195999999996</v>
      </c>
      <c r="T1230" s="3">
        <f t="shared" si="97"/>
        <v>-485.41360000000032</v>
      </c>
      <c r="U1230" s="4">
        <f t="shared" si="98"/>
        <v>-0.15977961432506899</v>
      </c>
      <c r="V1230" s="5">
        <f t="shared" si="99"/>
        <v>9.9175019999999989</v>
      </c>
    </row>
    <row r="1231" spans="1:22" x14ac:dyDescent="0.25">
      <c r="A1231" s="2" t="s">
        <v>1265</v>
      </c>
      <c r="B1231" s="2" t="s">
        <v>18</v>
      </c>
      <c r="C1231" s="2" t="s">
        <v>33</v>
      </c>
      <c r="D1231" s="2" t="s">
        <v>20</v>
      </c>
      <c r="E1231" s="2">
        <v>393.38</v>
      </c>
      <c r="F1231" s="2">
        <v>13.63</v>
      </c>
      <c r="G1231" s="2">
        <v>39.64</v>
      </c>
      <c r="H1231" s="2">
        <v>0.5</v>
      </c>
      <c r="I1231" s="2">
        <v>0.6</v>
      </c>
      <c r="J1231" s="2">
        <v>25</v>
      </c>
      <c r="K1231" s="2" t="s">
        <v>34</v>
      </c>
      <c r="L1231" s="2">
        <v>6.96</v>
      </c>
      <c r="M1231" s="2" t="s">
        <v>37</v>
      </c>
      <c r="N1231" s="2">
        <v>59.53</v>
      </c>
      <c r="O1231" s="2" t="s">
        <v>23</v>
      </c>
      <c r="P1231" s="2">
        <v>9.77</v>
      </c>
      <c r="Q1231" s="2">
        <v>7.62</v>
      </c>
      <c r="R1231" s="3">
        <f t="shared" si="95"/>
        <v>3843.3226</v>
      </c>
      <c r="S1231" s="3">
        <f t="shared" si="96"/>
        <v>2997.5556000000001</v>
      </c>
      <c r="T1231" s="3">
        <f t="shared" si="97"/>
        <v>-845.76699999999983</v>
      </c>
      <c r="U1231" s="4">
        <f t="shared" si="98"/>
        <v>-0.28215223097112851</v>
      </c>
      <c r="V1231" s="5">
        <f t="shared" si="99"/>
        <v>27.379247999999997</v>
      </c>
    </row>
    <row r="1232" spans="1:22" x14ac:dyDescent="0.25">
      <c r="A1232" s="2" t="s">
        <v>1266</v>
      </c>
      <c r="B1232" s="2" t="s">
        <v>18</v>
      </c>
      <c r="C1232" s="2" t="s">
        <v>33</v>
      </c>
      <c r="D1232" s="2" t="s">
        <v>28</v>
      </c>
      <c r="E1232" s="2">
        <v>712.48</v>
      </c>
      <c r="F1232" s="2">
        <v>17.440000000000001</v>
      </c>
      <c r="G1232" s="2">
        <v>27.82</v>
      </c>
      <c r="H1232" s="2">
        <v>3</v>
      </c>
      <c r="I1232" s="2">
        <v>0.3</v>
      </c>
      <c r="J1232" s="2">
        <v>10</v>
      </c>
      <c r="K1232" s="2" t="s">
        <v>34</v>
      </c>
      <c r="L1232" s="2">
        <v>2.6</v>
      </c>
      <c r="M1232" s="2" t="s">
        <v>40</v>
      </c>
      <c r="N1232" s="2">
        <v>55.15</v>
      </c>
      <c r="O1232" s="2" t="s">
        <v>24</v>
      </c>
      <c r="P1232" s="2">
        <v>9.2200000000000006</v>
      </c>
      <c r="Q1232" s="2">
        <v>5.68</v>
      </c>
      <c r="R1232" s="3">
        <f t="shared" si="95"/>
        <v>6569.0656000000008</v>
      </c>
      <c r="S1232" s="3">
        <f t="shared" si="96"/>
        <v>4046.8863999999999</v>
      </c>
      <c r="T1232" s="3">
        <f t="shared" si="97"/>
        <v>-2522.1792000000009</v>
      </c>
      <c r="U1232" s="4">
        <f t="shared" si="98"/>
        <v>-0.62323943661971859</v>
      </c>
      <c r="V1232" s="5">
        <f t="shared" si="99"/>
        <v>18.524480000000001</v>
      </c>
    </row>
    <row r="1233" spans="1:22" x14ac:dyDescent="0.25">
      <c r="A1233" s="2" t="s">
        <v>1267</v>
      </c>
      <c r="B1233" s="2" t="s">
        <v>26</v>
      </c>
      <c r="C1233" s="2" t="s">
        <v>33</v>
      </c>
      <c r="D1233" s="2" t="s">
        <v>28</v>
      </c>
      <c r="E1233" s="2">
        <v>633.13</v>
      </c>
      <c r="F1233" s="2">
        <v>8.0399999999999991</v>
      </c>
      <c r="G1233" s="2">
        <v>21.6</v>
      </c>
      <c r="H1233" s="2">
        <v>1.3</v>
      </c>
      <c r="I1233" s="2">
        <v>0.9</v>
      </c>
      <c r="J1233" s="2">
        <v>7</v>
      </c>
      <c r="K1233" s="2" t="s">
        <v>34</v>
      </c>
      <c r="L1233" s="2">
        <v>0.51</v>
      </c>
      <c r="M1233" s="2" t="s">
        <v>37</v>
      </c>
      <c r="N1233" s="2">
        <v>78.099999999999994</v>
      </c>
      <c r="O1233" s="2" t="s">
        <v>30</v>
      </c>
      <c r="P1233" s="2">
        <v>8.56</v>
      </c>
      <c r="Q1233" s="2">
        <v>8.26</v>
      </c>
      <c r="R1233" s="3">
        <f t="shared" si="95"/>
        <v>5419.5928000000004</v>
      </c>
      <c r="S1233" s="3">
        <f t="shared" si="96"/>
        <v>5229.6538</v>
      </c>
      <c r="T1233" s="3">
        <f t="shared" si="97"/>
        <v>-189.93900000000031</v>
      </c>
      <c r="U1233" s="4">
        <f t="shared" si="98"/>
        <v>-3.6319612590799091E-2</v>
      </c>
      <c r="V1233" s="5">
        <f t="shared" si="99"/>
        <v>3.2289629999999998</v>
      </c>
    </row>
    <row r="1234" spans="1:22" x14ac:dyDescent="0.25">
      <c r="A1234" s="2" t="s">
        <v>1268</v>
      </c>
      <c r="B1234" s="2" t="s">
        <v>32</v>
      </c>
      <c r="C1234" s="2" t="s">
        <v>19</v>
      </c>
      <c r="D1234" s="2" t="s">
        <v>28</v>
      </c>
      <c r="E1234" s="2">
        <v>692.04</v>
      </c>
      <c r="F1234" s="2">
        <v>10.38</v>
      </c>
      <c r="G1234" s="2">
        <v>21.8</v>
      </c>
      <c r="H1234" s="2">
        <v>0.5</v>
      </c>
      <c r="I1234" s="2">
        <v>2.6</v>
      </c>
      <c r="J1234" s="2">
        <v>7</v>
      </c>
      <c r="K1234" s="2" t="s">
        <v>21</v>
      </c>
      <c r="L1234" s="2">
        <v>9.3699999999999992</v>
      </c>
      <c r="M1234" s="2" t="s">
        <v>22</v>
      </c>
      <c r="N1234" s="2">
        <v>79.67</v>
      </c>
      <c r="O1234" s="2" t="s">
        <v>24</v>
      </c>
      <c r="P1234" s="2">
        <v>7.86</v>
      </c>
      <c r="Q1234" s="2">
        <v>5.72</v>
      </c>
      <c r="R1234" s="3">
        <f t="shared" si="95"/>
        <v>5439.4344000000001</v>
      </c>
      <c r="S1234" s="3">
        <f t="shared" si="96"/>
        <v>3958.4687999999996</v>
      </c>
      <c r="T1234" s="3">
        <f t="shared" si="97"/>
        <v>-1480.9656000000004</v>
      </c>
      <c r="U1234" s="4">
        <f t="shared" si="98"/>
        <v>-0.37412587412587428</v>
      </c>
      <c r="V1234" s="5">
        <f t="shared" si="99"/>
        <v>64.84414799999999</v>
      </c>
    </row>
    <row r="1235" spans="1:22" x14ac:dyDescent="0.25">
      <c r="A1235" s="2" t="s">
        <v>1269</v>
      </c>
      <c r="B1235" s="2" t="s">
        <v>32</v>
      </c>
      <c r="C1235" s="2" t="s">
        <v>27</v>
      </c>
      <c r="D1235" s="2" t="s">
        <v>28</v>
      </c>
      <c r="E1235" s="2">
        <v>377.71</v>
      </c>
      <c r="F1235" s="2">
        <v>17.38</v>
      </c>
      <c r="G1235" s="2">
        <v>31.82</v>
      </c>
      <c r="H1235" s="2">
        <v>0.4</v>
      </c>
      <c r="I1235" s="2">
        <v>1.4</v>
      </c>
      <c r="J1235" s="2">
        <v>4</v>
      </c>
      <c r="K1235" s="2" t="s">
        <v>21</v>
      </c>
      <c r="L1235" s="2">
        <v>3.41</v>
      </c>
      <c r="M1235" s="2" t="s">
        <v>37</v>
      </c>
      <c r="N1235" s="2">
        <v>92.17</v>
      </c>
      <c r="O1235" s="2" t="s">
        <v>30</v>
      </c>
      <c r="P1235" s="2">
        <v>7.02</v>
      </c>
      <c r="Q1235" s="2">
        <v>12.03</v>
      </c>
      <c r="R1235" s="3">
        <f t="shared" si="95"/>
        <v>2651.5241999999998</v>
      </c>
      <c r="S1235" s="3">
        <f t="shared" si="96"/>
        <v>4543.8512999999994</v>
      </c>
      <c r="T1235" s="3">
        <f t="shared" si="97"/>
        <v>1892.3270999999995</v>
      </c>
      <c r="U1235" s="4">
        <f t="shared" si="98"/>
        <v>0.41645885286783035</v>
      </c>
      <c r="V1235" s="5">
        <f t="shared" si="99"/>
        <v>12.879911</v>
      </c>
    </row>
    <row r="1236" spans="1:22" x14ac:dyDescent="0.25">
      <c r="A1236" s="2" t="s">
        <v>1270</v>
      </c>
      <c r="B1236" s="2" t="s">
        <v>45</v>
      </c>
      <c r="C1236" s="2" t="s">
        <v>33</v>
      </c>
      <c r="D1236" s="2" t="s">
        <v>28</v>
      </c>
      <c r="E1236" s="2">
        <v>507.13</v>
      </c>
      <c r="F1236" s="2">
        <v>9.7100000000000009</v>
      </c>
      <c r="G1236" s="2">
        <v>31.99</v>
      </c>
      <c r="H1236" s="2">
        <v>0.4</v>
      </c>
      <c r="I1236" s="2">
        <v>1.1000000000000001</v>
      </c>
      <c r="J1236" s="2">
        <v>3</v>
      </c>
      <c r="K1236" s="2" t="s">
        <v>34</v>
      </c>
      <c r="L1236" s="2">
        <v>2.37</v>
      </c>
      <c r="M1236" s="2" t="s">
        <v>22</v>
      </c>
      <c r="N1236" s="2">
        <v>70.89</v>
      </c>
      <c r="O1236" s="2" t="s">
        <v>23</v>
      </c>
      <c r="P1236" s="2">
        <v>3.84</v>
      </c>
      <c r="Q1236" s="2">
        <v>8.86</v>
      </c>
      <c r="R1236" s="3">
        <f t="shared" si="95"/>
        <v>1947.3791999999999</v>
      </c>
      <c r="S1236" s="3">
        <f t="shared" si="96"/>
        <v>4493.1718000000001</v>
      </c>
      <c r="T1236" s="3">
        <f t="shared" si="97"/>
        <v>2545.7926000000002</v>
      </c>
      <c r="U1236" s="4">
        <f t="shared" si="98"/>
        <v>0.56659142212189617</v>
      </c>
      <c r="V1236" s="5">
        <f t="shared" si="99"/>
        <v>12.018981000000002</v>
      </c>
    </row>
    <row r="1237" spans="1:22" x14ac:dyDescent="0.25">
      <c r="A1237" s="2" t="s">
        <v>1271</v>
      </c>
      <c r="B1237" s="2" t="s">
        <v>26</v>
      </c>
      <c r="C1237" s="2" t="s">
        <v>33</v>
      </c>
      <c r="D1237" s="2" t="s">
        <v>28</v>
      </c>
      <c r="E1237" s="2">
        <v>370.65</v>
      </c>
      <c r="F1237" s="2">
        <v>9.1300000000000008</v>
      </c>
      <c r="G1237" s="2">
        <v>28.38</v>
      </c>
      <c r="H1237" s="2">
        <v>3</v>
      </c>
      <c r="I1237" s="2">
        <v>0.9</v>
      </c>
      <c r="J1237" s="2">
        <v>24</v>
      </c>
      <c r="K1237" s="2" t="s">
        <v>29</v>
      </c>
      <c r="L1237" s="2">
        <v>3.05</v>
      </c>
      <c r="M1237" s="2" t="s">
        <v>22</v>
      </c>
      <c r="N1237" s="2">
        <v>76.62</v>
      </c>
      <c r="O1237" s="2" t="s">
        <v>24</v>
      </c>
      <c r="P1237" s="2">
        <v>4.16</v>
      </c>
      <c r="Q1237" s="2">
        <v>8.27</v>
      </c>
      <c r="R1237" s="3">
        <f t="shared" si="95"/>
        <v>1541.904</v>
      </c>
      <c r="S1237" s="3">
        <f t="shared" si="96"/>
        <v>3065.2754999999997</v>
      </c>
      <c r="T1237" s="3">
        <f t="shared" si="97"/>
        <v>1523.3714999999997</v>
      </c>
      <c r="U1237" s="4">
        <f t="shared" si="98"/>
        <v>0.49697702539298666</v>
      </c>
      <c r="V1237" s="5">
        <f t="shared" si="99"/>
        <v>11.304824999999999</v>
      </c>
    </row>
    <row r="1238" spans="1:22" x14ac:dyDescent="0.25">
      <c r="A1238" s="2" t="s">
        <v>1272</v>
      </c>
      <c r="B1238" s="2" t="s">
        <v>32</v>
      </c>
      <c r="C1238" s="2" t="s">
        <v>43</v>
      </c>
      <c r="D1238" s="2" t="s">
        <v>28</v>
      </c>
      <c r="E1238" s="2">
        <v>430.43</v>
      </c>
      <c r="F1238" s="2">
        <v>13.7</v>
      </c>
      <c r="G1238" s="2">
        <v>28.64</v>
      </c>
      <c r="H1238" s="2">
        <v>0.5</v>
      </c>
      <c r="I1238" s="2">
        <v>0.7</v>
      </c>
      <c r="J1238" s="2">
        <v>7</v>
      </c>
      <c r="K1238" s="2" t="s">
        <v>29</v>
      </c>
      <c r="L1238" s="2">
        <v>3.64</v>
      </c>
      <c r="M1238" s="2" t="s">
        <v>37</v>
      </c>
      <c r="N1238" s="2">
        <v>99.57</v>
      </c>
      <c r="O1238" s="2" t="s">
        <v>24</v>
      </c>
      <c r="P1238" s="2">
        <v>8.74</v>
      </c>
      <c r="Q1238" s="2">
        <v>6.27</v>
      </c>
      <c r="R1238" s="3">
        <f t="shared" si="95"/>
        <v>3761.9582</v>
      </c>
      <c r="S1238" s="3">
        <f t="shared" si="96"/>
        <v>2698.7961</v>
      </c>
      <c r="T1238" s="3">
        <f t="shared" si="97"/>
        <v>-1063.1621</v>
      </c>
      <c r="U1238" s="4">
        <f t="shared" si="98"/>
        <v>-0.39393939393939392</v>
      </c>
      <c r="V1238" s="5">
        <f t="shared" si="99"/>
        <v>15.667652</v>
      </c>
    </row>
    <row r="1239" spans="1:22" x14ac:dyDescent="0.25">
      <c r="A1239" s="2" t="s">
        <v>1273</v>
      </c>
      <c r="B1239" s="2" t="s">
        <v>26</v>
      </c>
      <c r="C1239" s="2" t="s">
        <v>19</v>
      </c>
      <c r="D1239" s="2" t="s">
        <v>20</v>
      </c>
      <c r="E1239" s="2">
        <v>408.19</v>
      </c>
      <c r="F1239" s="2">
        <v>16.62</v>
      </c>
      <c r="G1239" s="2">
        <v>21.08</v>
      </c>
      <c r="H1239" s="2">
        <v>1.5</v>
      </c>
      <c r="I1239" s="2">
        <v>0.2</v>
      </c>
      <c r="J1239" s="2">
        <v>4</v>
      </c>
      <c r="K1239" s="2" t="s">
        <v>29</v>
      </c>
      <c r="L1239" s="2">
        <v>5.01</v>
      </c>
      <c r="M1239" s="2" t="s">
        <v>37</v>
      </c>
      <c r="N1239" s="2">
        <v>76.59</v>
      </c>
      <c r="O1239" s="2" t="s">
        <v>23</v>
      </c>
      <c r="P1239" s="2">
        <v>8.6199999999999992</v>
      </c>
      <c r="Q1239" s="2">
        <v>7.27</v>
      </c>
      <c r="R1239" s="3">
        <f t="shared" si="95"/>
        <v>3518.5977999999996</v>
      </c>
      <c r="S1239" s="3">
        <f t="shared" si="96"/>
        <v>2967.5412999999999</v>
      </c>
      <c r="T1239" s="3">
        <f t="shared" si="97"/>
        <v>-551.05649999999969</v>
      </c>
      <c r="U1239" s="4">
        <f t="shared" si="98"/>
        <v>-0.18569463548830803</v>
      </c>
      <c r="V1239" s="5">
        <f t="shared" si="99"/>
        <v>20.450319</v>
      </c>
    </row>
    <row r="1240" spans="1:22" x14ac:dyDescent="0.25">
      <c r="A1240" s="2" t="s">
        <v>1274</v>
      </c>
      <c r="B1240" s="2" t="s">
        <v>32</v>
      </c>
      <c r="C1240" s="2" t="s">
        <v>33</v>
      </c>
      <c r="D1240" s="2" t="s">
        <v>20</v>
      </c>
      <c r="E1240" s="2">
        <v>623.96</v>
      </c>
      <c r="F1240" s="2">
        <v>12.77</v>
      </c>
      <c r="G1240" s="2">
        <v>30.33</v>
      </c>
      <c r="H1240" s="2">
        <v>1.2</v>
      </c>
      <c r="I1240" s="2">
        <v>2.2999999999999998</v>
      </c>
      <c r="J1240" s="2">
        <v>13</v>
      </c>
      <c r="K1240" s="2" t="s">
        <v>29</v>
      </c>
      <c r="L1240" s="2">
        <v>1.1599999999999999</v>
      </c>
      <c r="M1240" s="2" t="s">
        <v>37</v>
      </c>
      <c r="N1240" s="2">
        <v>78.680000000000007</v>
      </c>
      <c r="O1240" s="2" t="s">
        <v>30</v>
      </c>
      <c r="P1240" s="2">
        <v>7.3</v>
      </c>
      <c r="Q1240" s="2">
        <v>7.33</v>
      </c>
      <c r="R1240" s="3">
        <f t="shared" si="95"/>
        <v>4554.9080000000004</v>
      </c>
      <c r="S1240" s="3">
        <f t="shared" si="96"/>
        <v>4573.6268</v>
      </c>
      <c r="T1240" s="3">
        <f t="shared" si="97"/>
        <v>18.718799999999646</v>
      </c>
      <c r="U1240" s="4">
        <f t="shared" si="98"/>
        <v>4.0927694406547657E-3</v>
      </c>
      <c r="V1240" s="5">
        <f t="shared" si="99"/>
        <v>7.2379359999999995</v>
      </c>
    </row>
    <row r="1241" spans="1:22" x14ac:dyDescent="0.25">
      <c r="A1241" s="2" t="s">
        <v>1275</v>
      </c>
      <c r="B1241" s="2" t="s">
        <v>18</v>
      </c>
      <c r="C1241" s="2" t="s">
        <v>19</v>
      </c>
      <c r="D1241" s="2" t="s">
        <v>20</v>
      </c>
      <c r="E1241" s="2">
        <v>460.38</v>
      </c>
      <c r="F1241" s="2">
        <v>17.95</v>
      </c>
      <c r="G1241" s="2">
        <v>30.09</v>
      </c>
      <c r="H1241" s="2">
        <v>1.7</v>
      </c>
      <c r="I1241" s="2">
        <v>0.3</v>
      </c>
      <c r="J1241" s="2">
        <v>20</v>
      </c>
      <c r="K1241" s="2" t="s">
        <v>29</v>
      </c>
      <c r="L1241" s="2">
        <v>1</v>
      </c>
      <c r="M1241" s="2" t="s">
        <v>40</v>
      </c>
      <c r="N1241" s="2">
        <v>99.8</v>
      </c>
      <c r="O1241" s="2" t="s">
        <v>30</v>
      </c>
      <c r="P1241" s="2">
        <v>6.07</v>
      </c>
      <c r="Q1241" s="2">
        <v>14.85</v>
      </c>
      <c r="R1241" s="3">
        <f t="shared" si="95"/>
        <v>2794.5066000000002</v>
      </c>
      <c r="S1241" s="3">
        <f t="shared" si="96"/>
        <v>6836.643</v>
      </c>
      <c r="T1241" s="3">
        <f t="shared" si="97"/>
        <v>4042.1363999999999</v>
      </c>
      <c r="U1241" s="4">
        <f t="shared" si="98"/>
        <v>0.59124579124579124</v>
      </c>
      <c r="V1241" s="5">
        <f t="shared" si="99"/>
        <v>4.6037999999999997</v>
      </c>
    </row>
    <row r="1242" spans="1:22" x14ac:dyDescent="0.25">
      <c r="A1242" s="2" t="s">
        <v>1276</v>
      </c>
      <c r="B1242" s="2" t="s">
        <v>32</v>
      </c>
      <c r="C1242" s="2" t="s">
        <v>33</v>
      </c>
      <c r="D1242" s="2" t="s">
        <v>20</v>
      </c>
      <c r="E1242" s="2">
        <v>606.84</v>
      </c>
      <c r="F1242" s="2">
        <v>14.79</v>
      </c>
      <c r="G1242" s="2">
        <v>22.99</v>
      </c>
      <c r="H1242" s="2">
        <v>4.2</v>
      </c>
      <c r="I1242" s="2">
        <v>0.1</v>
      </c>
      <c r="J1242" s="2">
        <v>17</v>
      </c>
      <c r="K1242" s="2" t="s">
        <v>34</v>
      </c>
      <c r="L1242" s="2">
        <v>3.28</v>
      </c>
      <c r="M1242" s="2" t="s">
        <v>40</v>
      </c>
      <c r="N1242" s="2">
        <v>99.71</v>
      </c>
      <c r="O1242" s="2" t="s">
        <v>24</v>
      </c>
      <c r="P1242" s="2">
        <v>3.18</v>
      </c>
      <c r="Q1242" s="2">
        <v>13.35</v>
      </c>
      <c r="R1242" s="3">
        <f t="shared" si="95"/>
        <v>1929.7512000000002</v>
      </c>
      <c r="S1242" s="3">
        <f t="shared" si="96"/>
        <v>8101.3140000000003</v>
      </c>
      <c r="T1242" s="3">
        <f t="shared" si="97"/>
        <v>6171.5627999999997</v>
      </c>
      <c r="U1242" s="4">
        <f t="shared" si="98"/>
        <v>0.76179775280898865</v>
      </c>
      <c r="V1242" s="5">
        <f t="shared" si="99"/>
        <v>19.904351999999999</v>
      </c>
    </row>
    <row r="1243" spans="1:22" x14ac:dyDescent="0.25">
      <c r="A1243" s="2" t="s">
        <v>1277</v>
      </c>
      <c r="B1243" s="2" t="s">
        <v>26</v>
      </c>
      <c r="C1243" s="2" t="s">
        <v>27</v>
      </c>
      <c r="D1243" s="2" t="s">
        <v>20</v>
      </c>
      <c r="E1243" s="2">
        <v>560.41</v>
      </c>
      <c r="F1243" s="2">
        <v>8.74</v>
      </c>
      <c r="G1243" s="2">
        <v>22.08</v>
      </c>
      <c r="H1243" s="2">
        <v>4</v>
      </c>
      <c r="I1243" s="2">
        <v>1.4</v>
      </c>
      <c r="J1243" s="2">
        <v>27</v>
      </c>
      <c r="K1243" s="2" t="s">
        <v>21</v>
      </c>
      <c r="L1243" s="2">
        <v>3.31</v>
      </c>
      <c r="M1243" s="2" t="s">
        <v>37</v>
      </c>
      <c r="N1243" s="2">
        <v>71.2</v>
      </c>
      <c r="O1243" s="2" t="s">
        <v>30</v>
      </c>
      <c r="P1243" s="2">
        <v>5.29</v>
      </c>
      <c r="Q1243" s="2">
        <v>5.15</v>
      </c>
      <c r="R1243" s="3">
        <f t="shared" si="95"/>
        <v>2964.5688999999998</v>
      </c>
      <c r="S1243" s="3">
        <f t="shared" si="96"/>
        <v>2886.1115</v>
      </c>
      <c r="T1243" s="3">
        <f t="shared" si="97"/>
        <v>-78.45739999999978</v>
      </c>
      <c r="U1243" s="4">
        <f t="shared" si="98"/>
        <v>-2.7184466019417399E-2</v>
      </c>
      <c r="V1243" s="5">
        <f t="shared" si="99"/>
        <v>18.549571</v>
      </c>
    </row>
    <row r="1244" spans="1:22" x14ac:dyDescent="0.25">
      <c r="A1244" s="2" t="s">
        <v>1278</v>
      </c>
      <c r="B1244" s="2" t="s">
        <v>18</v>
      </c>
      <c r="C1244" s="2" t="s">
        <v>27</v>
      </c>
      <c r="D1244" s="2" t="s">
        <v>28</v>
      </c>
      <c r="E1244" s="2">
        <v>730.36</v>
      </c>
      <c r="F1244" s="2">
        <v>17.93</v>
      </c>
      <c r="G1244" s="2">
        <v>22.47</v>
      </c>
      <c r="H1244" s="2">
        <v>1.2</v>
      </c>
      <c r="I1244" s="2">
        <v>0.2</v>
      </c>
      <c r="J1244" s="2">
        <v>7</v>
      </c>
      <c r="K1244" s="2" t="s">
        <v>34</v>
      </c>
      <c r="L1244" s="2">
        <v>1.62</v>
      </c>
      <c r="M1244" s="2" t="s">
        <v>22</v>
      </c>
      <c r="N1244" s="2">
        <v>81.75</v>
      </c>
      <c r="O1244" s="2" t="s">
        <v>30</v>
      </c>
      <c r="P1244" s="2">
        <v>5.94</v>
      </c>
      <c r="Q1244" s="2">
        <v>11.17</v>
      </c>
      <c r="R1244" s="3">
        <f t="shared" si="95"/>
        <v>4338.3384000000005</v>
      </c>
      <c r="S1244" s="3">
        <f t="shared" si="96"/>
        <v>8158.1212000000005</v>
      </c>
      <c r="T1244" s="3">
        <f t="shared" si="97"/>
        <v>3819.7828</v>
      </c>
      <c r="U1244" s="4">
        <f t="shared" si="98"/>
        <v>0.46821844225604292</v>
      </c>
      <c r="V1244" s="5">
        <f t="shared" si="99"/>
        <v>11.831832000000002</v>
      </c>
    </row>
    <row r="1245" spans="1:22" x14ac:dyDescent="0.25">
      <c r="A1245" s="2" t="s">
        <v>1279</v>
      </c>
      <c r="B1245" s="2" t="s">
        <v>18</v>
      </c>
      <c r="C1245" s="2" t="s">
        <v>33</v>
      </c>
      <c r="D1245" s="2" t="s">
        <v>28</v>
      </c>
      <c r="E1245" s="2">
        <v>352.06</v>
      </c>
      <c r="F1245" s="2">
        <v>12.08</v>
      </c>
      <c r="G1245" s="2">
        <v>22.02</v>
      </c>
      <c r="H1245" s="2">
        <v>0</v>
      </c>
      <c r="I1245" s="2">
        <v>0.5</v>
      </c>
      <c r="J1245" s="2">
        <v>17</v>
      </c>
      <c r="K1245" s="2" t="s">
        <v>29</v>
      </c>
      <c r="L1245" s="2">
        <v>4.3499999999999996</v>
      </c>
      <c r="M1245" s="2" t="s">
        <v>37</v>
      </c>
      <c r="N1245" s="2">
        <v>74.040000000000006</v>
      </c>
      <c r="O1245" s="2" t="s">
        <v>24</v>
      </c>
      <c r="P1245" s="2">
        <v>6.4</v>
      </c>
      <c r="Q1245" s="2">
        <v>7.56</v>
      </c>
      <c r="R1245" s="3">
        <f t="shared" si="95"/>
        <v>2253.1840000000002</v>
      </c>
      <c r="S1245" s="3">
        <f t="shared" si="96"/>
        <v>2661.5735999999997</v>
      </c>
      <c r="T1245" s="3">
        <f t="shared" si="97"/>
        <v>408.38959999999952</v>
      </c>
      <c r="U1245" s="4">
        <f t="shared" si="98"/>
        <v>0.15343915343915326</v>
      </c>
      <c r="V1245" s="5">
        <f t="shared" si="99"/>
        <v>15.314609999999998</v>
      </c>
    </row>
    <row r="1246" spans="1:22" x14ac:dyDescent="0.25">
      <c r="A1246" s="2" t="s">
        <v>1280</v>
      </c>
      <c r="B1246" s="2" t="s">
        <v>18</v>
      </c>
      <c r="C1246" s="2" t="s">
        <v>27</v>
      </c>
      <c r="D1246" s="2" t="s">
        <v>28</v>
      </c>
      <c r="E1246" s="2">
        <v>625.91999999999996</v>
      </c>
      <c r="F1246" s="2">
        <v>10.87</v>
      </c>
      <c r="G1246" s="2">
        <v>32.19</v>
      </c>
      <c r="H1246" s="2">
        <v>1.1000000000000001</v>
      </c>
      <c r="I1246" s="2">
        <v>0</v>
      </c>
      <c r="J1246" s="2">
        <v>26</v>
      </c>
      <c r="K1246" s="2" t="s">
        <v>29</v>
      </c>
      <c r="L1246" s="2">
        <v>3.2</v>
      </c>
      <c r="M1246" s="2" t="s">
        <v>40</v>
      </c>
      <c r="N1246" s="2">
        <v>86.04</v>
      </c>
      <c r="O1246" s="2" t="s">
        <v>30</v>
      </c>
      <c r="P1246" s="2">
        <v>9.51</v>
      </c>
      <c r="Q1246" s="2">
        <v>6.04</v>
      </c>
      <c r="R1246" s="3">
        <f t="shared" si="95"/>
        <v>5952.4991999999993</v>
      </c>
      <c r="S1246" s="3">
        <f t="shared" si="96"/>
        <v>3780.5567999999998</v>
      </c>
      <c r="T1246" s="3">
        <f t="shared" si="97"/>
        <v>-2171.9423999999995</v>
      </c>
      <c r="U1246" s="4">
        <f t="shared" si="98"/>
        <v>-0.57450331125827803</v>
      </c>
      <c r="V1246" s="5">
        <f t="shared" si="99"/>
        <v>20.029440000000001</v>
      </c>
    </row>
    <row r="1247" spans="1:22" x14ac:dyDescent="0.25">
      <c r="A1247" s="2" t="s">
        <v>1281</v>
      </c>
      <c r="B1247" s="2" t="s">
        <v>26</v>
      </c>
      <c r="C1247" s="2" t="s">
        <v>33</v>
      </c>
      <c r="D1247" s="2" t="s">
        <v>28</v>
      </c>
      <c r="E1247" s="2">
        <v>614.64</v>
      </c>
      <c r="F1247" s="2">
        <v>13.58</v>
      </c>
      <c r="G1247" s="2">
        <v>23.93</v>
      </c>
      <c r="H1247" s="2">
        <v>1.9</v>
      </c>
      <c r="I1247" s="2">
        <v>0.1</v>
      </c>
      <c r="J1247" s="2">
        <v>26</v>
      </c>
      <c r="K1247" s="2" t="s">
        <v>21</v>
      </c>
      <c r="L1247" s="2">
        <v>0.75</v>
      </c>
      <c r="M1247" s="2" t="s">
        <v>40</v>
      </c>
      <c r="N1247" s="2">
        <v>96.92</v>
      </c>
      <c r="O1247" s="2" t="s">
        <v>30</v>
      </c>
      <c r="P1247" s="2">
        <v>3.76</v>
      </c>
      <c r="Q1247" s="2">
        <v>12.06</v>
      </c>
      <c r="R1247" s="3">
        <f t="shared" si="95"/>
        <v>2311.0463999999997</v>
      </c>
      <c r="S1247" s="3">
        <f t="shared" si="96"/>
        <v>7412.5583999999999</v>
      </c>
      <c r="T1247" s="3">
        <f t="shared" si="97"/>
        <v>5101.5120000000006</v>
      </c>
      <c r="U1247" s="4">
        <f t="shared" si="98"/>
        <v>0.68822553897180772</v>
      </c>
      <c r="V1247" s="5">
        <f t="shared" si="99"/>
        <v>4.6097999999999999</v>
      </c>
    </row>
    <row r="1248" spans="1:22" x14ac:dyDescent="0.25">
      <c r="A1248" s="2" t="s">
        <v>1282</v>
      </c>
      <c r="B1248" s="2" t="s">
        <v>45</v>
      </c>
      <c r="C1248" s="2" t="s">
        <v>27</v>
      </c>
      <c r="D1248" s="2" t="s">
        <v>28</v>
      </c>
      <c r="E1248" s="2">
        <v>402.66</v>
      </c>
      <c r="F1248" s="2">
        <v>11.04</v>
      </c>
      <c r="G1248" s="2">
        <v>25.03</v>
      </c>
      <c r="H1248" s="2">
        <v>1.6</v>
      </c>
      <c r="I1248" s="2">
        <v>0.2</v>
      </c>
      <c r="J1248" s="2">
        <v>4</v>
      </c>
      <c r="K1248" s="2" t="s">
        <v>34</v>
      </c>
      <c r="L1248" s="2">
        <v>8.91</v>
      </c>
      <c r="M1248" s="2" t="s">
        <v>37</v>
      </c>
      <c r="N1248" s="2">
        <v>65.48</v>
      </c>
      <c r="O1248" s="2" t="s">
        <v>24</v>
      </c>
      <c r="P1248" s="2">
        <v>6.63</v>
      </c>
      <c r="Q1248" s="2">
        <v>6.32</v>
      </c>
      <c r="R1248" s="3">
        <f t="shared" si="95"/>
        <v>2669.6358</v>
      </c>
      <c r="S1248" s="3">
        <f t="shared" si="96"/>
        <v>2544.8112000000001</v>
      </c>
      <c r="T1248" s="3">
        <f t="shared" si="97"/>
        <v>-124.82459999999992</v>
      </c>
      <c r="U1248" s="4">
        <f t="shared" si="98"/>
        <v>-4.9050632911392368E-2</v>
      </c>
      <c r="V1248" s="5">
        <f t="shared" si="99"/>
        <v>35.877006000000002</v>
      </c>
    </row>
    <row r="1249" spans="1:22" x14ac:dyDescent="0.25">
      <c r="A1249" s="2" t="s">
        <v>1283</v>
      </c>
      <c r="B1249" s="2" t="s">
        <v>45</v>
      </c>
      <c r="C1249" s="2" t="s">
        <v>43</v>
      </c>
      <c r="D1249" s="2" t="s">
        <v>20</v>
      </c>
      <c r="E1249" s="2">
        <v>600.71</v>
      </c>
      <c r="F1249" s="2">
        <v>8.86</v>
      </c>
      <c r="G1249" s="2">
        <v>23.47</v>
      </c>
      <c r="H1249" s="2">
        <v>2.1</v>
      </c>
      <c r="I1249" s="2">
        <v>0.1</v>
      </c>
      <c r="J1249" s="2">
        <v>11</v>
      </c>
      <c r="K1249" s="2" t="s">
        <v>21</v>
      </c>
      <c r="L1249" s="2">
        <v>8.92</v>
      </c>
      <c r="M1249" s="2" t="s">
        <v>22</v>
      </c>
      <c r="N1249" s="2">
        <v>90.94</v>
      </c>
      <c r="O1249" s="2" t="s">
        <v>24</v>
      </c>
      <c r="P1249" s="2">
        <v>5.58</v>
      </c>
      <c r="Q1249" s="2">
        <v>9.44</v>
      </c>
      <c r="R1249" s="3">
        <f t="shared" si="95"/>
        <v>3351.9618</v>
      </c>
      <c r="S1249" s="3">
        <f t="shared" si="96"/>
        <v>5670.7024000000001</v>
      </c>
      <c r="T1249" s="3">
        <f t="shared" si="97"/>
        <v>2318.7406000000001</v>
      </c>
      <c r="U1249" s="4">
        <f t="shared" si="98"/>
        <v>0.40889830508474578</v>
      </c>
      <c r="V1249" s="5">
        <f t="shared" si="99"/>
        <v>53.583331999999999</v>
      </c>
    </row>
    <row r="1250" spans="1:22" x14ac:dyDescent="0.25">
      <c r="A1250" s="2" t="s">
        <v>1284</v>
      </c>
      <c r="B1250" s="2" t="s">
        <v>45</v>
      </c>
      <c r="C1250" s="2" t="s">
        <v>43</v>
      </c>
      <c r="D1250" s="2" t="s">
        <v>20</v>
      </c>
      <c r="E1250" s="2">
        <v>533.61</v>
      </c>
      <c r="F1250" s="2">
        <v>8.01</v>
      </c>
      <c r="G1250" s="2">
        <v>39.159999999999997</v>
      </c>
      <c r="H1250" s="2">
        <v>0.3</v>
      </c>
      <c r="I1250" s="2">
        <v>1.1000000000000001</v>
      </c>
      <c r="J1250" s="2">
        <v>3</v>
      </c>
      <c r="K1250" s="2" t="s">
        <v>29</v>
      </c>
      <c r="L1250" s="2">
        <v>2.4900000000000002</v>
      </c>
      <c r="M1250" s="2" t="s">
        <v>22</v>
      </c>
      <c r="N1250" s="2">
        <v>82.74</v>
      </c>
      <c r="O1250" s="2" t="s">
        <v>30</v>
      </c>
      <c r="P1250" s="2">
        <v>9.93</v>
      </c>
      <c r="Q1250" s="2">
        <v>11.32</v>
      </c>
      <c r="R1250" s="3">
        <f t="shared" si="95"/>
        <v>5298.7473</v>
      </c>
      <c r="S1250" s="3">
        <f t="shared" si="96"/>
        <v>6040.4652000000006</v>
      </c>
      <c r="T1250" s="3">
        <f t="shared" si="97"/>
        <v>741.71790000000055</v>
      </c>
      <c r="U1250" s="4">
        <f t="shared" si="98"/>
        <v>0.12279151943462906</v>
      </c>
      <c r="V1250" s="5">
        <f t="shared" si="99"/>
        <v>13.286889</v>
      </c>
    </row>
    <row r="1251" spans="1:22" x14ac:dyDescent="0.25">
      <c r="A1251" s="2" t="s">
        <v>1285</v>
      </c>
      <c r="B1251" s="2" t="s">
        <v>26</v>
      </c>
      <c r="C1251" s="2" t="s">
        <v>43</v>
      </c>
      <c r="D1251" s="2" t="s">
        <v>20</v>
      </c>
      <c r="E1251" s="2">
        <v>477.25</v>
      </c>
      <c r="F1251" s="2">
        <v>12.5</v>
      </c>
      <c r="G1251" s="2">
        <v>37.090000000000003</v>
      </c>
      <c r="H1251" s="2">
        <v>2.1</v>
      </c>
      <c r="I1251" s="2">
        <v>1.8</v>
      </c>
      <c r="J1251" s="2">
        <v>11</v>
      </c>
      <c r="K1251" s="2" t="s">
        <v>29</v>
      </c>
      <c r="L1251" s="2">
        <v>2.0499999999999998</v>
      </c>
      <c r="M1251" s="2" t="s">
        <v>40</v>
      </c>
      <c r="N1251" s="2">
        <v>64.010000000000005</v>
      </c>
      <c r="O1251" s="2" t="s">
        <v>24</v>
      </c>
      <c r="P1251" s="2">
        <v>9.0299999999999994</v>
      </c>
      <c r="Q1251" s="2">
        <v>10.54</v>
      </c>
      <c r="R1251" s="3">
        <f t="shared" si="95"/>
        <v>4309.5675000000001</v>
      </c>
      <c r="S1251" s="3">
        <f t="shared" si="96"/>
        <v>5030.2149999999992</v>
      </c>
      <c r="T1251" s="3">
        <f t="shared" si="97"/>
        <v>720.64749999999913</v>
      </c>
      <c r="U1251" s="4">
        <f t="shared" si="98"/>
        <v>0.14326375711574937</v>
      </c>
      <c r="V1251" s="5">
        <f t="shared" si="99"/>
        <v>9.7836249999999989</v>
      </c>
    </row>
    <row r="1252" spans="1:22" x14ac:dyDescent="0.25">
      <c r="A1252" s="2" t="s">
        <v>1286</v>
      </c>
      <c r="B1252" s="2" t="s">
        <v>18</v>
      </c>
      <c r="C1252" s="2" t="s">
        <v>19</v>
      </c>
      <c r="D1252" s="2" t="s">
        <v>20</v>
      </c>
      <c r="E1252" s="2">
        <v>417.61</v>
      </c>
      <c r="F1252" s="2">
        <v>16.37</v>
      </c>
      <c r="G1252" s="2">
        <v>24.61</v>
      </c>
      <c r="H1252" s="2">
        <v>0.4</v>
      </c>
      <c r="I1252" s="2">
        <v>0.5</v>
      </c>
      <c r="J1252" s="2">
        <v>3</v>
      </c>
      <c r="K1252" s="2" t="s">
        <v>21</v>
      </c>
      <c r="L1252" s="2">
        <v>5.7</v>
      </c>
      <c r="M1252" s="2" t="s">
        <v>40</v>
      </c>
      <c r="N1252" s="2">
        <v>89.86</v>
      </c>
      <c r="O1252" s="2" t="s">
        <v>30</v>
      </c>
      <c r="P1252" s="2">
        <v>6.07</v>
      </c>
      <c r="Q1252" s="2">
        <v>14.78</v>
      </c>
      <c r="R1252" s="3">
        <f t="shared" si="95"/>
        <v>2534.8927000000003</v>
      </c>
      <c r="S1252" s="3">
        <f t="shared" si="96"/>
        <v>6172.2758000000003</v>
      </c>
      <c r="T1252" s="3">
        <f t="shared" si="97"/>
        <v>3637.3831</v>
      </c>
      <c r="U1252" s="4">
        <f t="shared" si="98"/>
        <v>0.58930987821380243</v>
      </c>
      <c r="V1252" s="5">
        <f t="shared" si="99"/>
        <v>23.80377</v>
      </c>
    </row>
    <row r="1253" spans="1:22" x14ac:dyDescent="0.25">
      <c r="A1253" s="2" t="s">
        <v>1287</v>
      </c>
      <c r="B1253" s="2" t="s">
        <v>45</v>
      </c>
      <c r="C1253" s="2" t="s">
        <v>19</v>
      </c>
      <c r="D1253" s="2" t="s">
        <v>28</v>
      </c>
      <c r="E1253" s="2">
        <v>428.09</v>
      </c>
      <c r="F1253" s="2">
        <v>13.72</v>
      </c>
      <c r="G1253" s="2">
        <v>26.55</v>
      </c>
      <c r="H1253" s="2">
        <v>2.8</v>
      </c>
      <c r="I1253" s="2">
        <v>2.1</v>
      </c>
      <c r="J1253" s="2">
        <v>12</v>
      </c>
      <c r="K1253" s="2" t="s">
        <v>29</v>
      </c>
      <c r="L1253" s="2">
        <v>6.49</v>
      </c>
      <c r="M1253" s="2" t="s">
        <v>40</v>
      </c>
      <c r="N1253" s="2">
        <v>71.36</v>
      </c>
      <c r="O1253" s="2" t="s">
        <v>30</v>
      </c>
      <c r="P1253" s="2">
        <v>10</v>
      </c>
      <c r="Q1253" s="2">
        <v>12.86</v>
      </c>
      <c r="R1253" s="3">
        <f t="shared" si="95"/>
        <v>4280.8999999999996</v>
      </c>
      <c r="S1253" s="3">
        <f t="shared" si="96"/>
        <v>5505.2373999999991</v>
      </c>
      <c r="T1253" s="3">
        <f t="shared" si="97"/>
        <v>1224.3373999999994</v>
      </c>
      <c r="U1253" s="4">
        <f t="shared" si="98"/>
        <v>0.22239502332814923</v>
      </c>
      <c r="V1253" s="5">
        <f t="shared" si="99"/>
        <v>27.783040999999997</v>
      </c>
    </row>
    <row r="1254" spans="1:22" x14ac:dyDescent="0.25">
      <c r="A1254" s="2" t="s">
        <v>1288</v>
      </c>
      <c r="B1254" s="2" t="s">
        <v>26</v>
      </c>
      <c r="C1254" s="2" t="s">
        <v>43</v>
      </c>
      <c r="D1254" s="2" t="s">
        <v>28</v>
      </c>
      <c r="E1254" s="2">
        <v>704.98</v>
      </c>
      <c r="F1254" s="2">
        <v>17.989999999999998</v>
      </c>
      <c r="G1254" s="2">
        <v>24.2</v>
      </c>
      <c r="H1254" s="2">
        <v>0.8</v>
      </c>
      <c r="I1254" s="2">
        <v>0.2</v>
      </c>
      <c r="J1254" s="2">
        <v>1</v>
      </c>
      <c r="K1254" s="2" t="s">
        <v>34</v>
      </c>
      <c r="L1254" s="2">
        <v>9.6</v>
      </c>
      <c r="M1254" s="2" t="s">
        <v>22</v>
      </c>
      <c r="N1254" s="2">
        <v>56.02</v>
      </c>
      <c r="O1254" s="2" t="s">
        <v>30</v>
      </c>
      <c r="P1254" s="2">
        <v>6.6</v>
      </c>
      <c r="Q1254" s="2">
        <v>12.74</v>
      </c>
      <c r="R1254" s="3">
        <f t="shared" si="95"/>
        <v>4652.8679999999995</v>
      </c>
      <c r="S1254" s="3">
        <f t="shared" si="96"/>
        <v>8981.4452000000001</v>
      </c>
      <c r="T1254" s="3">
        <f t="shared" si="97"/>
        <v>4328.5772000000006</v>
      </c>
      <c r="U1254" s="4">
        <f t="shared" si="98"/>
        <v>0.48194662480376771</v>
      </c>
      <c r="V1254" s="5">
        <f t="shared" si="99"/>
        <v>67.678079999999994</v>
      </c>
    </row>
    <row r="1255" spans="1:22" x14ac:dyDescent="0.25">
      <c r="A1255" s="2" t="s">
        <v>1289</v>
      </c>
      <c r="B1255" s="2" t="s">
        <v>45</v>
      </c>
      <c r="C1255" s="2" t="s">
        <v>19</v>
      </c>
      <c r="D1255" s="2" t="s">
        <v>28</v>
      </c>
      <c r="E1255" s="2">
        <v>500.07</v>
      </c>
      <c r="F1255" s="2">
        <v>10.87</v>
      </c>
      <c r="G1255" s="2">
        <v>29.84</v>
      </c>
      <c r="H1255" s="2">
        <v>2.5</v>
      </c>
      <c r="I1255" s="2">
        <v>0.4</v>
      </c>
      <c r="J1255" s="2">
        <v>4</v>
      </c>
      <c r="K1255" s="2" t="s">
        <v>29</v>
      </c>
      <c r="L1255" s="2">
        <v>4.08</v>
      </c>
      <c r="M1255" s="2" t="s">
        <v>40</v>
      </c>
      <c r="N1255" s="2">
        <v>99.67</v>
      </c>
      <c r="O1255" s="2" t="s">
        <v>30</v>
      </c>
      <c r="P1255" s="2">
        <v>4.17</v>
      </c>
      <c r="Q1255" s="2">
        <v>8.56</v>
      </c>
      <c r="R1255" s="3">
        <f t="shared" si="95"/>
        <v>2085.2918999999997</v>
      </c>
      <c r="S1255" s="3">
        <f t="shared" si="96"/>
        <v>4280.5992000000006</v>
      </c>
      <c r="T1255" s="3">
        <f t="shared" si="97"/>
        <v>2195.3073000000009</v>
      </c>
      <c r="U1255" s="4">
        <f t="shared" si="98"/>
        <v>0.51285046728971972</v>
      </c>
      <c r="V1255" s="5">
        <f t="shared" si="99"/>
        <v>20.402856</v>
      </c>
    </row>
    <row r="1256" spans="1:22" x14ac:dyDescent="0.25">
      <c r="A1256" s="2" t="s">
        <v>1290</v>
      </c>
      <c r="B1256" s="2" t="s">
        <v>32</v>
      </c>
      <c r="C1256" s="2" t="s">
        <v>27</v>
      </c>
      <c r="D1256" s="2" t="s">
        <v>20</v>
      </c>
      <c r="E1256" s="2">
        <v>578.21</v>
      </c>
      <c r="F1256" s="2">
        <v>10.8</v>
      </c>
      <c r="G1256" s="2">
        <v>20.39</v>
      </c>
      <c r="H1256" s="2">
        <v>0.1</v>
      </c>
      <c r="I1256" s="2">
        <v>0.2</v>
      </c>
      <c r="J1256" s="2">
        <v>14</v>
      </c>
      <c r="K1256" s="2" t="s">
        <v>29</v>
      </c>
      <c r="L1256" s="2">
        <v>6.37</v>
      </c>
      <c r="M1256" s="2" t="s">
        <v>40</v>
      </c>
      <c r="N1256" s="2">
        <v>71.28</v>
      </c>
      <c r="O1256" s="2" t="s">
        <v>24</v>
      </c>
      <c r="P1256" s="2">
        <v>6.89</v>
      </c>
      <c r="Q1256" s="2">
        <v>5.08</v>
      </c>
      <c r="R1256" s="3">
        <f t="shared" si="95"/>
        <v>3983.8669</v>
      </c>
      <c r="S1256" s="3">
        <f t="shared" si="96"/>
        <v>2937.3068000000003</v>
      </c>
      <c r="T1256" s="3">
        <f t="shared" si="97"/>
        <v>-1046.5600999999997</v>
      </c>
      <c r="U1256" s="4">
        <f t="shared" si="98"/>
        <v>-0.35629921259842506</v>
      </c>
      <c r="V1256" s="5">
        <f t="shared" si="99"/>
        <v>36.831977000000002</v>
      </c>
    </row>
    <row r="1257" spans="1:22" x14ac:dyDescent="0.25">
      <c r="A1257" s="2" t="s">
        <v>1291</v>
      </c>
      <c r="B1257" s="2" t="s">
        <v>45</v>
      </c>
      <c r="C1257" s="2" t="s">
        <v>33</v>
      </c>
      <c r="D1257" s="2" t="s">
        <v>28</v>
      </c>
      <c r="E1257" s="2">
        <v>420.91</v>
      </c>
      <c r="F1257" s="2">
        <v>9.6</v>
      </c>
      <c r="G1257" s="2">
        <v>33.43</v>
      </c>
      <c r="H1257" s="2">
        <v>1</v>
      </c>
      <c r="I1257" s="2">
        <v>1</v>
      </c>
      <c r="J1257" s="2">
        <v>1</v>
      </c>
      <c r="K1257" s="2" t="s">
        <v>34</v>
      </c>
      <c r="L1257" s="2">
        <v>8.84</v>
      </c>
      <c r="M1257" s="2" t="s">
        <v>22</v>
      </c>
      <c r="N1257" s="2">
        <v>77.08</v>
      </c>
      <c r="O1257" s="2" t="s">
        <v>24</v>
      </c>
      <c r="P1257" s="2">
        <v>4.58</v>
      </c>
      <c r="Q1257" s="2">
        <v>12.34</v>
      </c>
      <c r="R1257" s="3">
        <f t="shared" si="95"/>
        <v>1927.7678000000001</v>
      </c>
      <c r="S1257" s="3">
        <f t="shared" si="96"/>
        <v>5194.0294000000004</v>
      </c>
      <c r="T1257" s="3">
        <f t="shared" si="97"/>
        <v>3266.2616000000003</v>
      </c>
      <c r="U1257" s="4">
        <f t="shared" si="98"/>
        <v>0.62884927066450569</v>
      </c>
      <c r="V1257" s="5">
        <f t="shared" si="99"/>
        <v>37.208444</v>
      </c>
    </row>
    <row r="1258" spans="1:22" x14ac:dyDescent="0.25">
      <c r="A1258" s="2" t="s">
        <v>1292</v>
      </c>
      <c r="B1258" s="2" t="s">
        <v>45</v>
      </c>
      <c r="C1258" s="2" t="s">
        <v>33</v>
      </c>
      <c r="D1258" s="2" t="s">
        <v>20</v>
      </c>
      <c r="E1258" s="2">
        <v>422.01</v>
      </c>
      <c r="F1258" s="2">
        <v>9.64</v>
      </c>
      <c r="G1258" s="2">
        <v>30.46</v>
      </c>
      <c r="H1258" s="2">
        <v>2.4</v>
      </c>
      <c r="I1258" s="2">
        <v>0.5</v>
      </c>
      <c r="J1258" s="2">
        <v>14</v>
      </c>
      <c r="K1258" s="2" t="s">
        <v>29</v>
      </c>
      <c r="L1258" s="2">
        <v>4.7699999999999996</v>
      </c>
      <c r="M1258" s="2" t="s">
        <v>40</v>
      </c>
      <c r="N1258" s="2">
        <v>90.4</v>
      </c>
      <c r="O1258" s="2" t="s">
        <v>23</v>
      </c>
      <c r="P1258" s="2">
        <v>7.45</v>
      </c>
      <c r="Q1258" s="2">
        <v>15</v>
      </c>
      <c r="R1258" s="3">
        <f t="shared" si="95"/>
        <v>3143.9744999999998</v>
      </c>
      <c r="S1258" s="3">
        <f t="shared" si="96"/>
        <v>6330.15</v>
      </c>
      <c r="T1258" s="3">
        <f t="shared" si="97"/>
        <v>3186.1754999999998</v>
      </c>
      <c r="U1258" s="4">
        <f t="shared" si="98"/>
        <v>0.5033333333333333</v>
      </c>
      <c r="V1258" s="5">
        <f t="shared" si="99"/>
        <v>20.129876999999997</v>
      </c>
    </row>
    <row r="1259" spans="1:22" x14ac:dyDescent="0.25">
      <c r="A1259" s="2" t="s">
        <v>1293</v>
      </c>
      <c r="B1259" s="2" t="s">
        <v>18</v>
      </c>
      <c r="C1259" s="2" t="s">
        <v>33</v>
      </c>
      <c r="D1259" s="2" t="s">
        <v>28</v>
      </c>
      <c r="E1259" s="2">
        <v>608.20000000000005</v>
      </c>
      <c r="F1259" s="2">
        <v>10.85</v>
      </c>
      <c r="G1259" s="2">
        <v>37.97</v>
      </c>
      <c r="H1259" s="2">
        <v>0.5</v>
      </c>
      <c r="I1259" s="2">
        <v>1</v>
      </c>
      <c r="J1259" s="2">
        <v>13</v>
      </c>
      <c r="K1259" s="2" t="s">
        <v>21</v>
      </c>
      <c r="L1259" s="2">
        <v>1.66</v>
      </c>
      <c r="M1259" s="2" t="s">
        <v>40</v>
      </c>
      <c r="N1259" s="2">
        <v>98.04</v>
      </c>
      <c r="O1259" s="2" t="s">
        <v>24</v>
      </c>
      <c r="P1259" s="2">
        <v>9.56</v>
      </c>
      <c r="Q1259" s="2">
        <v>9.06</v>
      </c>
      <c r="R1259" s="3">
        <f t="shared" si="95"/>
        <v>5814.3920000000007</v>
      </c>
      <c r="S1259" s="3">
        <f t="shared" si="96"/>
        <v>5510.2920000000004</v>
      </c>
      <c r="T1259" s="3">
        <f t="shared" si="97"/>
        <v>-304.10000000000036</v>
      </c>
      <c r="U1259" s="4">
        <f t="shared" si="98"/>
        <v>-5.5187637969094983E-2</v>
      </c>
      <c r="V1259" s="5">
        <f t="shared" si="99"/>
        <v>10.096120000000001</v>
      </c>
    </row>
    <row r="1260" spans="1:22" x14ac:dyDescent="0.25">
      <c r="A1260" s="2" t="s">
        <v>1294</v>
      </c>
      <c r="B1260" s="2" t="s">
        <v>26</v>
      </c>
      <c r="C1260" s="2" t="s">
        <v>43</v>
      </c>
      <c r="D1260" s="2" t="s">
        <v>28</v>
      </c>
      <c r="E1260" s="2">
        <v>365.04</v>
      </c>
      <c r="F1260" s="2">
        <v>15.93</v>
      </c>
      <c r="G1260" s="2">
        <v>23.29</v>
      </c>
      <c r="H1260" s="2">
        <v>3.2</v>
      </c>
      <c r="I1260" s="2">
        <v>1.4</v>
      </c>
      <c r="J1260" s="2">
        <v>13</v>
      </c>
      <c r="K1260" s="2" t="s">
        <v>21</v>
      </c>
      <c r="L1260" s="2">
        <v>4.09</v>
      </c>
      <c r="M1260" s="2" t="s">
        <v>37</v>
      </c>
      <c r="N1260" s="2">
        <v>93.64</v>
      </c>
      <c r="O1260" s="2" t="s">
        <v>23</v>
      </c>
      <c r="P1260" s="2">
        <v>8.5</v>
      </c>
      <c r="Q1260" s="2">
        <v>14.86</v>
      </c>
      <c r="R1260" s="3">
        <f t="shared" si="95"/>
        <v>3102.84</v>
      </c>
      <c r="S1260" s="3">
        <f t="shared" si="96"/>
        <v>5424.4944000000005</v>
      </c>
      <c r="T1260" s="3">
        <f t="shared" si="97"/>
        <v>2321.6544000000004</v>
      </c>
      <c r="U1260" s="4">
        <f t="shared" si="98"/>
        <v>0.42799461641991926</v>
      </c>
      <c r="V1260" s="5">
        <f t="shared" si="99"/>
        <v>14.930135999999999</v>
      </c>
    </row>
    <row r="1261" spans="1:22" x14ac:dyDescent="0.25">
      <c r="A1261" s="2" t="s">
        <v>1295</v>
      </c>
      <c r="B1261" s="2" t="s">
        <v>18</v>
      </c>
      <c r="C1261" s="2" t="s">
        <v>19</v>
      </c>
      <c r="D1261" s="2" t="s">
        <v>20</v>
      </c>
      <c r="E1261" s="2">
        <v>458.48</v>
      </c>
      <c r="F1261" s="2">
        <v>17.059999999999999</v>
      </c>
      <c r="G1261" s="2">
        <v>36.08</v>
      </c>
      <c r="H1261" s="2">
        <v>2</v>
      </c>
      <c r="I1261" s="2">
        <v>0.8</v>
      </c>
      <c r="J1261" s="2">
        <v>24</v>
      </c>
      <c r="K1261" s="2" t="s">
        <v>29</v>
      </c>
      <c r="L1261" s="2">
        <v>1.8</v>
      </c>
      <c r="M1261" s="2" t="s">
        <v>40</v>
      </c>
      <c r="N1261" s="2">
        <v>76.25</v>
      </c>
      <c r="O1261" s="2" t="s">
        <v>30</v>
      </c>
      <c r="P1261" s="2">
        <v>4.91</v>
      </c>
      <c r="Q1261" s="2">
        <v>6.42</v>
      </c>
      <c r="R1261" s="3">
        <f t="shared" si="95"/>
        <v>2251.1368000000002</v>
      </c>
      <c r="S1261" s="3">
        <f t="shared" si="96"/>
        <v>2943.4416000000001</v>
      </c>
      <c r="T1261" s="3">
        <f t="shared" si="97"/>
        <v>692.30479999999989</v>
      </c>
      <c r="U1261" s="4">
        <f t="shared" si="98"/>
        <v>0.23520249221183795</v>
      </c>
      <c r="V1261" s="5">
        <f t="shared" si="99"/>
        <v>8.2526399999999995</v>
      </c>
    </row>
    <row r="1262" spans="1:22" x14ac:dyDescent="0.25">
      <c r="A1262" s="2" t="s">
        <v>1296</v>
      </c>
      <c r="B1262" s="2" t="s">
        <v>18</v>
      </c>
      <c r="C1262" s="2" t="s">
        <v>27</v>
      </c>
      <c r="D1262" s="2" t="s">
        <v>28</v>
      </c>
      <c r="E1262" s="2">
        <v>503.4</v>
      </c>
      <c r="F1262" s="2">
        <v>17.75</v>
      </c>
      <c r="G1262" s="2">
        <v>35.840000000000003</v>
      </c>
      <c r="H1262" s="2">
        <v>1.8</v>
      </c>
      <c r="I1262" s="2">
        <v>1</v>
      </c>
      <c r="J1262" s="2">
        <v>15</v>
      </c>
      <c r="K1262" s="2" t="s">
        <v>34</v>
      </c>
      <c r="L1262" s="2">
        <v>0.66</v>
      </c>
      <c r="M1262" s="2" t="s">
        <v>37</v>
      </c>
      <c r="N1262" s="2">
        <v>77.28</v>
      </c>
      <c r="O1262" s="2" t="s">
        <v>24</v>
      </c>
      <c r="P1262" s="2">
        <v>5.08</v>
      </c>
      <c r="Q1262" s="2">
        <v>7.97</v>
      </c>
      <c r="R1262" s="3">
        <f t="shared" si="95"/>
        <v>2557.2719999999999</v>
      </c>
      <c r="S1262" s="3">
        <f t="shared" si="96"/>
        <v>4012.0979999999995</v>
      </c>
      <c r="T1262" s="3">
        <f t="shared" si="97"/>
        <v>1454.8259999999996</v>
      </c>
      <c r="U1262" s="4">
        <f t="shared" si="98"/>
        <v>0.36260978670012539</v>
      </c>
      <c r="V1262" s="5">
        <f t="shared" si="99"/>
        <v>3.3224400000000003</v>
      </c>
    </row>
    <row r="1263" spans="1:22" x14ac:dyDescent="0.25">
      <c r="A1263" s="2" t="s">
        <v>1297</v>
      </c>
      <c r="B1263" s="2" t="s">
        <v>18</v>
      </c>
      <c r="C1263" s="2" t="s">
        <v>27</v>
      </c>
      <c r="D1263" s="2" t="s">
        <v>28</v>
      </c>
      <c r="E1263" s="2">
        <v>511.14</v>
      </c>
      <c r="F1263" s="2">
        <v>10.32</v>
      </c>
      <c r="G1263" s="2">
        <v>22.54</v>
      </c>
      <c r="H1263" s="2">
        <v>0.9</v>
      </c>
      <c r="I1263" s="2">
        <v>2.7</v>
      </c>
      <c r="J1263" s="2">
        <v>17</v>
      </c>
      <c r="K1263" s="2" t="s">
        <v>34</v>
      </c>
      <c r="L1263" s="2">
        <v>7.64</v>
      </c>
      <c r="M1263" s="2" t="s">
        <v>40</v>
      </c>
      <c r="N1263" s="2">
        <v>64.040000000000006</v>
      </c>
      <c r="O1263" s="2" t="s">
        <v>30</v>
      </c>
      <c r="P1263" s="2">
        <v>3.49</v>
      </c>
      <c r="Q1263" s="2">
        <v>6.71</v>
      </c>
      <c r="R1263" s="3">
        <f t="shared" si="95"/>
        <v>1783.8786</v>
      </c>
      <c r="S1263" s="3">
        <f t="shared" si="96"/>
        <v>3429.7493999999997</v>
      </c>
      <c r="T1263" s="3">
        <f t="shared" si="97"/>
        <v>1645.8707999999997</v>
      </c>
      <c r="U1263" s="4">
        <f t="shared" si="98"/>
        <v>0.47988077496274212</v>
      </c>
      <c r="V1263" s="5">
        <f t="shared" si="99"/>
        <v>39.051096000000001</v>
      </c>
    </row>
    <row r="1264" spans="1:22" x14ac:dyDescent="0.25">
      <c r="A1264" s="2" t="s">
        <v>1298</v>
      </c>
      <c r="B1264" s="2" t="s">
        <v>18</v>
      </c>
      <c r="C1264" s="2" t="s">
        <v>43</v>
      </c>
      <c r="D1264" s="2" t="s">
        <v>20</v>
      </c>
      <c r="E1264" s="2">
        <v>482.09</v>
      </c>
      <c r="F1264" s="2">
        <v>16.809999999999999</v>
      </c>
      <c r="G1264" s="2">
        <v>27.97</v>
      </c>
      <c r="H1264" s="2">
        <v>1.3</v>
      </c>
      <c r="I1264" s="2">
        <v>0.4</v>
      </c>
      <c r="J1264" s="2">
        <v>12</v>
      </c>
      <c r="K1264" s="2" t="s">
        <v>21</v>
      </c>
      <c r="L1264" s="2">
        <v>2.77</v>
      </c>
      <c r="M1264" s="2" t="s">
        <v>40</v>
      </c>
      <c r="N1264" s="2">
        <v>73.14</v>
      </c>
      <c r="O1264" s="2" t="s">
        <v>23</v>
      </c>
      <c r="P1264" s="2">
        <v>5</v>
      </c>
      <c r="Q1264" s="2">
        <v>9.75</v>
      </c>
      <c r="R1264" s="3">
        <f t="shared" si="95"/>
        <v>2410.4499999999998</v>
      </c>
      <c r="S1264" s="3">
        <f t="shared" si="96"/>
        <v>4700.3774999999996</v>
      </c>
      <c r="T1264" s="3">
        <f t="shared" si="97"/>
        <v>2289.9274999999998</v>
      </c>
      <c r="U1264" s="4">
        <f t="shared" si="98"/>
        <v>0.48717948717948717</v>
      </c>
      <c r="V1264" s="5">
        <f t="shared" si="99"/>
        <v>13.353893000000001</v>
      </c>
    </row>
    <row r="1265" spans="1:22" x14ac:dyDescent="0.25">
      <c r="A1265" s="2" t="s">
        <v>1299</v>
      </c>
      <c r="B1265" s="2" t="s">
        <v>18</v>
      </c>
      <c r="C1265" s="2" t="s">
        <v>27</v>
      </c>
      <c r="D1265" s="2" t="s">
        <v>28</v>
      </c>
      <c r="E1265" s="2">
        <v>539.58000000000004</v>
      </c>
      <c r="F1265" s="2">
        <v>11.28</v>
      </c>
      <c r="G1265" s="2">
        <v>23.4</v>
      </c>
      <c r="H1265" s="2">
        <v>1.8</v>
      </c>
      <c r="I1265" s="2">
        <v>0.4</v>
      </c>
      <c r="J1265" s="2">
        <v>22</v>
      </c>
      <c r="K1265" s="2" t="s">
        <v>29</v>
      </c>
      <c r="L1265" s="2">
        <v>0.52</v>
      </c>
      <c r="M1265" s="2" t="s">
        <v>37</v>
      </c>
      <c r="N1265" s="2">
        <v>97.34</v>
      </c>
      <c r="O1265" s="2" t="s">
        <v>24</v>
      </c>
      <c r="P1265" s="2">
        <v>3.65</v>
      </c>
      <c r="Q1265" s="2">
        <v>12.97</v>
      </c>
      <c r="R1265" s="3">
        <f t="shared" si="95"/>
        <v>1969.4670000000001</v>
      </c>
      <c r="S1265" s="3">
        <f t="shared" si="96"/>
        <v>6998.3526000000011</v>
      </c>
      <c r="T1265" s="3">
        <f t="shared" si="97"/>
        <v>5028.8856000000014</v>
      </c>
      <c r="U1265" s="4">
        <f t="shared" si="98"/>
        <v>0.71858134155744036</v>
      </c>
      <c r="V1265" s="5">
        <f t="shared" si="99"/>
        <v>2.8058160000000005</v>
      </c>
    </row>
    <row r="1266" spans="1:22" x14ac:dyDescent="0.25">
      <c r="A1266" s="2" t="s">
        <v>1300</v>
      </c>
      <c r="B1266" s="2" t="s">
        <v>45</v>
      </c>
      <c r="C1266" s="2" t="s">
        <v>27</v>
      </c>
      <c r="D1266" s="2" t="s">
        <v>20</v>
      </c>
      <c r="E1266" s="2">
        <v>569.29</v>
      </c>
      <c r="F1266" s="2">
        <v>9.1300000000000008</v>
      </c>
      <c r="G1266" s="2">
        <v>25.09</v>
      </c>
      <c r="H1266" s="2">
        <v>1.3</v>
      </c>
      <c r="I1266" s="2">
        <v>1.3</v>
      </c>
      <c r="J1266" s="2">
        <v>23</v>
      </c>
      <c r="K1266" s="2" t="s">
        <v>34</v>
      </c>
      <c r="L1266" s="2">
        <v>8.7899999999999991</v>
      </c>
      <c r="M1266" s="2" t="s">
        <v>40</v>
      </c>
      <c r="N1266" s="2">
        <v>86.35</v>
      </c>
      <c r="O1266" s="2" t="s">
        <v>24</v>
      </c>
      <c r="P1266" s="2">
        <v>6.5</v>
      </c>
      <c r="Q1266" s="2">
        <v>8.41</v>
      </c>
      <c r="R1266" s="3">
        <f t="shared" si="95"/>
        <v>3700.3849999999998</v>
      </c>
      <c r="S1266" s="3">
        <f t="shared" si="96"/>
        <v>4787.7289000000001</v>
      </c>
      <c r="T1266" s="3">
        <f t="shared" si="97"/>
        <v>1087.3439000000003</v>
      </c>
      <c r="U1266" s="4">
        <f t="shared" si="98"/>
        <v>0.22711058263971468</v>
      </c>
      <c r="V1266" s="5">
        <f t="shared" si="99"/>
        <v>50.040590999999992</v>
      </c>
    </row>
    <row r="1267" spans="1:22" x14ac:dyDescent="0.25">
      <c r="A1267" s="2" t="s">
        <v>1301</v>
      </c>
      <c r="B1267" s="2" t="s">
        <v>18</v>
      </c>
      <c r="C1267" s="2" t="s">
        <v>27</v>
      </c>
      <c r="D1267" s="2" t="s">
        <v>28</v>
      </c>
      <c r="E1267" s="2">
        <v>573.46</v>
      </c>
      <c r="F1267" s="2">
        <v>16.7</v>
      </c>
      <c r="G1267" s="2">
        <v>25.26</v>
      </c>
      <c r="H1267" s="2">
        <v>2.4</v>
      </c>
      <c r="I1267" s="2">
        <v>0.9</v>
      </c>
      <c r="J1267" s="2">
        <v>26</v>
      </c>
      <c r="K1267" s="2" t="s">
        <v>34</v>
      </c>
      <c r="L1267" s="2">
        <v>4.72</v>
      </c>
      <c r="M1267" s="2" t="s">
        <v>37</v>
      </c>
      <c r="N1267" s="2">
        <v>50.59</v>
      </c>
      <c r="O1267" s="2" t="s">
        <v>24</v>
      </c>
      <c r="P1267" s="2">
        <v>7.96</v>
      </c>
      <c r="Q1267" s="2">
        <v>14.06</v>
      </c>
      <c r="R1267" s="3">
        <f t="shared" si="95"/>
        <v>4564.7416000000003</v>
      </c>
      <c r="S1267" s="3">
        <f t="shared" si="96"/>
        <v>8062.847600000001</v>
      </c>
      <c r="T1267" s="3">
        <f t="shared" si="97"/>
        <v>3498.1060000000007</v>
      </c>
      <c r="U1267" s="4">
        <f t="shared" si="98"/>
        <v>0.4338549075391181</v>
      </c>
      <c r="V1267" s="5">
        <f t="shared" si="99"/>
        <v>27.067312000000001</v>
      </c>
    </row>
    <row r="1268" spans="1:22" x14ac:dyDescent="0.25">
      <c r="A1268" s="2" t="s">
        <v>1302</v>
      </c>
      <c r="B1268" s="2" t="s">
        <v>18</v>
      </c>
      <c r="C1268" s="2" t="s">
        <v>27</v>
      </c>
      <c r="D1268" s="2" t="s">
        <v>28</v>
      </c>
      <c r="E1268" s="2">
        <v>401.42</v>
      </c>
      <c r="F1268" s="2">
        <v>14.36</v>
      </c>
      <c r="G1268" s="2">
        <v>31.12</v>
      </c>
      <c r="H1268" s="2">
        <v>1.1000000000000001</v>
      </c>
      <c r="I1268" s="2">
        <v>0.2</v>
      </c>
      <c r="J1268" s="2">
        <v>14</v>
      </c>
      <c r="K1268" s="2" t="s">
        <v>21</v>
      </c>
      <c r="L1268" s="2">
        <v>2.77</v>
      </c>
      <c r="M1268" s="2" t="s">
        <v>40</v>
      </c>
      <c r="N1268" s="2">
        <v>55.83</v>
      </c>
      <c r="O1268" s="2" t="s">
        <v>24</v>
      </c>
      <c r="P1268" s="2">
        <v>8.26</v>
      </c>
      <c r="Q1268" s="2">
        <v>10.45</v>
      </c>
      <c r="R1268" s="3">
        <f t="shared" si="95"/>
        <v>3315.7292000000002</v>
      </c>
      <c r="S1268" s="3">
        <f t="shared" si="96"/>
        <v>4194.8389999999999</v>
      </c>
      <c r="T1268" s="3">
        <f t="shared" si="97"/>
        <v>879.10979999999972</v>
      </c>
      <c r="U1268" s="4">
        <f t="shared" si="98"/>
        <v>0.20956937799043057</v>
      </c>
      <c r="V1268" s="5">
        <f t="shared" si="99"/>
        <v>11.119334000000002</v>
      </c>
    </row>
    <row r="1269" spans="1:22" x14ac:dyDescent="0.25">
      <c r="A1269" s="2" t="s">
        <v>1303</v>
      </c>
      <c r="B1269" s="2" t="s">
        <v>26</v>
      </c>
      <c r="C1269" s="2" t="s">
        <v>19</v>
      </c>
      <c r="D1269" s="2" t="s">
        <v>28</v>
      </c>
      <c r="E1269" s="2">
        <v>471.58</v>
      </c>
      <c r="F1269" s="2">
        <v>9.65</v>
      </c>
      <c r="G1269" s="2">
        <v>28.23</v>
      </c>
      <c r="H1269" s="2">
        <v>0.5</v>
      </c>
      <c r="I1269" s="2">
        <v>0.5</v>
      </c>
      <c r="J1269" s="2">
        <v>12</v>
      </c>
      <c r="K1269" s="2" t="s">
        <v>21</v>
      </c>
      <c r="L1269" s="2">
        <v>3</v>
      </c>
      <c r="M1269" s="2" t="s">
        <v>37</v>
      </c>
      <c r="N1269" s="2">
        <v>96.19</v>
      </c>
      <c r="O1269" s="2" t="s">
        <v>30</v>
      </c>
      <c r="P1269" s="2">
        <v>3.42</v>
      </c>
      <c r="Q1269" s="2">
        <v>9.65</v>
      </c>
      <c r="R1269" s="3">
        <f t="shared" si="95"/>
        <v>1612.8036</v>
      </c>
      <c r="S1269" s="3">
        <f t="shared" si="96"/>
        <v>4550.7470000000003</v>
      </c>
      <c r="T1269" s="3">
        <f t="shared" si="97"/>
        <v>2937.9434000000001</v>
      </c>
      <c r="U1269" s="4">
        <f t="shared" si="98"/>
        <v>0.64559585492227978</v>
      </c>
      <c r="V1269" s="5">
        <f t="shared" si="99"/>
        <v>14.147399999999999</v>
      </c>
    </row>
    <row r="1270" spans="1:22" x14ac:dyDescent="0.25">
      <c r="A1270" s="2" t="s">
        <v>1304</v>
      </c>
      <c r="B1270" s="2" t="s">
        <v>32</v>
      </c>
      <c r="C1270" s="2" t="s">
        <v>27</v>
      </c>
      <c r="D1270" s="2" t="s">
        <v>28</v>
      </c>
      <c r="E1270" s="2">
        <v>619.48</v>
      </c>
      <c r="F1270" s="2">
        <v>12.3</v>
      </c>
      <c r="G1270" s="2">
        <v>38.950000000000003</v>
      </c>
      <c r="H1270" s="2">
        <v>0.5</v>
      </c>
      <c r="I1270" s="2">
        <v>0.6</v>
      </c>
      <c r="J1270" s="2">
        <v>18</v>
      </c>
      <c r="K1270" s="2" t="s">
        <v>34</v>
      </c>
      <c r="L1270" s="2">
        <v>2.79</v>
      </c>
      <c r="M1270" s="2" t="s">
        <v>37</v>
      </c>
      <c r="N1270" s="2">
        <v>92.44</v>
      </c>
      <c r="O1270" s="2" t="s">
        <v>24</v>
      </c>
      <c r="P1270" s="2">
        <v>5.38</v>
      </c>
      <c r="Q1270" s="2">
        <v>12.87</v>
      </c>
      <c r="R1270" s="3">
        <f t="shared" si="95"/>
        <v>3332.8024</v>
      </c>
      <c r="S1270" s="3">
        <f t="shared" si="96"/>
        <v>7972.7075999999997</v>
      </c>
      <c r="T1270" s="3">
        <f t="shared" si="97"/>
        <v>4639.9051999999992</v>
      </c>
      <c r="U1270" s="4">
        <f t="shared" si="98"/>
        <v>0.58197358197358184</v>
      </c>
      <c r="V1270" s="5">
        <f t="shared" si="99"/>
        <v>17.283492000000003</v>
      </c>
    </row>
    <row r="1271" spans="1:22" x14ac:dyDescent="0.25">
      <c r="A1271" s="2" t="s">
        <v>1305</v>
      </c>
      <c r="B1271" s="2" t="s">
        <v>45</v>
      </c>
      <c r="C1271" s="2" t="s">
        <v>33</v>
      </c>
      <c r="D1271" s="2" t="s">
        <v>28</v>
      </c>
      <c r="E1271" s="2">
        <v>589.46</v>
      </c>
      <c r="F1271" s="2">
        <v>10.87</v>
      </c>
      <c r="G1271" s="2">
        <v>22.53</v>
      </c>
      <c r="H1271" s="2">
        <v>0</v>
      </c>
      <c r="I1271" s="2">
        <v>0.5</v>
      </c>
      <c r="J1271" s="2">
        <v>4</v>
      </c>
      <c r="K1271" s="2" t="s">
        <v>21</v>
      </c>
      <c r="L1271" s="2">
        <v>2.35</v>
      </c>
      <c r="M1271" s="2" t="s">
        <v>40</v>
      </c>
      <c r="N1271" s="2">
        <v>74.31</v>
      </c>
      <c r="O1271" s="2" t="s">
        <v>23</v>
      </c>
      <c r="P1271" s="2">
        <v>5.0199999999999996</v>
      </c>
      <c r="Q1271" s="2">
        <v>6.01</v>
      </c>
      <c r="R1271" s="3">
        <f t="shared" si="95"/>
        <v>2959.0891999999999</v>
      </c>
      <c r="S1271" s="3">
        <f t="shared" si="96"/>
        <v>3542.6546000000003</v>
      </c>
      <c r="T1271" s="3">
        <f t="shared" si="97"/>
        <v>583.56540000000041</v>
      </c>
      <c r="U1271" s="4">
        <f t="shared" si="98"/>
        <v>0.16472545757071558</v>
      </c>
      <c r="V1271" s="5">
        <f t="shared" si="99"/>
        <v>13.852310000000003</v>
      </c>
    </row>
    <row r="1272" spans="1:22" x14ac:dyDescent="0.25">
      <c r="A1272" s="2" t="s">
        <v>1306</v>
      </c>
      <c r="B1272" s="2" t="s">
        <v>45</v>
      </c>
      <c r="C1272" s="2" t="s">
        <v>43</v>
      </c>
      <c r="D1272" s="2" t="s">
        <v>28</v>
      </c>
      <c r="E1272" s="2">
        <v>362.71</v>
      </c>
      <c r="F1272" s="2">
        <v>15.37</v>
      </c>
      <c r="G1272" s="2">
        <v>39.47</v>
      </c>
      <c r="H1272" s="2">
        <v>0.7</v>
      </c>
      <c r="I1272" s="2">
        <v>0.2</v>
      </c>
      <c r="J1272" s="2">
        <v>27</v>
      </c>
      <c r="K1272" s="2" t="s">
        <v>34</v>
      </c>
      <c r="L1272" s="2">
        <v>8.49</v>
      </c>
      <c r="M1272" s="2" t="s">
        <v>40</v>
      </c>
      <c r="N1272" s="2">
        <v>80.849999999999994</v>
      </c>
      <c r="O1272" s="2" t="s">
        <v>24</v>
      </c>
      <c r="P1272" s="2">
        <v>3.73</v>
      </c>
      <c r="Q1272" s="2">
        <v>12.74</v>
      </c>
      <c r="R1272" s="3">
        <f t="shared" si="95"/>
        <v>1352.9082999999998</v>
      </c>
      <c r="S1272" s="3">
        <f t="shared" si="96"/>
        <v>4620.9254000000001</v>
      </c>
      <c r="T1272" s="3">
        <f t="shared" si="97"/>
        <v>3268.0171</v>
      </c>
      <c r="U1272" s="4">
        <f t="shared" si="98"/>
        <v>0.70722135007849296</v>
      </c>
      <c r="V1272" s="5">
        <f t="shared" si="99"/>
        <v>30.794078999999996</v>
      </c>
    </row>
    <row r="1273" spans="1:22" x14ac:dyDescent="0.25">
      <c r="A1273" s="2" t="s">
        <v>1307</v>
      </c>
      <c r="B1273" s="2" t="s">
        <v>45</v>
      </c>
      <c r="C1273" s="2" t="s">
        <v>19</v>
      </c>
      <c r="D1273" s="2" t="s">
        <v>28</v>
      </c>
      <c r="E1273" s="2">
        <v>535.15</v>
      </c>
      <c r="F1273" s="2">
        <v>12.53</v>
      </c>
      <c r="G1273" s="2">
        <v>24.61</v>
      </c>
      <c r="H1273" s="2">
        <v>2.8</v>
      </c>
      <c r="I1273" s="2">
        <v>2.6</v>
      </c>
      <c r="J1273" s="2">
        <v>14</v>
      </c>
      <c r="K1273" s="2" t="s">
        <v>29</v>
      </c>
      <c r="L1273" s="2">
        <v>2.12</v>
      </c>
      <c r="M1273" s="2" t="s">
        <v>37</v>
      </c>
      <c r="N1273" s="2">
        <v>64.48</v>
      </c>
      <c r="O1273" s="2" t="s">
        <v>23</v>
      </c>
      <c r="P1273" s="2">
        <v>5.54</v>
      </c>
      <c r="Q1273" s="2">
        <v>7.43</v>
      </c>
      <c r="R1273" s="3">
        <f t="shared" si="95"/>
        <v>2964.7309999999998</v>
      </c>
      <c r="S1273" s="3">
        <f t="shared" si="96"/>
        <v>3976.1644999999999</v>
      </c>
      <c r="T1273" s="3">
        <f t="shared" si="97"/>
        <v>1011.4335000000001</v>
      </c>
      <c r="U1273" s="4">
        <f t="shared" si="98"/>
        <v>0.25437415881561243</v>
      </c>
      <c r="V1273" s="5">
        <f t="shared" si="99"/>
        <v>11.345180000000001</v>
      </c>
    </row>
    <row r="1274" spans="1:22" x14ac:dyDescent="0.25">
      <c r="A1274" s="2" t="s">
        <v>1308</v>
      </c>
      <c r="B1274" s="2" t="s">
        <v>18</v>
      </c>
      <c r="C1274" s="2" t="s">
        <v>27</v>
      </c>
      <c r="D1274" s="2" t="s">
        <v>28</v>
      </c>
      <c r="E1274" s="2">
        <v>302.18</v>
      </c>
      <c r="F1274" s="2">
        <v>17.89</v>
      </c>
      <c r="G1274" s="2">
        <v>35.46</v>
      </c>
      <c r="H1274" s="2">
        <v>3.2</v>
      </c>
      <c r="I1274" s="2">
        <v>1.4</v>
      </c>
      <c r="J1274" s="2">
        <v>19</v>
      </c>
      <c r="K1274" s="2" t="s">
        <v>21</v>
      </c>
      <c r="L1274" s="2">
        <v>5.84</v>
      </c>
      <c r="M1274" s="2" t="s">
        <v>22</v>
      </c>
      <c r="N1274" s="2">
        <v>89.64</v>
      </c>
      <c r="O1274" s="2" t="s">
        <v>23</v>
      </c>
      <c r="P1274" s="2">
        <v>5.0999999999999996</v>
      </c>
      <c r="Q1274" s="2">
        <v>7.81</v>
      </c>
      <c r="R1274" s="3">
        <f t="shared" si="95"/>
        <v>1541.1179999999999</v>
      </c>
      <c r="S1274" s="3">
        <f t="shared" si="96"/>
        <v>2360.0257999999999</v>
      </c>
      <c r="T1274" s="3">
        <f t="shared" si="97"/>
        <v>818.90779999999995</v>
      </c>
      <c r="U1274" s="4">
        <f t="shared" si="98"/>
        <v>0.34699103713188217</v>
      </c>
      <c r="V1274" s="5">
        <f t="shared" si="99"/>
        <v>17.647311999999999</v>
      </c>
    </row>
    <row r="1275" spans="1:22" x14ac:dyDescent="0.25">
      <c r="A1275" s="2" t="s">
        <v>1309</v>
      </c>
      <c r="B1275" s="2" t="s">
        <v>18</v>
      </c>
      <c r="C1275" s="2" t="s">
        <v>19</v>
      </c>
      <c r="D1275" s="2" t="s">
        <v>20</v>
      </c>
      <c r="E1275" s="2">
        <v>504.69</v>
      </c>
      <c r="F1275" s="2">
        <v>8.5500000000000007</v>
      </c>
      <c r="G1275" s="2">
        <v>26.78</v>
      </c>
      <c r="H1275" s="2">
        <v>0.5</v>
      </c>
      <c r="I1275" s="2">
        <v>0.7</v>
      </c>
      <c r="J1275" s="2">
        <v>29</v>
      </c>
      <c r="K1275" s="2" t="s">
        <v>21</v>
      </c>
      <c r="L1275" s="2">
        <v>1.23</v>
      </c>
      <c r="M1275" s="2" t="s">
        <v>40</v>
      </c>
      <c r="N1275" s="2">
        <v>80.17</v>
      </c>
      <c r="O1275" s="2" t="s">
        <v>30</v>
      </c>
      <c r="P1275" s="2">
        <v>7.44</v>
      </c>
      <c r="Q1275" s="2">
        <v>10.99</v>
      </c>
      <c r="R1275" s="3">
        <f t="shared" si="95"/>
        <v>3754.8936000000003</v>
      </c>
      <c r="S1275" s="3">
        <f t="shared" si="96"/>
        <v>5546.5430999999999</v>
      </c>
      <c r="T1275" s="3">
        <f t="shared" si="97"/>
        <v>1791.6494999999995</v>
      </c>
      <c r="U1275" s="4">
        <f t="shared" si="98"/>
        <v>0.32302092811646943</v>
      </c>
      <c r="V1275" s="5">
        <f t="shared" si="99"/>
        <v>6.207687</v>
      </c>
    </row>
    <row r="1276" spans="1:22" x14ac:dyDescent="0.25">
      <c r="A1276" s="2" t="s">
        <v>1310</v>
      </c>
      <c r="B1276" s="2" t="s">
        <v>18</v>
      </c>
      <c r="C1276" s="2" t="s">
        <v>27</v>
      </c>
      <c r="D1276" s="2" t="s">
        <v>20</v>
      </c>
      <c r="E1276" s="2">
        <v>689.78</v>
      </c>
      <c r="F1276" s="2">
        <v>11.55</v>
      </c>
      <c r="G1276" s="2">
        <v>22.86</v>
      </c>
      <c r="H1276" s="2">
        <v>6.4</v>
      </c>
      <c r="I1276" s="2">
        <v>1.1000000000000001</v>
      </c>
      <c r="J1276" s="2">
        <v>13</v>
      </c>
      <c r="K1276" s="2" t="s">
        <v>29</v>
      </c>
      <c r="L1276" s="2">
        <v>9.52</v>
      </c>
      <c r="M1276" s="2" t="s">
        <v>40</v>
      </c>
      <c r="N1276" s="2">
        <v>84.74</v>
      </c>
      <c r="O1276" s="2" t="s">
        <v>24</v>
      </c>
      <c r="P1276" s="2">
        <v>9.18</v>
      </c>
      <c r="Q1276" s="2">
        <v>14.02</v>
      </c>
      <c r="R1276" s="3">
        <f t="shared" si="95"/>
        <v>6332.1803999999993</v>
      </c>
      <c r="S1276" s="3">
        <f t="shared" si="96"/>
        <v>9670.7155999999995</v>
      </c>
      <c r="T1276" s="3">
        <f t="shared" si="97"/>
        <v>3338.5352000000003</v>
      </c>
      <c r="U1276" s="4">
        <f t="shared" si="98"/>
        <v>0.34522111269614841</v>
      </c>
      <c r="V1276" s="5">
        <f t="shared" si="99"/>
        <v>65.667055999999988</v>
      </c>
    </row>
    <row r="1277" spans="1:22" x14ac:dyDescent="0.25">
      <c r="A1277" s="2" t="s">
        <v>1311</v>
      </c>
      <c r="B1277" s="2" t="s">
        <v>26</v>
      </c>
      <c r="C1277" s="2" t="s">
        <v>33</v>
      </c>
      <c r="D1277" s="2" t="s">
        <v>28</v>
      </c>
      <c r="E1277" s="2">
        <v>405.21</v>
      </c>
      <c r="F1277" s="2">
        <v>12.82</v>
      </c>
      <c r="G1277" s="2">
        <v>37.159999999999997</v>
      </c>
      <c r="H1277" s="2">
        <v>1.4</v>
      </c>
      <c r="I1277" s="2">
        <v>2.2999999999999998</v>
      </c>
      <c r="J1277" s="2">
        <v>25</v>
      </c>
      <c r="K1277" s="2" t="s">
        <v>34</v>
      </c>
      <c r="L1277" s="2">
        <v>6.23</v>
      </c>
      <c r="M1277" s="2" t="s">
        <v>22</v>
      </c>
      <c r="N1277" s="2">
        <v>68.75</v>
      </c>
      <c r="O1277" s="2" t="s">
        <v>23</v>
      </c>
      <c r="P1277" s="2">
        <v>6.18</v>
      </c>
      <c r="Q1277" s="2">
        <v>10.78</v>
      </c>
      <c r="R1277" s="3">
        <f t="shared" si="95"/>
        <v>2504.1977999999999</v>
      </c>
      <c r="S1277" s="3">
        <f t="shared" si="96"/>
        <v>4368.1637999999994</v>
      </c>
      <c r="T1277" s="3">
        <f t="shared" si="97"/>
        <v>1863.9659999999994</v>
      </c>
      <c r="U1277" s="4">
        <f t="shared" si="98"/>
        <v>0.42671614100185523</v>
      </c>
      <c r="V1277" s="5">
        <f t="shared" si="99"/>
        <v>25.244583000000002</v>
      </c>
    </row>
    <row r="1278" spans="1:22" x14ac:dyDescent="0.25">
      <c r="A1278" s="2" t="s">
        <v>1312</v>
      </c>
      <c r="B1278" s="2" t="s">
        <v>32</v>
      </c>
      <c r="C1278" s="2" t="s">
        <v>43</v>
      </c>
      <c r="D1278" s="2" t="s">
        <v>28</v>
      </c>
      <c r="E1278" s="2">
        <v>416.57</v>
      </c>
      <c r="F1278" s="2">
        <v>13.03</v>
      </c>
      <c r="G1278" s="2">
        <v>26.18</v>
      </c>
      <c r="H1278" s="2">
        <v>5</v>
      </c>
      <c r="I1278" s="2">
        <v>0.1</v>
      </c>
      <c r="J1278" s="2">
        <v>23</v>
      </c>
      <c r="K1278" s="2" t="s">
        <v>34</v>
      </c>
      <c r="L1278" s="2">
        <v>9.08</v>
      </c>
      <c r="M1278" s="2" t="s">
        <v>22</v>
      </c>
      <c r="N1278" s="2">
        <v>71.52</v>
      </c>
      <c r="O1278" s="2" t="s">
        <v>24</v>
      </c>
      <c r="P1278" s="2">
        <v>8.23</v>
      </c>
      <c r="Q1278" s="2">
        <v>11.49</v>
      </c>
      <c r="R1278" s="3">
        <f t="shared" si="95"/>
        <v>3428.3711000000003</v>
      </c>
      <c r="S1278" s="3">
        <f t="shared" si="96"/>
        <v>4786.3892999999998</v>
      </c>
      <c r="T1278" s="3">
        <f t="shared" si="97"/>
        <v>1358.0181999999995</v>
      </c>
      <c r="U1278" s="4">
        <f t="shared" si="98"/>
        <v>0.28372497824194942</v>
      </c>
      <c r="V1278" s="5">
        <f t="shared" si="99"/>
        <v>37.824556000000001</v>
      </c>
    </row>
    <row r="1279" spans="1:22" x14ac:dyDescent="0.25">
      <c r="A1279" s="2" t="s">
        <v>1313</v>
      </c>
      <c r="B1279" s="2" t="s">
        <v>18</v>
      </c>
      <c r="C1279" s="2" t="s">
        <v>27</v>
      </c>
      <c r="D1279" s="2" t="s">
        <v>20</v>
      </c>
      <c r="E1279" s="2">
        <v>576.4</v>
      </c>
      <c r="F1279" s="2">
        <v>11.16</v>
      </c>
      <c r="G1279" s="2">
        <v>33.18</v>
      </c>
      <c r="H1279" s="2">
        <v>2.5</v>
      </c>
      <c r="I1279" s="2">
        <v>0.3</v>
      </c>
      <c r="J1279" s="2">
        <v>18</v>
      </c>
      <c r="K1279" s="2" t="s">
        <v>21</v>
      </c>
      <c r="L1279" s="2">
        <v>4.28</v>
      </c>
      <c r="M1279" s="2" t="s">
        <v>37</v>
      </c>
      <c r="N1279" s="2">
        <v>60.38</v>
      </c>
      <c r="O1279" s="2" t="s">
        <v>30</v>
      </c>
      <c r="P1279" s="2">
        <v>4.0199999999999996</v>
      </c>
      <c r="Q1279" s="2">
        <v>12.77</v>
      </c>
      <c r="R1279" s="3">
        <f t="shared" si="95"/>
        <v>2317.1279999999997</v>
      </c>
      <c r="S1279" s="3">
        <f t="shared" si="96"/>
        <v>7360.6279999999997</v>
      </c>
      <c r="T1279" s="3">
        <f t="shared" si="97"/>
        <v>5043.5</v>
      </c>
      <c r="U1279" s="4">
        <f t="shared" si="98"/>
        <v>0.68519968676585752</v>
      </c>
      <c r="V1279" s="5">
        <f t="shared" si="99"/>
        <v>24.669920000000001</v>
      </c>
    </row>
    <row r="1280" spans="1:22" x14ac:dyDescent="0.25">
      <c r="A1280" s="2" t="s">
        <v>1314</v>
      </c>
      <c r="B1280" s="2" t="s">
        <v>32</v>
      </c>
      <c r="C1280" s="2" t="s">
        <v>27</v>
      </c>
      <c r="D1280" s="2" t="s">
        <v>28</v>
      </c>
      <c r="E1280" s="2">
        <v>345.72</v>
      </c>
      <c r="F1280" s="2">
        <v>15.29</v>
      </c>
      <c r="G1280" s="2">
        <v>31.33</v>
      </c>
      <c r="H1280" s="2">
        <v>2.6</v>
      </c>
      <c r="I1280" s="2">
        <v>0.8</v>
      </c>
      <c r="J1280" s="2">
        <v>11</v>
      </c>
      <c r="K1280" s="2" t="s">
        <v>34</v>
      </c>
      <c r="L1280" s="2">
        <v>8.1999999999999993</v>
      </c>
      <c r="M1280" s="2" t="s">
        <v>40</v>
      </c>
      <c r="N1280" s="2">
        <v>97.4</v>
      </c>
      <c r="O1280" s="2" t="s">
        <v>30</v>
      </c>
      <c r="P1280" s="2">
        <v>9.26</v>
      </c>
      <c r="Q1280" s="2">
        <v>7.59</v>
      </c>
      <c r="R1280" s="3">
        <f t="shared" si="95"/>
        <v>3201.3672000000001</v>
      </c>
      <c r="S1280" s="3">
        <f t="shared" si="96"/>
        <v>2624.0148000000004</v>
      </c>
      <c r="T1280" s="3">
        <f t="shared" si="97"/>
        <v>-577.35239999999976</v>
      </c>
      <c r="U1280" s="4">
        <f t="shared" si="98"/>
        <v>-0.22002635046113295</v>
      </c>
      <c r="V1280" s="5">
        <f t="shared" si="99"/>
        <v>28.349039999999999</v>
      </c>
    </row>
    <row r="1281" spans="1:22" x14ac:dyDescent="0.25">
      <c r="A1281" s="2" t="s">
        <v>1315</v>
      </c>
      <c r="B1281" s="2" t="s">
        <v>26</v>
      </c>
      <c r="C1281" s="2" t="s">
        <v>27</v>
      </c>
      <c r="D1281" s="2" t="s">
        <v>28</v>
      </c>
      <c r="E1281" s="2">
        <v>436.72</v>
      </c>
      <c r="F1281" s="2">
        <v>16.75</v>
      </c>
      <c r="G1281" s="2">
        <v>29.44</v>
      </c>
      <c r="H1281" s="2">
        <v>0.2</v>
      </c>
      <c r="I1281" s="2">
        <v>1.6</v>
      </c>
      <c r="J1281" s="2">
        <v>28</v>
      </c>
      <c r="K1281" s="2" t="s">
        <v>34</v>
      </c>
      <c r="L1281" s="2">
        <v>8.61</v>
      </c>
      <c r="M1281" s="2" t="s">
        <v>37</v>
      </c>
      <c r="N1281" s="2">
        <v>97.33</v>
      </c>
      <c r="O1281" s="2" t="s">
        <v>24</v>
      </c>
      <c r="P1281" s="2">
        <v>4.07</v>
      </c>
      <c r="Q1281" s="2">
        <v>13.27</v>
      </c>
      <c r="R1281" s="3">
        <f t="shared" si="95"/>
        <v>1777.4504000000002</v>
      </c>
      <c r="S1281" s="3">
        <f t="shared" si="96"/>
        <v>5795.2744000000002</v>
      </c>
      <c r="T1281" s="3">
        <f t="shared" si="97"/>
        <v>4017.8240000000001</v>
      </c>
      <c r="U1281" s="4">
        <f t="shared" si="98"/>
        <v>0.69329314242652595</v>
      </c>
      <c r="V1281" s="5">
        <f t="shared" si="99"/>
        <v>37.601592000000004</v>
      </c>
    </row>
    <row r="1282" spans="1:22" x14ac:dyDescent="0.25">
      <c r="A1282" s="2" t="s">
        <v>1316</v>
      </c>
      <c r="B1282" s="2" t="s">
        <v>45</v>
      </c>
      <c r="C1282" s="2" t="s">
        <v>27</v>
      </c>
      <c r="D1282" s="2" t="s">
        <v>20</v>
      </c>
      <c r="E1282" s="2">
        <v>559.64</v>
      </c>
      <c r="F1282" s="2">
        <v>17.39</v>
      </c>
      <c r="G1282" s="2">
        <v>29.92</v>
      </c>
      <c r="H1282" s="2">
        <v>0.5</v>
      </c>
      <c r="I1282" s="2">
        <v>0</v>
      </c>
      <c r="J1282" s="2">
        <v>6</v>
      </c>
      <c r="K1282" s="2" t="s">
        <v>29</v>
      </c>
      <c r="L1282" s="2">
        <v>7.18</v>
      </c>
      <c r="M1282" s="2" t="s">
        <v>40</v>
      </c>
      <c r="N1282" s="2">
        <v>90.89</v>
      </c>
      <c r="O1282" s="2" t="s">
        <v>23</v>
      </c>
      <c r="P1282" s="2">
        <v>4.34</v>
      </c>
      <c r="Q1282" s="2">
        <v>9.18</v>
      </c>
      <c r="R1282" s="3">
        <f t="shared" si="95"/>
        <v>2428.8375999999998</v>
      </c>
      <c r="S1282" s="3">
        <f t="shared" si="96"/>
        <v>5137.4951999999994</v>
      </c>
      <c r="T1282" s="3">
        <f t="shared" si="97"/>
        <v>2708.6575999999995</v>
      </c>
      <c r="U1282" s="4">
        <f t="shared" si="98"/>
        <v>0.52723311546840956</v>
      </c>
      <c r="V1282" s="5">
        <f t="shared" si="99"/>
        <v>40.182151999999995</v>
      </c>
    </row>
    <row r="1283" spans="1:22" x14ac:dyDescent="0.25">
      <c r="A1283" s="2" t="s">
        <v>1317</v>
      </c>
      <c r="B1283" s="2" t="s">
        <v>18</v>
      </c>
      <c r="C1283" s="2" t="s">
        <v>43</v>
      </c>
      <c r="D1283" s="2" t="s">
        <v>28</v>
      </c>
      <c r="E1283" s="2">
        <v>436.57</v>
      </c>
      <c r="F1283" s="2">
        <v>16.05</v>
      </c>
      <c r="G1283" s="2">
        <v>34.64</v>
      </c>
      <c r="H1283" s="2">
        <v>0</v>
      </c>
      <c r="I1283" s="2">
        <v>4.0999999999999996</v>
      </c>
      <c r="J1283" s="2">
        <v>9</v>
      </c>
      <c r="K1283" s="2" t="s">
        <v>29</v>
      </c>
      <c r="L1283" s="2">
        <v>1.38</v>
      </c>
      <c r="M1283" s="2" t="s">
        <v>22</v>
      </c>
      <c r="N1283" s="2">
        <v>96.78</v>
      </c>
      <c r="O1283" s="2" t="s">
        <v>30</v>
      </c>
      <c r="P1283" s="2">
        <v>3.75</v>
      </c>
      <c r="Q1283" s="2">
        <v>6.76</v>
      </c>
      <c r="R1283" s="3">
        <f t="shared" ref="R1283:R1346" si="100">E1283*P1283</f>
        <v>1637.1375</v>
      </c>
      <c r="S1283" s="3">
        <f t="shared" ref="S1283:S1346" si="101">E1283*Q1283</f>
        <v>2951.2131999999997</v>
      </c>
      <c r="T1283" s="3">
        <f t="shared" ref="T1283:T1346" si="102">S1283-R1283</f>
        <v>1314.0756999999996</v>
      </c>
      <c r="U1283" s="4">
        <f t="shared" ref="U1283:U1346" si="103">T1283/S1283</f>
        <v>0.44526627218934905</v>
      </c>
      <c r="V1283" s="5">
        <f t="shared" ref="V1283:V1346" si="104">E1283*L1283/100</f>
        <v>6.0246659999999999</v>
      </c>
    </row>
    <row r="1284" spans="1:22" x14ac:dyDescent="0.25">
      <c r="A1284" s="2" t="s">
        <v>1318</v>
      </c>
      <c r="B1284" s="2" t="s">
        <v>32</v>
      </c>
      <c r="C1284" s="2" t="s">
        <v>43</v>
      </c>
      <c r="D1284" s="2" t="s">
        <v>28</v>
      </c>
      <c r="E1284" s="2">
        <v>476.4</v>
      </c>
      <c r="F1284" s="2">
        <v>16.510000000000002</v>
      </c>
      <c r="G1284" s="2">
        <v>21.76</v>
      </c>
      <c r="H1284" s="2">
        <v>2.5</v>
      </c>
      <c r="I1284" s="2">
        <v>0.6</v>
      </c>
      <c r="J1284" s="2">
        <v>12</v>
      </c>
      <c r="K1284" s="2" t="s">
        <v>29</v>
      </c>
      <c r="L1284" s="2">
        <v>0.65</v>
      </c>
      <c r="M1284" s="2" t="s">
        <v>37</v>
      </c>
      <c r="N1284" s="2">
        <v>83.27</v>
      </c>
      <c r="O1284" s="2" t="s">
        <v>23</v>
      </c>
      <c r="P1284" s="2">
        <v>5.17</v>
      </c>
      <c r="Q1284" s="2">
        <v>8.5</v>
      </c>
      <c r="R1284" s="3">
        <f t="shared" si="100"/>
        <v>2462.9879999999998</v>
      </c>
      <c r="S1284" s="3">
        <f t="shared" si="101"/>
        <v>4049.3999999999996</v>
      </c>
      <c r="T1284" s="3">
        <f t="shared" si="102"/>
        <v>1586.4119999999998</v>
      </c>
      <c r="U1284" s="4">
        <f t="shared" si="103"/>
        <v>0.3917647058823529</v>
      </c>
      <c r="V1284" s="5">
        <f t="shared" si="104"/>
        <v>3.0965999999999996</v>
      </c>
    </row>
    <row r="1285" spans="1:22" x14ac:dyDescent="0.25">
      <c r="A1285" s="2" t="s">
        <v>1319</v>
      </c>
      <c r="B1285" s="2" t="s">
        <v>32</v>
      </c>
      <c r="C1285" s="2" t="s">
        <v>33</v>
      </c>
      <c r="D1285" s="2" t="s">
        <v>20</v>
      </c>
      <c r="E1285" s="2">
        <v>574.41999999999996</v>
      </c>
      <c r="F1285" s="2">
        <v>13.51</v>
      </c>
      <c r="G1285" s="2">
        <v>33.36</v>
      </c>
      <c r="H1285" s="2">
        <v>0.8</v>
      </c>
      <c r="I1285" s="2">
        <v>0.4</v>
      </c>
      <c r="J1285" s="2">
        <v>19</v>
      </c>
      <c r="K1285" s="2" t="s">
        <v>21</v>
      </c>
      <c r="L1285" s="2">
        <v>2.1</v>
      </c>
      <c r="M1285" s="2" t="s">
        <v>40</v>
      </c>
      <c r="N1285" s="2">
        <v>61.73</v>
      </c>
      <c r="O1285" s="2" t="s">
        <v>23</v>
      </c>
      <c r="P1285" s="2">
        <v>6.87</v>
      </c>
      <c r="Q1285" s="2">
        <v>7.46</v>
      </c>
      <c r="R1285" s="3">
        <f t="shared" si="100"/>
        <v>3946.2653999999998</v>
      </c>
      <c r="S1285" s="3">
        <f t="shared" si="101"/>
        <v>4285.1731999999993</v>
      </c>
      <c r="T1285" s="3">
        <f t="shared" si="102"/>
        <v>338.9077999999995</v>
      </c>
      <c r="U1285" s="4">
        <f t="shared" si="103"/>
        <v>7.9088471849865852E-2</v>
      </c>
      <c r="V1285" s="5">
        <f t="shared" si="104"/>
        <v>12.062819999999999</v>
      </c>
    </row>
    <row r="1286" spans="1:22" x14ac:dyDescent="0.25">
      <c r="A1286" s="2" t="s">
        <v>1320</v>
      </c>
      <c r="B1286" s="2" t="s">
        <v>18</v>
      </c>
      <c r="C1286" s="2" t="s">
        <v>43</v>
      </c>
      <c r="D1286" s="2" t="s">
        <v>28</v>
      </c>
      <c r="E1286" s="2">
        <v>542.15</v>
      </c>
      <c r="F1286" s="2">
        <v>16.260000000000002</v>
      </c>
      <c r="G1286" s="2">
        <v>37.92</v>
      </c>
      <c r="H1286" s="2">
        <v>3.1</v>
      </c>
      <c r="I1286" s="2">
        <v>0.3</v>
      </c>
      <c r="J1286" s="2">
        <v>14</v>
      </c>
      <c r="K1286" s="2" t="s">
        <v>29</v>
      </c>
      <c r="L1286" s="2">
        <v>1.62</v>
      </c>
      <c r="M1286" s="2" t="s">
        <v>40</v>
      </c>
      <c r="N1286" s="2">
        <v>88.01</v>
      </c>
      <c r="O1286" s="2" t="s">
        <v>24</v>
      </c>
      <c r="P1286" s="2">
        <v>9.92</v>
      </c>
      <c r="Q1286" s="2">
        <v>7.29</v>
      </c>
      <c r="R1286" s="3">
        <f t="shared" si="100"/>
        <v>5378.1279999999997</v>
      </c>
      <c r="S1286" s="3">
        <f t="shared" si="101"/>
        <v>3952.2734999999998</v>
      </c>
      <c r="T1286" s="3">
        <f t="shared" si="102"/>
        <v>-1425.8544999999999</v>
      </c>
      <c r="U1286" s="4">
        <f t="shared" si="103"/>
        <v>-0.3607681755829904</v>
      </c>
      <c r="V1286" s="5">
        <f t="shared" si="104"/>
        <v>8.7828300000000006</v>
      </c>
    </row>
    <row r="1287" spans="1:22" x14ac:dyDescent="0.25">
      <c r="A1287" s="2" t="s">
        <v>1321</v>
      </c>
      <c r="B1287" s="2" t="s">
        <v>45</v>
      </c>
      <c r="C1287" s="2" t="s">
        <v>27</v>
      </c>
      <c r="D1287" s="2" t="s">
        <v>28</v>
      </c>
      <c r="E1287" s="2">
        <v>526.67999999999995</v>
      </c>
      <c r="F1287" s="2">
        <v>11.04</v>
      </c>
      <c r="G1287" s="2">
        <v>21.16</v>
      </c>
      <c r="H1287" s="2">
        <v>0.8</v>
      </c>
      <c r="I1287" s="2">
        <v>0.2</v>
      </c>
      <c r="J1287" s="2">
        <v>15</v>
      </c>
      <c r="K1287" s="2" t="s">
        <v>29</v>
      </c>
      <c r="L1287" s="2">
        <v>7.39</v>
      </c>
      <c r="M1287" s="2" t="s">
        <v>22</v>
      </c>
      <c r="N1287" s="2">
        <v>66.260000000000005</v>
      </c>
      <c r="O1287" s="2" t="s">
        <v>30</v>
      </c>
      <c r="P1287" s="2">
        <v>8.5500000000000007</v>
      </c>
      <c r="Q1287" s="2">
        <v>7.83</v>
      </c>
      <c r="R1287" s="3">
        <f t="shared" si="100"/>
        <v>4503.1139999999996</v>
      </c>
      <c r="S1287" s="3">
        <f t="shared" si="101"/>
        <v>4123.9043999999994</v>
      </c>
      <c r="T1287" s="3">
        <f t="shared" si="102"/>
        <v>-379.20960000000014</v>
      </c>
      <c r="U1287" s="4">
        <f t="shared" si="103"/>
        <v>-9.1954022988505787E-2</v>
      </c>
      <c r="V1287" s="5">
        <f t="shared" si="104"/>
        <v>38.921651999999995</v>
      </c>
    </row>
    <row r="1288" spans="1:22" x14ac:dyDescent="0.25">
      <c r="A1288" s="2" t="s">
        <v>1322</v>
      </c>
      <c r="B1288" s="2" t="s">
        <v>45</v>
      </c>
      <c r="C1288" s="2" t="s">
        <v>33</v>
      </c>
      <c r="D1288" s="2" t="s">
        <v>20</v>
      </c>
      <c r="E1288" s="2">
        <v>466.09</v>
      </c>
      <c r="F1288" s="2">
        <v>11.98</v>
      </c>
      <c r="G1288" s="2">
        <v>22.81</v>
      </c>
      <c r="H1288" s="2">
        <v>3.4</v>
      </c>
      <c r="I1288" s="2">
        <v>1.6</v>
      </c>
      <c r="J1288" s="2">
        <v>11</v>
      </c>
      <c r="K1288" s="2" t="s">
        <v>34</v>
      </c>
      <c r="L1288" s="2">
        <v>5.79</v>
      </c>
      <c r="M1288" s="2" t="s">
        <v>22</v>
      </c>
      <c r="N1288" s="2">
        <v>72.02</v>
      </c>
      <c r="O1288" s="2" t="s">
        <v>24</v>
      </c>
      <c r="P1288" s="2">
        <v>5.66</v>
      </c>
      <c r="Q1288" s="2">
        <v>6.81</v>
      </c>
      <c r="R1288" s="3">
        <f t="shared" si="100"/>
        <v>2638.0693999999999</v>
      </c>
      <c r="S1288" s="3">
        <f t="shared" si="101"/>
        <v>3174.0728999999997</v>
      </c>
      <c r="T1288" s="3">
        <f t="shared" si="102"/>
        <v>536.0034999999998</v>
      </c>
      <c r="U1288" s="4">
        <f t="shared" si="103"/>
        <v>0.16886930983847279</v>
      </c>
      <c r="V1288" s="5">
        <f t="shared" si="104"/>
        <v>26.986610999999996</v>
      </c>
    </row>
    <row r="1289" spans="1:22" x14ac:dyDescent="0.25">
      <c r="A1289" s="2" t="s">
        <v>1323</v>
      </c>
      <c r="B1289" s="2" t="s">
        <v>45</v>
      </c>
      <c r="C1289" s="2" t="s">
        <v>33</v>
      </c>
      <c r="D1289" s="2" t="s">
        <v>28</v>
      </c>
      <c r="E1289" s="2">
        <v>537.01</v>
      </c>
      <c r="F1289" s="2">
        <v>11.17</v>
      </c>
      <c r="G1289" s="2">
        <v>34.33</v>
      </c>
      <c r="H1289" s="2">
        <v>0.3</v>
      </c>
      <c r="I1289" s="2">
        <v>3.1</v>
      </c>
      <c r="J1289" s="2">
        <v>6</v>
      </c>
      <c r="K1289" s="2" t="s">
        <v>29</v>
      </c>
      <c r="L1289" s="2">
        <v>5.5</v>
      </c>
      <c r="M1289" s="2" t="s">
        <v>40</v>
      </c>
      <c r="N1289" s="2">
        <v>63.72</v>
      </c>
      <c r="O1289" s="2" t="s">
        <v>24</v>
      </c>
      <c r="P1289" s="2">
        <v>7.03</v>
      </c>
      <c r="Q1289" s="2">
        <v>11.68</v>
      </c>
      <c r="R1289" s="3">
        <f t="shared" si="100"/>
        <v>3775.1803</v>
      </c>
      <c r="S1289" s="3">
        <f t="shared" si="101"/>
        <v>6272.2767999999996</v>
      </c>
      <c r="T1289" s="3">
        <f t="shared" si="102"/>
        <v>2497.0964999999997</v>
      </c>
      <c r="U1289" s="4">
        <f t="shared" si="103"/>
        <v>0.39811643835616434</v>
      </c>
      <c r="V1289" s="5">
        <f t="shared" si="104"/>
        <v>29.535549999999997</v>
      </c>
    </row>
    <row r="1290" spans="1:22" x14ac:dyDescent="0.25">
      <c r="A1290" s="2" t="s">
        <v>1324</v>
      </c>
      <c r="B1290" s="2" t="s">
        <v>26</v>
      </c>
      <c r="C1290" s="2" t="s">
        <v>33</v>
      </c>
      <c r="D1290" s="2" t="s">
        <v>20</v>
      </c>
      <c r="E1290" s="2">
        <v>487.63</v>
      </c>
      <c r="F1290" s="2">
        <v>12.67</v>
      </c>
      <c r="G1290" s="2">
        <v>28.75</v>
      </c>
      <c r="H1290" s="2">
        <v>0.4</v>
      </c>
      <c r="I1290" s="2">
        <v>0.5</v>
      </c>
      <c r="J1290" s="2">
        <v>14</v>
      </c>
      <c r="K1290" s="2" t="s">
        <v>21</v>
      </c>
      <c r="L1290" s="2">
        <v>2.9</v>
      </c>
      <c r="M1290" s="2" t="s">
        <v>22</v>
      </c>
      <c r="N1290" s="2">
        <v>71.180000000000007</v>
      </c>
      <c r="O1290" s="2" t="s">
        <v>24</v>
      </c>
      <c r="P1290" s="2">
        <v>7.36</v>
      </c>
      <c r="Q1290" s="2">
        <v>10.8</v>
      </c>
      <c r="R1290" s="3">
        <f t="shared" si="100"/>
        <v>3588.9567999999999</v>
      </c>
      <c r="S1290" s="3">
        <f t="shared" si="101"/>
        <v>5266.4040000000005</v>
      </c>
      <c r="T1290" s="3">
        <f t="shared" si="102"/>
        <v>1677.4472000000005</v>
      </c>
      <c r="U1290" s="4">
        <f t="shared" si="103"/>
        <v>0.31851851851851859</v>
      </c>
      <c r="V1290" s="5">
        <f t="shared" si="104"/>
        <v>14.141269999999999</v>
      </c>
    </row>
    <row r="1291" spans="1:22" x14ac:dyDescent="0.25">
      <c r="A1291" s="2" t="s">
        <v>1325</v>
      </c>
      <c r="B1291" s="2" t="s">
        <v>32</v>
      </c>
      <c r="C1291" s="2" t="s">
        <v>27</v>
      </c>
      <c r="D1291" s="2" t="s">
        <v>28</v>
      </c>
      <c r="E1291" s="2">
        <v>545.78</v>
      </c>
      <c r="F1291" s="2">
        <v>10.86</v>
      </c>
      <c r="G1291" s="2">
        <v>28.07</v>
      </c>
      <c r="H1291" s="2">
        <v>0.8</v>
      </c>
      <c r="I1291" s="2">
        <v>3</v>
      </c>
      <c r="J1291" s="2">
        <v>3</v>
      </c>
      <c r="K1291" s="2" t="s">
        <v>29</v>
      </c>
      <c r="L1291" s="2">
        <v>1.97</v>
      </c>
      <c r="M1291" s="2" t="s">
        <v>22</v>
      </c>
      <c r="N1291" s="2">
        <v>83.97</v>
      </c>
      <c r="O1291" s="2" t="s">
        <v>23</v>
      </c>
      <c r="P1291" s="2">
        <v>8.76</v>
      </c>
      <c r="Q1291" s="2">
        <v>11.48</v>
      </c>
      <c r="R1291" s="3">
        <f t="shared" si="100"/>
        <v>4781.0328</v>
      </c>
      <c r="S1291" s="3">
        <f t="shared" si="101"/>
        <v>6265.5544</v>
      </c>
      <c r="T1291" s="3">
        <f t="shared" si="102"/>
        <v>1484.5216</v>
      </c>
      <c r="U1291" s="4">
        <f t="shared" si="103"/>
        <v>0.23693379790940766</v>
      </c>
      <c r="V1291" s="5">
        <f t="shared" si="104"/>
        <v>10.751866</v>
      </c>
    </row>
    <row r="1292" spans="1:22" x14ac:dyDescent="0.25">
      <c r="A1292" s="2" t="s">
        <v>1326</v>
      </c>
      <c r="B1292" s="2" t="s">
        <v>32</v>
      </c>
      <c r="C1292" s="2" t="s">
        <v>19</v>
      </c>
      <c r="D1292" s="2" t="s">
        <v>28</v>
      </c>
      <c r="E1292" s="2">
        <v>450.31</v>
      </c>
      <c r="F1292" s="2">
        <v>17.62</v>
      </c>
      <c r="G1292" s="2">
        <v>22.74</v>
      </c>
      <c r="H1292" s="2">
        <v>1.1000000000000001</v>
      </c>
      <c r="I1292" s="2">
        <v>1.7</v>
      </c>
      <c r="J1292" s="2">
        <v>19</v>
      </c>
      <c r="K1292" s="2" t="s">
        <v>21</v>
      </c>
      <c r="L1292" s="2">
        <v>2.46</v>
      </c>
      <c r="M1292" s="2" t="s">
        <v>37</v>
      </c>
      <c r="N1292" s="2">
        <v>55.53</v>
      </c>
      <c r="O1292" s="2" t="s">
        <v>24</v>
      </c>
      <c r="P1292" s="2">
        <v>8.16</v>
      </c>
      <c r="Q1292" s="2">
        <v>8.44</v>
      </c>
      <c r="R1292" s="3">
        <f t="shared" si="100"/>
        <v>3674.5296000000003</v>
      </c>
      <c r="S1292" s="3">
        <f t="shared" si="101"/>
        <v>3800.6163999999999</v>
      </c>
      <c r="T1292" s="3">
        <f t="shared" si="102"/>
        <v>126.08679999999958</v>
      </c>
      <c r="U1292" s="4">
        <f t="shared" si="103"/>
        <v>3.3175355450236858E-2</v>
      </c>
      <c r="V1292" s="5">
        <f t="shared" si="104"/>
        <v>11.077626</v>
      </c>
    </row>
    <row r="1293" spans="1:22" x14ac:dyDescent="0.25">
      <c r="A1293" s="2" t="s">
        <v>1327</v>
      </c>
      <c r="B1293" s="2" t="s">
        <v>32</v>
      </c>
      <c r="C1293" s="2" t="s">
        <v>27</v>
      </c>
      <c r="D1293" s="2" t="s">
        <v>20</v>
      </c>
      <c r="E1293" s="2">
        <v>481.74</v>
      </c>
      <c r="F1293" s="2">
        <v>11.13</v>
      </c>
      <c r="G1293" s="2">
        <v>30.14</v>
      </c>
      <c r="H1293" s="2">
        <v>0.9</v>
      </c>
      <c r="I1293" s="2">
        <v>0.7</v>
      </c>
      <c r="J1293" s="2">
        <v>20</v>
      </c>
      <c r="K1293" s="2" t="s">
        <v>34</v>
      </c>
      <c r="L1293" s="2">
        <v>4.3</v>
      </c>
      <c r="M1293" s="2" t="s">
        <v>40</v>
      </c>
      <c r="N1293" s="2">
        <v>55.26</v>
      </c>
      <c r="O1293" s="2" t="s">
        <v>30</v>
      </c>
      <c r="P1293" s="2">
        <v>6.99</v>
      </c>
      <c r="Q1293" s="2">
        <v>12.7</v>
      </c>
      <c r="R1293" s="3">
        <f t="shared" si="100"/>
        <v>3367.3626000000004</v>
      </c>
      <c r="S1293" s="3">
        <f t="shared" si="101"/>
        <v>6118.098</v>
      </c>
      <c r="T1293" s="3">
        <f t="shared" si="102"/>
        <v>2750.7353999999996</v>
      </c>
      <c r="U1293" s="4">
        <f t="shared" si="103"/>
        <v>0.44960629921259837</v>
      </c>
      <c r="V1293" s="5">
        <f t="shared" si="104"/>
        <v>20.71482</v>
      </c>
    </row>
    <row r="1294" spans="1:22" x14ac:dyDescent="0.25">
      <c r="A1294" s="2" t="s">
        <v>1328</v>
      </c>
      <c r="B1294" s="2" t="s">
        <v>26</v>
      </c>
      <c r="C1294" s="2" t="s">
        <v>43</v>
      </c>
      <c r="D1294" s="2" t="s">
        <v>20</v>
      </c>
      <c r="E1294" s="2">
        <v>401</v>
      </c>
      <c r="F1294" s="2">
        <v>8.98</v>
      </c>
      <c r="G1294" s="2">
        <v>22.53</v>
      </c>
      <c r="H1294" s="2">
        <v>2.9</v>
      </c>
      <c r="I1294" s="2">
        <v>1.1000000000000001</v>
      </c>
      <c r="J1294" s="2">
        <v>25</v>
      </c>
      <c r="K1294" s="2" t="s">
        <v>34</v>
      </c>
      <c r="L1294" s="2">
        <v>7.53</v>
      </c>
      <c r="M1294" s="2" t="s">
        <v>37</v>
      </c>
      <c r="N1294" s="2">
        <v>84.19</v>
      </c>
      <c r="O1294" s="2" t="s">
        <v>23</v>
      </c>
      <c r="P1294" s="2">
        <v>7.68</v>
      </c>
      <c r="Q1294" s="2">
        <v>6.3</v>
      </c>
      <c r="R1294" s="3">
        <f t="shared" si="100"/>
        <v>3079.68</v>
      </c>
      <c r="S1294" s="3">
        <f t="shared" si="101"/>
        <v>2526.2999999999997</v>
      </c>
      <c r="T1294" s="3">
        <f t="shared" si="102"/>
        <v>-553.38000000000011</v>
      </c>
      <c r="U1294" s="4">
        <f t="shared" si="103"/>
        <v>-0.2190476190476191</v>
      </c>
      <c r="V1294" s="5">
        <f t="shared" si="104"/>
        <v>30.195300000000003</v>
      </c>
    </row>
    <row r="1295" spans="1:22" x14ac:dyDescent="0.25">
      <c r="A1295" s="2" t="s">
        <v>1329</v>
      </c>
      <c r="B1295" s="2" t="s">
        <v>32</v>
      </c>
      <c r="C1295" s="2" t="s">
        <v>43</v>
      </c>
      <c r="D1295" s="2" t="s">
        <v>28</v>
      </c>
      <c r="E1295" s="2">
        <v>496.5</v>
      </c>
      <c r="F1295" s="2">
        <v>13.27</v>
      </c>
      <c r="G1295" s="2">
        <v>29.53</v>
      </c>
      <c r="H1295" s="2">
        <v>0.2</v>
      </c>
      <c r="I1295" s="2">
        <v>0.6</v>
      </c>
      <c r="J1295" s="2">
        <v>11</v>
      </c>
      <c r="K1295" s="2" t="s">
        <v>29</v>
      </c>
      <c r="L1295" s="2">
        <v>2.92</v>
      </c>
      <c r="M1295" s="2" t="s">
        <v>22</v>
      </c>
      <c r="N1295" s="2">
        <v>88.98</v>
      </c>
      <c r="O1295" s="2" t="s">
        <v>24</v>
      </c>
      <c r="P1295" s="2">
        <v>8.2200000000000006</v>
      </c>
      <c r="Q1295" s="2">
        <v>10.71</v>
      </c>
      <c r="R1295" s="3">
        <f t="shared" si="100"/>
        <v>4081.2300000000005</v>
      </c>
      <c r="S1295" s="3">
        <f t="shared" si="101"/>
        <v>5317.5150000000003</v>
      </c>
      <c r="T1295" s="3">
        <f t="shared" si="102"/>
        <v>1236.2849999999999</v>
      </c>
      <c r="U1295" s="4">
        <f t="shared" si="103"/>
        <v>0.2324929971988795</v>
      </c>
      <c r="V1295" s="5">
        <f t="shared" si="104"/>
        <v>14.4978</v>
      </c>
    </row>
    <row r="1296" spans="1:22" x14ac:dyDescent="0.25">
      <c r="A1296" s="2" t="s">
        <v>1330</v>
      </c>
      <c r="B1296" s="2" t="s">
        <v>26</v>
      </c>
      <c r="C1296" s="2" t="s">
        <v>27</v>
      </c>
      <c r="D1296" s="2" t="s">
        <v>20</v>
      </c>
      <c r="E1296" s="2">
        <v>418.9</v>
      </c>
      <c r="F1296" s="2">
        <v>8.57</v>
      </c>
      <c r="G1296" s="2">
        <v>35.270000000000003</v>
      </c>
      <c r="H1296" s="2">
        <v>0.9</v>
      </c>
      <c r="I1296" s="2">
        <v>0.8</v>
      </c>
      <c r="J1296" s="2">
        <v>29</v>
      </c>
      <c r="K1296" s="2" t="s">
        <v>34</v>
      </c>
      <c r="L1296" s="2">
        <v>7.14</v>
      </c>
      <c r="M1296" s="2" t="s">
        <v>40</v>
      </c>
      <c r="N1296" s="2">
        <v>77.569999999999993</v>
      </c>
      <c r="O1296" s="2" t="s">
        <v>30</v>
      </c>
      <c r="P1296" s="2">
        <v>3.93</v>
      </c>
      <c r="Q1296" s="2">
        <v>7.75</v>
      </c>
      <c r="R1296" s="3">
        <f t="shared" si="100"/>
        <v>1646.277</v>
      </c>
      <c r="S1296" s="3">
        <f t="shared" si="101"/>
        <v>3246.4749999999999</v>
      </c>
      <c r="T1296" s="3">
        <f t="shared" si="102"/>
        <v>1600.1979999999999</v>
      </c>
      <c r="U1296" s="4">
        <f t="shared" si="103"/>
        <v>0.49290322580645157</v>
      </c>
      <c r="V1296" s="5">
        <f t="shared" si="104"/>
        <v>29.909459999999999</v>
      </c>
    </row>
    <row r="1297" spans="1:22" x14ac:dyDescent="0.25">
      <c r="A1297" s="2" t="s">
        <v>1331</v>
      </c>
      <c r="B1297" s="2" t="s">
        <v>45</v>
      </c>
      <c r="C1297" s="2" t="s">
        <v>27</v>
      </c>
      <c r="D1297" s="2" t="s">
        <v>20</v>
      </c>
      <c r="E1297" s="2">
        <v>388.6</v>
      </c>
      <c r="F1297" s="2">
        <v>9.11</v>
      </c>
      <c r="G1297" s="2">
        <v>25.17</v>
      </c>
      <c r="H1297" s="2">
        <v>3.6</v>
      </c>
      <c r="I1297" s="2">
        <v>0.1</v>
      </c>
      <c r="J1297" s="2">
        <v>24</v>
      </c>
      <c r="K1297" s="2" t="s">
        <v>29</v>
      </c>
      <c r="L1297" s="2">
        <v>5.17</v>
      </c>
      <c r="M1297" s="2" t="s">
        <v>22</v>
      </c>
      <c r="N1297" s="2">
        <v>59.08</v>
      </c>
      <c r="O1297" s="2" t="s">
        <v>24</v>
      </c>
      <c r="P1297" s="2">
        <v>4.4000000000000004</v>
      </c>
      <c r="Q1297" s="2">
        <v>10.28</v>
      </c>
      <c r="R1297" s="3">
        <f t="shared" si="100"/>
        <v>1709.8400000000001</v>
      </c>
      <c r="S1297" s="3">
        <f t="shared" si="101"/>
        <v>3994.808</v>
      </c>
      <c r="T1297" s="3">
        <f t="shared" si="102"/>
        <v>2284.9679999999998</v>
      </c>
      <c r="U1297" s="4">
        <f t="shared" si="103"/>
        <v>0.57198443579766534</v>
      </c>
      <c r="V1297" s="5">
        <f t="shared" si="104"/>
        <v>20.090620000000001</v>
      </c>
    </row>
    <row r="1298" spans="1:22" x14ac:dyDescent="0.25">
      <c r="A1298" s="2" t="s">
        <v>1332</v>
      </c>
      <c r="B1298" s="2" t="s">
        <v>18</v>
      </c>
      <c r="C1298" s="2" t="s">
        <v>33</v>
      </c>
      <c r="D1298" s="2" t="s">
        <v>28</v>
      </c>
      <c r="E1298" s="2">
        <v>525.87</v>
      </c>
      <c r="F1298" s="2">
        <v>10.19</v>
      </c>
      <c r="G1298" s="2">
        <v>29.62</v>
      </c>
      <c r="H1298" s="2">
        <v>0.1</v>
      </c>
      <c r="I1298" s="2">
        <v>1.2</v>
      </c>
      <c r="J1298" s="2">
        <v>17</v>
      </c>
      <c r="K1298" s="2" t="s">
        <v>34</v>
      </c>
      <c r="L1298" s="2">
        <v>8.91</v>
      </c>
      <c r="M1298" s="2" t="s">
        <v>22</v>
      </c>
      <c r="N1298" s="2">
        <v>71.540000000000006</v>
      </c>
      <c r="O1298" s="2" t="s">
        <v>24</v>
      </c>
      <c r="P1298" s="2">
        <v>7.82</v>
      </c>
      <c r="Q1298" s="2">
        <v>8.24</v>
      </c>
      <c r="R1298" s="3">
        <f t="shared" si="100"/>
        <v>4112.3033999999998</v>
      </c>
      <c r="S1298" s="3">
        <f t="shared" si="101"/>
        <v>4333.1688000000004</v>
      </c>
      <c r="T1298" s="3">
        <f t="shared" si="102"/>
        <v>220.86540000000059</v>
      </c>
      <c r="U1298" s="4">
        <f t="shared" si="103"/>
        <v>5.0970873786407897E-2</v>
      </c>
      <c r="V1298" s="5">
        <f t="shared" si="104"/>
        <v>46.855016999999997</v>
      </c>
    </row>
    <row r="1299" spans="1:22" x14ac:dyDescent="0.25">
      <c r="A1299" s="2" t="s">
        <v>1333</v>
      </c>
      <c r="B1299" s="2" t="s">
        <v>32</v>
      </c>
      <c r="C1299" s="2" t="s">
        <v>27</v>
      </c>
      <c r="D1299" s="2" t="s">
        <v>28</v>
      </c>
      <c r="E1299" s="2">
        <v>521.27</v>
      </c>
      <c r="F1299" s="2">
        <v>12.64</v>
      </c>
      <c r="G1299" s="2">
        <v>39.840000000000003</v>
      </c>
      <c r="H1299" s="2">
        <v>5.7</v>
      </c>
      <c r="I1299" s="2">
        <v>0.1</v>
      </c>
      <c r="J1299" s="2">
        <v>29</v>
      </c>
      <c r="K1299" s="2" t="s">
        <v>21</v>
      </c>
      <c r="L1299" s="2">
        <v>2.71</v>
      </c>
      <c r="M1299" s="2" t="s">
        <v>40</v>
      </c>
      <c r="N1299" s="2">
        <v>87.91</v>
      </c>
      <c r="O1299" s="2" t="s">
        <v>24</v>
      </c>
      <c r="P1299" s="2">
        <v>8.9499999999999993</v>
      </c>
      <c r="Q1299" s="2">
        <v>12.91</v>
      </c>
      <c r="R1299" s="3">
        <f t="shared" si="100"/>
        <v>4665.3664999999992</v>
      </c>
      <c r="S1299" s="3">
        <f t="shared" si="101"/>
        <v>6729.5956999999999</v>
      </c>
      <c r="T1299" s="3">
        <f t="shared" si="102"/>
        <v>2064.2292000000007</v>
      </c>
      <c r="U1299" s="4">
        <f t="shared" si="103"/>
        <v>0.30673896204492651</v>
      </c>
      <c r="V1299" s="5">
        <f t="shared" si="104"/>
        <v>14.126416999999998</v>
      </c>
    </row>
    <row r="1300" spans="1:22" x14ac:dyDescent="0.25">
      <c r="A1300" s="2" t="s">
        <v>1334</v>
      </c>
      <c r="B1300" s="2" t="s">
        <v>32</v>
      </c>
      <c r="C1300" s="2" t="s">
        <v>33</v>
      </c>
      <c r="D1300" s="2" t="s">
        <v>28</v>
      </c>
      <c r="E1300" s="2">
        <v>578.29</v>
      </c>
      <c r="F1300" s="2">
        <v>12.33</v>
      </c>
      <c r="G1300" s="2">
        <v>33.729999999999997</v>
      </c>
      <c r="H1300" s="2">
        <v>8.6</v>
      </c>
      <c r="I1300" s="2">
        <v>1.7</v>
      </c>
      <c r="J1300" s="2">
        <v>28</v>
      </c>
      <c r="K1300" s="2" t="s">
        <v>34</v>
      </c>
      <c r="L1300" s="2">
        <v>4.78</v>
      </c>
      <c r="M1300" s="2" t="s">
        <v>22</v>
      </c>
      <c r="N1300" s="2">
        <v>84.29</v>
      </c>
      <c r="O1300" s="2" t="s">
        <v>23</v>
      </c>
      <c r="P1300" s="2">
        <v>5.86</v>
      </c>
      <c r="Q1300" s="2">
        <v>13.91</v>
      </c>
      <c r="R1300" s="3">
        <f t="shared" si="100"/>
        <v>3388.7793999999999</v>
      </c>
      <c r="S1300" s="3">
        <f t="shared" si="101"/>
        <v>8044.0138999999999</v>
      </c>
      <c r="T1300" s="3">
        <f t="shared" si="102"/>
        <v>4655.2345000000005</v>
      </c>
      <c r="U1300" s="4">
        <f t="shared" si="103"/>
        <v>0.57872034507548531</v>
      </c>
      <c r="V1300" s="5">
        <f t="shared" si="104"/>
        <v>27.642262000000002</v>
      </c>
    </row>
    <row r="1301" spans="1:22" x14ac:dyDescent="0.25">
      <c r="A1301" s="2" t="s">
        <v>1335</v>
      </c>
      <c r="B1301" s="2" t="s">
        <v>45</v>
      </c>
      <c r="C1301" s="2" t="s">
        <v>43</v>
      </c>
      <c r="D1301" s="2" t="s">
        <v>20</v>
      </c>
      <c r="E1301" s="2">
        <v>456.89</v>
      </c>
      <c r="F1301" s="2">
        <v>16</v>
      </c>
      <c r="G1301" s="2">
        <v>36.83</v>
      </c>
      <c r="H1301" s="2">
        <v>0.2</v>
      </c>
      <c r="I1301" s="2">
        <v>1.7</v>
      </c>
      <c r="J1301" s="2">
        <v>27</v>
      </c>
      <c r="K1301" s="2" t="s">
        <v>29</v>
      </c>
      <c r="L1301" s="2">
        <v>1.42</v>
      </c>
      <c r="M1301" s="2" t="s">
        <v>37</v>
      </c>
      <c r="N1301" s="2">
        <v>55.49</v>
      </c>
      <c r="O1301" s="2" t="s">
        <v>24</v>
      </c>
      <c r="P1301" s="2">
        <v>9.86</v>
      </c>
      <c r="Q1301" s="2">
        <v>12.43</v>
      </c>
      <c r="R1301" s="3">
        <f t="shared" si="100"/>
        <v>4504.9353999999994</v>
      </c>
      <c r="S1301" s="3">
        <f t="shared" si="101"/>
        <v>5679.1426999999994</v>
      </c>
      <c r="T1301" s="3">
        <f t="shared" si="102"/>
        <v>1174.2073</v>
      </c>
      <c r="U1301" s="4">
        <f t="shared" si="103"/>
        <v>0.20675784392598553</v>
      </c>
      <c r="V1301" s="5">
        <f t="shared" si="104"/>
        <v>6.4878379999999991</v>
      </c>
    </row>
    <row r="1302" spans="1:22" x14ac:dyDescent="0.25">
      <c r="A1302" s="2" t="s">
        <v>1336</v>
      </c>
      <c r="B1302" s="2" t="s">
        <v>18</v>
      </c>
      <c r="C1302" s="2" t="s">
        <v>33</v>
      </c>
      <c r="D1302" s="2" t="s">
        <v>20</v>
      </c>
      <c r="E1302" s="2">
        <v>540.80999999999995</v>
      </c>
      <c r="F1302" s="2">
        <v>15.39</v>
      </c>
      <c r="G1302" s="2">
        <v>28.3</v>
      </c>
      <c r="H1302" s="2">
        <v>0.7</v>
      </c>
      <c r="I1302" s="2">
        <v>0.3</v>
      </c>
      <c r="J1302" s="2">
        <v>17</v>
      </c>
      <c r="K1302" s="2" t="s">
        <v>29</v>
      </c>
      <c r="L1302" s="2">
        <v>3.68</v>
      </c>
      <c r="M1302" s="2" t="s">
        <v>40</v>
      </c>
      <c r="N1302" s="2">
        <v>98.46</v>
      </c>
      <c r="O1302" s="2" t="s">
        <v>30</v>
      </c>
      <c r="P1302" s="2">
        <v>4.51</v>
      </c>
      <c r="Q1302" s="2">
        <v>6.76</v>
      </c>
      <c r="R1302" s="3">
        <f t="shared" si="100"/>
        <v>2439.0530999999996</v>
      </c>
      <c r="S1302" s="3">
        <f t="shared" si="101"/>
        <v>3655.8755999999994</v>
      </c>
      <c r="T1302" s="3">
        <f t="shared" si="102"/>
        <v>1216.8224999999998</v>
      </c>
      <c r="U1302" s="4">
        <f t="shared" si="103"/>
        <v>0.33284023668639051</v>
      </c>
      <c r="V1302" s="5">
        <f t="shared" si="104"/>
        <v>19.901807999999999</v>
      </c>
    </row>
    <row r="1303" spans="1:22" x14ac:dyDescent="0.25">
      <c r="A1303" s="2" t="s">
        <v>1337</v>
      </c>
      <c r="B1303" s="2" t="s">
        <v>26</v>
      </c>
      <c r="C1303" s="2" t="s">
        <v>27</v>
      </c>
      <c r="D1303" s="2" t="s">
        <v>20</v>
      </c>
      <c r="E1303" s="2">
        <v>555.08000000000004</v>
      </c>
      <c r="F1303" s="2">
        <v>12.26</v>
      </c>
      <c r="G1303" s="2">
        <v>35.36</v>
      </c>
      <c r="H1303" s="2">
        <v>0.9</v>
      </c>
      <c r="I1303" s="2">
        <v>0.4</v>
      </c>
      <c r="J1303" s="2">
        <v>23</v>
      </c>
      <c r="K1303" s="2" t="s">
        <v>29</v>
      </c>
      <c r="L1303" s="2">
        <v>5.32</v>
      </c>
      <c r="M1303" s="2" t="s">
        <v>22</v>
      </c>
      <c r="N1303" s="2">
        <v>61.17</v>
      </c>
      <c r="O1303" s="2" t="s">
        <v>24</v>
      </c>
      <c r="P1303" s="2">
        <v>5.92</v>
      </c>
      <c r="Q1303" s="2">
        <v>7.75</v>
      </c>
      <c r="R1303" s="3">
        <f t="shared" si="100"/>
        <v>3286.0736000000002</v>
      </c>
      <c r="S1303" s="3">
        <f t="shared" si="101"/>
        <v>4301.87</v>
      </c>
      <c r="T1303" s="3">
        <f t="shared" si="102"/>
        <v>1015.7963999999997</v>
      </c>
      <c r="U1303" s="4">
        <f t="shared" si="103"/>
        <v>0.23612903225806445</v>
      </c>
      <c r="V1303" s="5">
        <f t="shared" si="104"/>
        <v>29.530256000000005</v>
      </c>
    </row>
    <row r="1304" spans="1:22" x14ac:dyDescent="0.25">
      <c r="A1304" s="2" t="s">
        <v>1338</v>
      </c>
      <c r="B1304" s="2" t="s">
        <v>18</v>
      </c>
      <c r="C1304" s="2" t="s">
        <v>43</v>
      </c>
      <c r="D1304" s="2" t="s">
        <v>20</v>
      </c>
      <c r="E1304" s="2">
        <v>544.48</v>
      </c>
      <c r="F1304" s="2">
        <v>11.34</v>
      </c>
      <c r="G1304" s="2">
        <v>20.81</v>
      </c>
      <c r="H1304" s="2">
        <v>3</v>
      </c>
      <c r="I1304" s="2">
        <v>0.7</v>
      </c>
      <c r="J1304" s="2">
        <v>3</v>
      </c>
      <c r="K1304" s="2" t="s">
        <v>21</v>
      </c>
      <c r="L1304" s="2">
        <v>7.46</v>
      </c>
      <c r="M1304" s="2" t="s">
        <v>22</v>
      </c>
      <c r="N1304" s="2">
        <v>61.02</v>
      </c>
      <c r="O1304" s="2" t="s">
        <v>24</v>
      </c>
      <c r="P1304" s="2">
        <v>5.65</v>
      </c>
      <c r="Q1304" s="2">
        <v>14.19</v>
      </c>
      <c r="R1304" s="3">
        <f t="shared" si="100"/>
        <v>3076.3120000000004</v>
      </c>
      <c r="S1304" s="3">
        <f t="shared" si="101"/>
        <v>7726.1711999999998</v>
      </c>
      <c r="T1304" s="3">
        <f t="shared" si="102"/>
        <v>4649.859199999999</v>
      </c>
      <c r="U1304" s="4">
        <f t="shared" si="103"/>
        <v>0.60183227625088076</v>
      </c>
      <c r="V1304" s="5">
        <f t="shared" si="104"/>
        <v>40.618208000000003</v>
      </c>
    </row>
    <row r="1305" spans="1:22" x14ac:dyDescent="0.25">
      <c r="A1305" s="2" t="s">
        <v>1339</v>
      </c>
      <c r="B1305" s="2" t="s">
        <v>45</v>
      </c>
      <c r="C1305" s="2" t="s">
        <v>19</v>
      </c>
      <c r="D1305" s="2" t="s">
        <v>28</v>
      </c>
      <c r="E1305" s="2">
        <v>417.43</v>
      </c>
      <c r="F1305" s="2">
        <v>11.16</v>
      </c>
      <c r="G1305" s="2">
        <v>22.46</v>
      </c>
      <c r="H1305" s="2">
        <v>1.8</v>
      </c>
      <c r="I1305" s="2">
        <v>0.9</v>
      </c>
      <c r="J1305" s="2">
        <v>14</v>
      </c>
      <c r="K1305" s="2" t="s">
        <v>34</v>
      </c>
      <c r="L1305" s="2">
        <v>2.38</v>
      </c>
      <c r="M1305" s="2" t="s">
        <v>22</v>
      </c>
      <c r="N1305" s="2">
        <v>72.989999999999995</v>
      </c>
      <c r="O1305" s="2" t="s">
        <v>23</v>
      </c>
      <c r="P1305" s="2">
        <v>9.51</v>
      </c>
      <c r="Q1305" s="2">
        <v>9.3699999999999992</v>
      </c>
      <c r="R1305" s="3">
        <f t="shared" si="100"/>
        <v>3969.7593000000002</v>
      </c>
      <c r="S1305" s="3">
        <f t="shared" si="101"/>
        <v>3911.3190999999997</v>
      </c>
      <c r="T1305" s="3">
        <f t="shared" si="102"/>
        <v>-58.440200000000459</v>
      </c>
      <c r="U1305" s="4">
        <f t="shared" si="103"/>
        <v>-1.4941302027748252E-2</v>
      </c>
      <c r="V1305" s="5">
        <f t="shared" si="104"/>
        <v>9.9348340000000004</v>
      </c>
    </row>
    <row r="1306" spans="1:22" x14ac:dyDescent="0.25">
      <c r="A1306" s="2" t="s">
        <v>1340</v>
      </c>
      <c r="B1306" s="2" t="s">
        <v>45</v>
      </c>
      <c r="C1306" s="2" t="s">
        <v>33</v>
      </c>
      <c r="D1306" s="2" t="s">
        <v>20</v>
      </c>
      <c r="E1306" s="2">
        <v>514.94000000000005</v>
      </c>
      <c r="F1306" s="2">
        <v>15.74</v>
      </c>
      <c r="G1306" s="2">
        <v>24.06</v>
      </c>
      <c r="H1306" s="2">
        <v>2.1</v>
      </c>
      <c r="I1306" s="2">
        <v>0.3</v>
      </c>
      <c r="J1306" s="2">
        <v>27</v>
      </c>
      <c r="K1306" s="2" t="s">
        <v>29</v>
      </c>
      <c r="L1306" s="2">
        <v>2.57</v>
      </c>
      <c r="M1306" s="2" t="s">
        <v>40</v>
      </c>
      <c r="N1306" s="2">
        <v>66.36</v>
      </c>
      <c r="O1306" s="2" t="s">
        <v>24</v>
      </c>
      <c r="P1306" s="2">
        <v>5</v>
      </c>
      <c r="Q1306" s="2">
        <v>14.41</v>
      </c>
      <c r="R1306" s="3">
        <f t="shared" si="100"/>
        <v>2574.7000000000003</v>
      </c>
      <c r="S1306" s="3">
        <f t="shared" si="101"/>
        <v>7420.2854000000007</v>
      </c>
      <c r="T1306" s="3">
        <f t="shared" si="102"/>
        <v>4845.5853999999999</v>
      </c>
      <c r="U1306" s="4">
        <f t="shared" si="103"/>
        <v>0.65301873698820256</v>
      </c>
      <c r="V1306" s="5">
        <f t="shared" si="104"/>
        <v>13.233957999999999</v>
      </c>
    </row>
    <row r="1307" spans="1:22" x14ac:dyDescent="0.25">
      <c r="A1307" s="2" t="s">
        <v>1341</v>
      </c>
      <c r="B1307" s="2" t="s">
        <v>18</v>
      </c>
      <c r="C1307" s="2" t="s">
        <v>43</v>
      </c>
      <c r="D1307" s="2" t="s">
        <v>28</v>
      </c>
      <c r="E1307" s="2">
        <v>536.41</v>
      </c>
      <c r="F1307" s="2">
        <v>8.52</v>
      </c>
      <c r="G1307" s="2">
        <v>28.04</v>
      </c>
      <c r="H1307" s="2">
        <v>2.8</v>
      </c>
      <c r="I1307" s="2">
        <v>0.9</v>
      </c>
      <c r="J1307" s="2">
        <v>7</v>
      </c>
      <c r="K1307" s="2" t="s">
        <v>21</v>
      </c>
      <c r="L1307" s="2">
        <v>6.5</v>
      </c>
      <c r="M1307" s="2" t="s">
        <v>37</v>
      </c>
      <c r="N1307" s="2">
        <v>99.2</v>
      </c>
      <c r="O1307" s="2" t="s">
        <v>30</v>
      </c>
      <c r="P1307" s="2">
        <v>6.3</v>
      </c>
      <c r="Q1307" s="2">
        <v>8.92</v>
      </c>
      <c r="R1307" s="3">
        <f t="shared" si="100"/>
        <v>3379.3829999999998</v>
      </c>
      <c r="S1307" s="3">
        <f t="shared" si="101"/>
        <v>4784.7771999999995</v>
      </c>
      <c r="T1307" s="3">
        <f t="shared" si="102"/>
        <v>1405.3941999999997</v>
      </c>
      <c r="U1307" s="4">
        <f t="shared" si="103"/>
        <v>0.29372197309417036</v>
      </c>
      <c r="V1307" s="5">
        <f t="shared" si="104"/>
        <v>34.86665</v>
      </c>
    </row>
    <row r="1308" spans="1:22" x14ac:dyDescent="0.25">
      <c r="A1308" s="2" t="s">
        <v>1342</v>
      </c>
      <c r="B1308" s="2" t="s">
        <v>26</v>
      </c>
      <c r="C1308" s="2" t="s">
        <v>33</v>
      </c>
      <c r="D1308" s="2" t="s">
        <v>20</v>
      </c>
      <c r="E1308" s="2">
        <v>500.72</v>
      </c>
      <c r="F1308" s="2">
        <v>8.1300000000000008</v>
      </c>
      <c r="G1308" s="2">
        <v>36.909999999999997</v>
      </c>
      <c r="H1308" s="2">
        <v>0.3</v>
      </c>
      <c r="I1308" s="2">
        <v>0.4</v>
      </c>
      <c r="J1308" s="2">
        <v>25</v>
      </c>
      <c r="K1308" s="2" t="s">
        <v>21</v>
      </c>
      <c r="L1308" s="2">
        <v>4.13</v>
      </c>
      <c r="M1308" s="2" t="s">
        <v>22</v>
      </c>
      <c r="N1308" s="2">
        <v>53.82</v>
      </c>
      <c r="O1308" s="2" t="s">
        <v>30</v>
      </c>
      <c r="P1308" s="2">
        <v>4.3099999999999996</v>
      </c>
      <c r="Q1308" s="2">
        <v>14.52</v>
      </c>
      <c r="R1308" s="3">
        <f t="shared" si="100"/>
        <v>2158.1032</v>
      </c>
      <c r="S1308" s="3">
        <f t="shared" si="101"/>
        <v>7270.4544000000005</v>
      </c>
      <c r="T1308" s="3">
        <f t="shared" si="102"/>
        <v>5112.351200000001</v>
      </c>
      <c r="U1308" s="4">
        <f t="shared" si="103"/>
        <v>0.70316804407713507</v>
      </c>
      <c r="V1308" s="5">
        <f t="shared" si="104"/>
        <v>20.679736000000002</v>
      </c>
    </row>
    <row r="1309" spans="1:22" x14ac:dyDescent="0.25">
      <c r="A1309" s="2" t="s">
        <v>1343</v>
      </c>
      <c r="B1309" s="2" t="s">
        <v>26</v>
      </c>
      <c r="C1309" s="2" t="s">
        <v>43</v>
      </c>
      <c r="D1309" s="2" t="s">
        <v>28</v>
      </c>
      <c r="E1309" s="2">
        <v>291.35000000000002</v>
      </c>
      <c r="F1309" s="2">
        <v>15.96</v>
      </c>
      <c r="G1309" s="2">
        <v>26.93</v>
      </c>
      <c r="H1309" s="2">
        <v>3.6</v>
      </c>
      <c r="I1309" s="2">
        <v>0.1</v>
      </c>
      <c r="J1309" s="2">
        <v>19</v>
      </c>
      <c r="K1309" s="2" t="s">
        <v>21</v>
      </c>
      <c r="L1309" s="2">
        <v>5.08</v>
      </c>
      <c r="M1309" s="2" t="s">
        <v>22</v>
      </c>
      <c r="N1309" s="2">
        <v>65.319999999999993</v>
      </c>
      <c r="O1309" s="2" t="s">
        <v>24</v>
      </c>
      <c r="P1309" s="2">
        <v>6.65</v>
      </c>
      <c r="Q1309" s="2">
        <v>14.26</v>
      </c>
      <c r="R1309" s="3">
        <f t="shared" si="100"/>
        <v>1937.4775000000002</v>
      </c>
      <c r="S1309" s="3">
        <f t="shared" si="101"/>
        <v>4154.6509999999998</v>
      </c>
      <c r="T1309" s="3">
        <f t="shared" si="102"/>
        <v>2217.1734999999999</v>
      </c>
      <c r="U1309" s="4">
        <f t="shared" si="103"/>
        <v>0.53366058906030855</v>
      </c>
      <c r="V1309" s="5">
        <f t="shared" si="104"/>
        <v>14.800580000000002</v>
      </c>
    </row>
    <row r="1310" spans="1:22" x14ac:dyDescent="0.25">
      <c r="A1310" s="2" t="s">
        <v>1344</v>
      </c>
      <c r="B1310" s="2" t="s">
        <v>32</v>
      </c>
      <c r="C1310" s="2" t="s">
        <v>43</v>
      </c>
      <c r="D1310" s="2" t="s">
        <v>28</v>
      </c>
      <c r="E1310" s="2">
        <v>516.04999999999995</v>
      </c>
      <c r="F1310" s="2">
        <v>12.77</v>
      </c>
      <c r="G1310" s="2">
        <v>33.090000000000003</v>
      </c>
      <c r="H1310" s="2">
        <v>2.4</v>
      </c>
      <c r="I1310" s="2">
        <v>0</v>
      </c>
      <c r="J1310" s="2">
        <v>3</v>
      </c>
      <c r="K1310" s="2" t="s">
        <v>34</v>
      </c>
      <c r="L1310" s="2">
        <v>8.44</v>
      </c>
      <c r="M1310" s="2" t="s">
        <v>22</v>
      </c>
      <c r="N1310" s="2">
        <v>69.14</v>
      </c>
      <c r="O1310" s="2" t="s">
        <v>30</v>
      </c>
      <c r="P1310" s="2">
        <v>9</v>
      </c>
      <c r="Q1310" s="2">
        <v>11.61</v>
      </c>
      <c r="R1310" s="3">
        <f t="shared" si="100"/>
        <v>4644.45</v>
      </c>
      <c r="S1310" s="3">
        <f t="shared" si="101"/>
        <v>5991.3404999999993</v>
      </c>
      <c r="T1310" s="3">
        <f t="shared" si="102"/>
        <v>1346.8904999999995</v>
      </c>
      <c r="U1310" s="4">
        <f t="shared" si="103"/>
        <v>0.22480620155038755</v>
      </c>
      <c r="V1310" s="5">
        <f t="shared" si="104"/>
        <v>43.554619999999993</v>
      </c>
    </row>
    <row r="1311" spans="1:22" x14ac:dyDescent="0.25">
      <c r="A1311" s="2" t="s">
        <v>1345</v>
      </c>
      <c r="B1311" s="2" t="s">
        <v>26</v>
      </c>
      <c r="C1311" s="2" t="s">
        <v>33</v>
      </c>
      <c r="D1311" s="2" t="s">
        <v>28</v>
      </c>
      <c r="E1311" s="2">
        <v>721.25</v>
      </c>
      <c r="F1311" s="2">
        <v>9.31</v>
      </c>
      <c r="G1311" s="2">
        <v>34.19</v>
      </c>
      <c r="H1311" s="2">
        <v>1.7</v>
      </c>
      <c r="I1311" s="2">
        <v>0.1</v>
      </c>
      <c r="J1311" s="2">
        <v>2</v>
      </c>
      <c r="K1311" s="2" t="s">
        <v>34</v>
      </c>
      <c r="L1311" s="2">
        <v>5.24</v>
      </c>
      <c r="M1311" s="2" t="s">
        <v>40</v>
      </c>
      <c r="N1311" s="2">
        <v>74.67</v>
      </c>
      <c r="O1311" s="2" t="s">
        <v>30</v>
      </c>
      <c r="P1311" s="2">
        <v>5.13</v>
      </c>
      <c r="Q1311" s="2">
        <v>5.09</v>
      </c>
      <c r="R1311" s="3">
        <f t="shared" si="100"/>
        <v>3700.0124999999998</v>
      </c>
      <c r="S1311" s="3">
        <f t="shared" si="101"/>
        <v>3671.1624999999999</v>
      </c>
      <c r="T1311" s="3">
        <f t="shared" si="102"/>
        <v>-28.849999999999909</v>
      </c>
      <c r="U1311" s="4">
        <f t="shared" si="103"/>
        <v>-7.8585461689587178E-3</v>
      </c>
      <c r="V1311" s="5">
        <f t="shared" si="104"/>
        <v>37.793500000000002</v>
      </c>
    </row>
    <row r="1312" spans="1:22" x14ac:dyDescent="0.25">
      <c r="A1312" s="2" t="s">
        <v>1346</v>
      </c>
      <c r="B1312" s="2" t="s">
        <v>18</v>
      </c>
      <c r="C1312" s="2" t="s">
        <v>19</v>
      </c>
      <c r="D1312" s="2" t="s">
        <v>20</v>
      </c>
      <c r="E1312" s="2">
        <v>464</v>
      </c>
      <c r="F1312" s="2">
        <v>10.36</v>
      </c>
      <c r="G1312" s="2">
        <v>31.72</v>
      </c>
      <c r="H1312" s="2">
        <v>4.4000000000000004</v>
      </c>
      <c r="I1312" s="2">
        <v>1.6</v>
      </c>
      <c r="J1312" s="2">
        <v>26</v>
      </c>
      <c r="K1312" s="2" t="s">
        <v>34</v>
      </c>
      <c r="L1312" s="2">
        <v>6.7</v>
      </c>
      <c r="M1312" s="2" t="s">
        <v>22</v>
      </c>
      <c r="N1312" s="2">
        <v>50.82</v>
      </c>
      <c r="O1312" s="2" t="s">
        <v>24</v>
      </c>
      <c r="P1312" s="2">
        <v>8.68</v>
      </c>
      <c r="Q1312" s="2">
        <v>9</v>
      </c>
      <c r="R1312" s="3">
        <f t="shared" si="100"/>
        <v>4027.52</v>
      </c>
      <c r="S1312" s="3">
        <f t="shared" si="101"/>
        <v>4176</v>
      </c>
      <c r="T1312" s="3">
        <f t="shared" si="102"/>
        <v>148.48000000000002</v>
      </c>
      <c r="U1312" s="4">
        <f t="shared" si="103"/>
        <v>3.5555555555555562E-2</v>
      </c>
      <c r="V1312" s="5">
        <f t="shared" si="104"/>
        <v>31.088000000000001</v>
      </c>
    </row>
    <row r="1313" spans="1:22" x14ac:dyDescent="0.25">
      <c r="A1313" s="2" t="s">
        <v>1347</v>
      </c>
      <c r="B1313" s="2" t="s">
        <v>45</v>
      </c>
      <c r="C1313" s="2" t="s">
        <v>43</v>
      </c>
      <c r="D1313" s="2" t="s">
        <v>28</v>
      </c>
      <c r="E1313" s="2">
        <v>427.19</v>
      </c>
      <c r="F1313" s="2">
        <v>17.329999999999998</v>
      </c>
      <c r="G1313" s="2">
        <v>27.14</v>
      </c>
      <c r="H1313" s="2">
        <v>2.4</v>
      </c>
      <c r="I1313" s="2">
        <v>3.3</v>
      </c>
      <c r="J1313" s="2">
        <v>17</v>
      </c>
      <c r="K1313" s="2" t="s">
        <v>21</v>
      </c>
      <c r="L1313" s="2">
        <v>6.74</v>
      </c>
      <c r="M1313" s="2" t="s">
        <v>22</v>
      </c>
      <c r="N1313" s="2">
        <v>54.12</v>
      </c>
      <c r="O1313" s="2" t="s">
        <v>30</v>
      </c>
      <c r="P1313" s="2">
        <v>9.3800000000000008</v>
      </c>
      <c r="Q1313" s="2">
        <v>14.11</v>
      </c>
      <c r="R1313" s="3">
        <f t="shared" si="100"/>
        <v>4007.0422000000003</v>
      </c>
      <c r="S1313" s="3">
        <f t="shared" si="101"/>
        <v>6027.6508999999996</v>
      </c>
      <c r="T1313" s="3">
        <f t="shared" si="102"/>
        <v>2020.6086999999993</v>
      </c>
      <c r="U1313" s="4">
        <f t="shared" si="103"/>
        <v>0.3352232459248759</v>
      </c>
      <c r="V1313" s="5">
        <f t="shared" si="104"/>
        <v>28.792605999999999</v>
      </c>
    </row>
    <row r="1314" spans="1:22" x14ac:dyDescent="0.25">
      <c r="A1314" s="2" t="s">
        <v>1348</v>
      </c>
      <c r="B1314" s="2" t="s">
        <v>32</v>
      </c>
      <c r="C1314" s="2" t="s">
        <v>43</v>
      </c>
      <c r="D1314" s="2" t="s">
        <v>28</v>
      </c>
      <c r="E1314" s="2">
        <v>537.33000000000004</v>
      </c>
      <c r="F1314" s="2">
        <v>16.600000000000001</v>
      </c>
      <c r="G1314" s="2">
        <v>31.54</v>
      </c>
      <c r="H1314" s="2">
        <v>0.5</v>
      </c>
      <c r="I1314" s="2">
        <v>0.6</v>
      </c>
      <c r="J1314" s="2">
        <v>9</v>
      </c>
      <c r="K1314" s="2" t="s">
        <v>34</v>
      </c>
      <c r="L1314" s="2">
        <v>8.1300000000000008</v>
      </c>
      <c r="M1314" s="2" t="s">
        <v>22</v>
      </c>
      <c r="N1314" s="2">
        <v>62.89</v>
      </c>
      <c r="O1314" s="2" t="s">
        <v>30</v>
      </c>
      <c r="P1314" s="2">
        <v>3.51</v>
      </c>
      <c r="Q1314" s="2">
        <v>13.85</v>
      </c>
      <c r="R1314" s="3">
        <f t="shared" si="100"/>
        <v>1886.0282999999999</v>
      </c>
      <c r="S1314" s="3">
        <f t="shared" si="101"/>
        <v>7442.0205000000005</v>
      </c>
      <c r="T1314" s="3">
        <f t="shared" si="102"/>
        <v>5555.9922000000006</v>
      </c>
      <c r="U1314" s="4">
        <f t="shared" si="103"/>
        <v>0.74657039711191342</v>
      </c>
      <c r="V1314" s="5">
        <f t="shared" si="104"/>
        <v>43.684929000000011</v>
      </c>
    </row>
    <row r="1315" spans="1:22" x14ac:dyDescent="0.25">
      <c r="A1315" s="2" t="s">
        <v>1349</v>
      </c>
      <c r="B1315" s="2" t="s">
        <v>32</v>
      </c>
      <c r="C1315" s="2" t="s">
        <v>43</v>
      </c>
      <c r="D1315" s="2" t="s">
        <v>20</v>
      </c>
      <c r="E1315" s="2">
        <v>531.24</v>
      </c>
      <c r="F1315" s="2">
        <v>15.1</v>
      </c>
      <c r="G1315" s="2">
        <v>26.85</v>
      </c>
      <c r="H1315" s="2">
        <v>1.1000000000000001</v>
      </c>
      <c r="I1315" s="2">
        <v>0.7</v>
      </c>
      <c r="J1315" s="2">
        <v>22</v>
      </c>
      <c r="K1315" s="2" t="s">
        <v>29</v>
      </c>
      <c r="L1315" s="2">
        <v>6.56</v>
      </c>
      <c r="M1315" s="2" t="s">
        <v>40</v>
      </c>
      <c r="N1315" s="2">
        <v>77.7</v>
      </c>
      <c r="O1315" s="2" t="s">
        <v>24</v>
      </c>
      <c r="P1315" s="2">
        <v>8.2899999999999991</v>
      </c>
      <c r="Q1315" s="2">
        <v>6.87</v>
      </c>
      <c r="R1315" s="3">
        <f t="shared" si="100"/>
        <v>4403.9795999999997</v>
      </c>
      <c r="S1315" s="3">
        <f t="shared" si="101"/>
        <v>3649.6188000000002</v>
      </c>
      <c r="T1315" s="3">
        <f t="shared" si="102"/>
        <v>-754.36079999999947</v>
      </c>
      <c r="U1315" s="4">
        <f t="shared" si="103"/>
        <v>-0.20669577874818035</v>
      </c>
      <c r="V1315" s="5">
        <f t="shared" si="104"/>
        <v>34.849343999999995</v>
      </c>
    </row>
    <row r="1316" spans="1:22" x14ac:dyDescent="0.25">
      <c r="A1316" s="2" t="s">
        <v>1350</v>
      </c>
      <c r="B1316" s="2" t="s">
        <v>45</v>
      </c>
      <c r="C1316" s="2" t="s">
        <v>19</v>
      </c>
      <c r="D1316" s="2" t="s">
        <v>28</v>
      </c>
      <c r="E1316" s="2">
        <v>619.27</v>
      </c>
      <c r="F1316" s="2">
        <v>12.82</v>
      </c>
      <c r="G1316" s="2">
        <v>21.68</v>
      </c>
      <c r="H1316" s="2">
        <v>1.4</v>
      </c>
      <c r="I1316" s="2">
        <v>0.2</v>
      </c>
      <c r="J1316" s="2">
        <v>6</v>
      </c>
      <c r="K1316" s="2" t="s">
        <v>21</v>
      </c>
      <c r="L1316" s="2">
        <v>1.1200000000000001</v>
      </c>
      <c r="M1316" s="2" t="s">
        <v>37</v>
      </c>
      <c r="N1316" s="2">
        <v>88.39</v>
      </c>
      <c r="O1316" s="2" t="s">
        <v>23</v>
      </c>
      <c r="P1316" s="2">
        <v>4.79</v>
      </c>
      <c r="Q1316" s="2">
        <v>8.99</v>
      </c>
      <c r="R1316" s="3">
        <f t="shared" si="100"/>
        <v>2966.3033</v>
      </c>
      <c r="S1316" s="3">
        <f t="shared" si="101"/>
        <v>5567.2372999999998</v>
      </c>
      <c r="T1316" s="3">
        <f t="shared" si="102"/>
        <v>2600.9339999999997</v>
      </c>
      <c r="U1316" s="4">
        <f t="shared" si="103"/>
        <v>0.46718576195773076</v>
      </c>
      <c r="V1316" s="5">
        <f t="shared" si="104"/>
        <v>6.9358240000000002</v>
      </c>
    </row>
    <row r="1317" spans="1:22" x14ac:dyDescent="0.25">
      <c r="A1317" s="2" t="s">
        <v>1351</v>
      </c>
      <c r="B1317" s="2" t="s">
        <v>26</v>
      </c>
      <c r="C1317" s="2" t="s">
        <v>19</v>
      </c>
      <c r="D1317" s="2" t="s">
        <v>20</v>
      </c>
      <c r="E1317" s="2">
        <v>374.21</v>
      </c>
      <c r="F1317" s="2">
        <v>13.2</v>
      </c>
      <c r="G1317" s="2">
        <v>39.86</v>
      </c>
      <c r="H1317" s="2">
        <v>0.1</v>
      </c>
      <c r="I1317" s="2">
        <v>0.8</v>
      </c>
      <c r="J1317" s="2">
        <v>24</v>
      </c>
      <c r="K1317" s="2" t="s">
        <v>34</v>
      </c>
      <c r="L1317" s="2">
        <v>3.75</v>
      </c>
      <c r="M1317" s="2" t="s">
        <v>40</v>
      </c>
      <c r="N1317" s="2">
        <v>84.32</v>
      </c>
      <c r="O1317" s="2" t="s">
        <v>23</v>
      </c>
      <c r="P1317" s="2">
        <v>4.2300000000000004</v>
      </c>
      <c r="Q1317" s="2">
        <v>13.36</v>
      </c>
      <c r="R1317" s="3">
        <f t="shared" si="100"/>
        <v>1582.9083000000001</v>
      </c>
      <c r="S1317" s="3">
        <f t="shared" si="101"/>
        <v>4999.4455999999991</v>
      </c>
      <c r="T1317" s="3">
        <f t="shared" si="102"/>
        <v>3416.537299999999</v>
      </c>
      <c r="U1317" s="4">
        <f t="shared" si="103"/>
        <v>0.68338323353293406</v>
      </c>
      <c r="V1317" s="5">
        <f t="shared" si="104"/>
        <v>14.032874999999999</v>
      </c>
    </row>
    <row r="1318" spans="1:22" x14ac:dyDescent="0.25">
      <c r="A1318" s="2" t="s">
        <v>1352</v>
      </c>
      <c r="B1318" s="2" t="s">
        <v>45</v>
      </c>
      <c r="C1318" s="2" t="s">
        <v>27</v>
      </c>
      <c r="D1318" s="2" t="s">
        <v>20</v>
      </c>
      <c r="E1318" s="2">
        <v>573.14</v>
      </c>
      <c r="F1318" s="2">
        <v>17.75</v>
      </c>
      <c r="G1318" s="2">
        <v>22.54</v>
      </c>
      <c r="H1318" s="2">
        <v>6.2</v>
      </c>
      <c r="I1318" s="2">
        <v>0.2</v>
      </c>
      <c r="J1318" s="2">
        <v>27</v>
      </c>
      <c r="K1318" s="2" t="s">
        <v>21</v>
      </c>
      <c r="L1318" s="2">
        <v>9.9</v>
      </c>
      <c r="M1318" s="2" t="s">
        <v>37</v>
      </c>
      <c r="N1318" s="2">
        <v>78.349999999999994</v>
      </c>
      <c r="O1318" s="2" t="s">
        <v>24</v>
      </c>
      <c r="P1318" s="2">
        <v>7.21</v>
      </c>
      <c r="Q1318" s="2">
        <v>10.78</v>
      </c>
      <c r="R1318" s="3">
        <f t="shared" si="100"/>
        <v>4132.3393999999998</v>
      </c>
      <c r="S1318" s="3">
        <f t="shared" si="101"/>
        <v>6178.4491999999991</v>
      </c>
      <c r="T1318" s="3">
        <f t="shared" si="102"/>
        <v>2046.1097999999993</v>
      </c>
      <c r="U1318" s="4">
        <f t="shared" si="103"/>
        <v>0.33116883116883111</v>
      </c>
      <c r="V1318" s="5">
        <f t="shared" si="104"/>
        <v>56.740860000000005</v>
      </c>
    </row>
    <row r="1319" spans="1:22" x14ac:dyDescent="0.25">
      <c r="A1319" s="2" t="s">
        <v>1353</v>
      </c>
      <c r="B1319" s="2" t="s">
        <v>26</v>
      </c>
      <c r="C1319" s="2" t="s">
        <v>33</v>
      </c>
      <c r="D1319" s="2" t="s">
        <v>28</v>
      </c>
      <c r="E1319" s="2">
        <v>559.04</v>
      </c>
      <c r="F1319" s="2">
        <v>17.66</v>
      </c>
      <c r="G1319" s="2">
        <v>21.45</v>
      </c>
      <c r="H1319" s="2">
        <v>0.3</v>
      </c>
      <c r="I1319" s="2">
        <v>0.9</v>
      </c>
      <c r="J1319" s="2">
        <v>21</v>
      </c>
      <c r="K1319" s="2" t="s">
        <v>21</v>
      </c>
      <c r="L1319" s="2">
        <v>2.37</v>
      </c>
      <c r="M1319" s="2" t="s">
        <v>37</v>
      </c>
      <c r="N1319" s="2">
        <v>69.86</v>
      </c>
      <c r="O1319" s="2" t="s">
        <v>23</v>
      </c>
      <c r="P1319" s="2">
        <v>7.94</v>
      </c>
      <c r="Q1319" s="2">
        <v>13.47</v>
      </c>
      <c r="R1319" s="3">
        <f t="shared" si="100"/>
        <v>4438.7776000000003</v>
      </c>
      <c r="S1319" s="3">
        <f t="shared" si="101"/>
        <v>7530.2687999999998</v>
      </c>
      <c r="T1319" s="3">
        <f t="shared" si="102"/>
        <v>3091.4911999999995</v>
      </c>
      <c r="U1319" s="4">
        <f t="shared" si="103"/>
        <v>0.41054194506310315</v>
      </c>
      <c r="V1319" s="5">
        <f t="shared" si="104"/>
        <v>13.249248</v>
      </c>
    </row>
    <row r="1320" spans="1:22" x14ac:dyDescent="0.25">
      <c r="A1320" s="2" t="s">
        <v>1354</v>
      </c>
      <c r="B1320" s="2" t="s">
        <v>45</v>
      </c>
      <c r="C1320" s="2" t="s">
        <v>19</v>
      </c>
      <c r="D1320" s="2" t="s">
        <v>28</v>
      </c>
      <c r="E1320" s="2">
        <v>485.79</v>
      </c>
      <c r="F1320" s="2">
        <v>10.15</v>
      </c>
      <c r="G1320" s="2">
        <v>37.57</v>
      </c>
      <c r="H1320" s="2">
        <v>2.4</v>
      </c>
      <c r="I1320" s="2">
        <v>2.7</v>
      </c>
      <c r="J1320" s="2">
        <v>9</v>
      </c>
      <c r="K1320" s="2" t="s">
        <v>34</v>
      </c>
      <c r="L1320" s="2">
        <v>6.07</v>
      </c>
      <c r="M1320" s="2" t="s">
        <v>40</v>
      </c>
      <c r="N1320" s="2">
        <v>93.53</v>
      </c>
      <c r="O1320" s="2" t="s">
        <v>23</v>
      </c>
      <c r="P1320" s="2">
        <v>5.76</v>
      </c>
      <c r="Q1320" s="2">
        <v>13.27</v>
      </c>
      <c r="R1320" s="3">
        <f t="shared" si="100"/>
        <v>2798.1504</v>
      </c>
      <c r="S1320" s="3">
        <f t="shared" si="101"/>
        <v>6446.4332999999997</v>
      </c>
      <c r="T1320" s="3">
        <f t="shared" si="102"/>
        <v>3648.2828999999997</v>
      </c>
      <c r="U1320" s="4">
        <f t="shared" si="103"/>
        <v>0.56593820648078375</v>
      </c>
      <c r="V1320" s="5">
        <f t="shared" si="104"/>
        <v>29.487453000000002</v>
      </c>
    </row>
    <row r="1321" spans="1:22" x14ac:dyDescent="0.25">
      <c r="A1321" s="2" t="s">
        <v>1355</v>
      </c>
      <c r="B1321" s="2" t="s">
        <v>18</v>
      </c>
      <c r="C1321" s="2" t="s">
        <v>33</v>
      </c>
      <c r="D1321" s="2" t="s">
        <v>20</v>
      </c>
      <c r="E1321" s="2">
        <v>533.87</v>
      </c>
      <c r="F1321" s="2">
        <v>16.11</v>
      </c>
      <c r="G1321" s="2">
        <v>26.04</v>
      </c>
      <c r="H1321" s="2">
        <v>1.4</v>
      </c>
      <c r="I1321" s="2">
        <v>0.2</v>
      </c>
      <c r="J1321" s="2">
        <v>27</v>
      </c>
      <c r="K1321" s="2" t="s">
        <v>21</v>
      </c>
      <c r="L1321" s="2">
        <v>8.51</v>
      </c>
      <c r="M1321" s="2" t="s">
        <v>22</v>
      </c>
      <c r="N1321" s="2">
        <v>72.989999999999995</v>
      </c>
      <c r="O1321" s="2" t="s">
        <v>23</v>
      </c>
      <c r="P1321" s="2">
        <v>3.27</v>
      </c>
      <c r="Q1321" s="2">
        <v>14.07</v>
      </c>
      <c r="R1321" s="3">
        <f t="shared" si="100"/>
        <v>1745.7549000000001</v>
      </c>
      <c r="S1321" s="3">
        <f t="shared" si="101"/>
        <v>7511.5509000000002</v>
      </c>
      <c r="T1321" s="3">
        <f t="shared" si="102"/>
        <v>5765.7960000000003</v>
      </c>
      <c r="U1321" s="4">
        <f t="shared" si="103"/>
        <v>0.76759061833688702</v>
      </c>
      <c r="V1321" s="5">
        <f t="shared" si="104"/>
        <v>45.432336999999997</v>
      </c>
    </row>
    <row r="1322" spans="1:22" x14ac:dyDescent="0.25">
      <c r="A1322" s="2" t="s">
        <v>1356</v>
      </c>
      <c r="B1322" s="2" t="s">
        <v>26</v>
      </c>
      <c r="C1322" s="2" t="s">
        <v>27</v>
      </c>
      <c r="D1322" s="2" t="s">
        <v>28</v>
      </c>
      <c r="E1322" s="2">
        <v>602.95000000000005</v>
      </c>
      <c r="F1322" s="2">
        <v>9.9700000000000006</v>
      </c>
      <c r="G1322" s="2">
        <v>33.01</v>
      </c>
      <c r="H1322" s="2">
        <v>0.1</v>
      </c>
      <c r="I1322" s="2">
        <v>1.4</v>
      </c>
      <c r="J1322" s="2">
        <v>5</v>
      </c>
      <c r="K1322" s="2" t="s">
        <v>34</v>
      </c>
      <c r="L1322" s="2">
        <v>6.07</v>
      </c>
      <c r="M1322" s="2" t="s">
        <v>37</v>
      </c>
      <c r="N1322" s="2">
        <v>64.959999999999994</v>
      </c>
      <c r="O1322" s="2" t="s">
        <v>23</v>
      </c>
      <c r="P1322" s="2">
        <v>9.36</v>
      </c>
      <c r="Q1322" s="2">
        <v>6.17</v>
      </c>
      <c r="R1322" s="3">
        <f t="shared" si="100"/>
        <v>5643.6120000000001</v>
      </c>
      <c r="S1322" s="3">
        <f t="shared" si="101"/>
        <v>3720.2015000000001</v>
      </c>
      <c r="T1322" s="3">
        <f t="shared" si="102"/>
        <v>-1923.4105</v>
      </c>
      <c r="U1322" s="4">
        <f t="shared" si="103"/>
        <v>-0.51701782820097242</v>
      </c>
      <c r="V1322" s="5">
        <f t="shared" si="104"/>
        <v>36.599065000000003</v>
      </c>
    </row>
    <row r="1323" spans="1:22" x14ac:dyDescent="0.25">
      <c r="A1323" s="2" t="s">
        <v>1357</v>
      </c>
      <c r="B1323" s="2" t="s">
        <v>18</v>
      </c>
      <c r="C1323" s="2" t="s">
        <v>33</v>
      </c>
      <c r="D1323" s="2" t="s">
        <v>20</v>
      </c>
      <c r="E1323" s="2">
        <v>587.23</v>
      </c>
      <c r="F1323" s="2">
        <v>10.14</v>
      </c>
      <c r="G1323" s="2">
        <v>26.58</v>
      </c>
      <c r="H1323" s="2">
        <v>5.2</v>
      </c>
      <c r="I1323" s="2">
        <v>0</v>
      </c>
      <c r="J1323" s="2">
        <v>2</v>
      </c>
      <c r="K1323" s="2" t="s">
        <v>34</v>
      </c>
      <c r="L1323" s="2">
        <v>4.04</v>
      </c>
      <c r="M1323" s="2" t="s">
        <v>22</v>
      </c>
      <c r="N1323" s="2">
        <v>81.47</v>
      </c>
      <c r="O1323" s="2" t="s">
        <v>24</v>
      </c>
      <c r="P1323" s="2">
        <v>8.1199999999999992</v>
      </c>
      <c r="Q1323" s="2">
        <v>6.45</v>
      </c>
      <c r="R1323" s="3">
        <f t="shared" si="100"/>
        <v>4768.3076000000001</v>
      </c>
      <c r="S1323" s="3">
        <f t="shared" si="101"/>
        <v>3787.6335000000004</v>
      </c>
      <c r="T1323" s="3">
        <f t="shared" si="102"/>
        <v>-980.67409999999973</v>
      </c>
      <c r="U1323" s="4">
        <f t="shared" si="103"/>
        <v>-0.25891472868217047</v>
      </c>
      <c r="V1323" s="5">
        <f t="shared" si="104"/>
        <v>23.724091999999999</v>
      </c>
    </row>
    <row r="1324" spans="1:22" x14ac:dyDescent="0.25">
      <c r="A1324" s="2" t="s">
        <v>1358</v>
      </c>
      <c r="B1324" s="2" t="s">
        <v>32</v>
      </c>
      <c r="C1324" s="2" t="s">
        <v>19</v>
      </c>
      <c r="D1324" s="2" t="s">
        <v>20</v>
      </c>
      <c r="E1324" s="2">
        <v>385.7</v>
      </c>
      <c r="F1324" s="2">
        <v>14.76</v>
      </c>
      <c r="G1324" s="2">
        <v>27.83</v>
      </c>
      <c r="H1324" s="2">
        <v>3.8</v>
      </c>
      <c r="I1324" s="2">
        <v>0.5</v>
      </c>
      <c r="J1324" s="2">
        <v>22</v>
      </c>
      <c r="K1324" s="2" t="s">
        <v>34</v>
      </c>
      <c r="L1324" s="2">
        <v>1.26</v>
      </c>
      <c r="M1324" s="2" t="s">
        <v>37</v>
      </c>
      <c r="N1324" s="2">
        <v>84.61</v>
      </c>
      <c r="O1324" s="2" t="s">
        <v>23</v>
      </c>
      <c r="P1324" s="2">
        <v>4.9000000000000004</v>
      </c>
      <c r="Q1324" s="2">
        <v>5.83</v>
      </c>
      <c r="R1324" s="3">
        <f t="shared" si="100"/>
        <v>1889.93</v>
      </c>
      <c r="S1324" s="3">
        <f t="shared" si="101"/>
        <v>2248.6309999999999</v>
      </c>
      <c r="T1324" s="3">
        <f t="shared" si="102"/>
        <v>358.70099999999979</v>
      </c>
      <c r="U1324" s="4">
        <f t="shared" si="103"/>
        <v>0.15951972555746133</v>
      </c>
      <c r="V1324" s="5">
        <f t="shared" si="104"/>
        <v>4.85982</v>
      </c>
    </row>
    <row r="1325" spans="1:22" x14ac:dyDescent="0.25">
      <c r="A1325" s="2" t="s">
        <v>1359</v>
      </c>
      <c r="B1325" s="2" t="s">
        <v>45</v>
      </c>
      <c r="C1325" s="2" t="s">
        <v>33</v>
      </c>
      <c r="D1325" s="2" t="s">
        <v>20</v>
      </c>
      <c r="E1325" s="2">
        <v>582.02</v>
      </c>
      <c r="F1325" s="2">
        <v>12.05</v>
      </c>
      <c r="G1325" s="2">
        <v>25.24</v>
      </c>
      <c r="H1325" s="2">
        <v>1.5</v>
      </c>
      <c r="I1325" s="2">
        <v>0.1</v>
      </c>
      <c r="J1325" s="2">
        <v>15</v>
      </c>
      <c r="K1325" s="2" t="s">
        <v>21</v>
      </c>
      <c r="L1325" s="2">
        <v>3.94</v>
      </c>
      <c r="M1325" s="2" t="s">
        <v>22</v>
      </c>
      <c r="N1325" s="2">
        <v>69.92</v>
      </c>
      <c r="O1325" s="2" t="s">
        <v>23</v>
      </c>
      <c r="P1325" s="2">
        <v>6.48</v>
      </c>
      <c r="Q1325" s="2">
        <v>14.35</v>
      </c>
      <c r="R1325" s="3">
        <f t="shared" si="100"/>
        <v>3771.4896000000003</v>
      </c>
      <c r="S1325" s="3">
        <f t="shared" si="101"/>
        <v>8351.9869999999992</v>
      </c>
      <c r="T1325" s="3">
        <f t="shared" si="102"/>
        <v>4580.4973999999984</v>
      </c>
      <c r="U1325" s="4">
        <f t="shared" si="103"/>
        <v>0.54843205574912879</v>
      </c>
      <c r="V1325" s="5">
        <f t="shared" si="104"/>
        <v>22.931587999999998</v>
      </c>
    </row>
    <row r="1326" spans="1:22" x14ac:dyDescent="0.25">
      <c r="A1326" s="2" t="s">
        <v>1360</v>
      </c>
      <c r="B1326" s="2" t="s">
        <v>32</v>
      </c>
      <c r="C1326" s="2" t="s">
        <v>19</v>
      </c>
      <c r="D1326" s="2" t="s">
        <v>28</v>
      </c>
      <c r="E1326" s="2">
        <v>493.53</v>
      </c>
      <c r="F1326" s="2">
        <v>17.32</v>
      </c>
      <c r="G1326" s="2">
        <v>26.86</v>
      </c>
      <c r="H1326" s="2">
        <v>0.5</v>
      </c>
      <c r="I1326" s="2">
        <v>0.4</v>
      </c>
      <c r="J1326" s="2">
        <v>9</v>
      </c>
      <c r="K1326" s="2" t="s">
        <v>21</v>
      </c>
      <c r="L1326" s="2">
        <v>2.23</v>
      </c>
      <c r="M1326" s="2" t="s">
        <v>22</v>
      </c>
      <c r="N1326" s="2">
        <v>51.41</v>
      </c>
      <c r="O1326" s="2" t="s">
        <v>24</v>
      </c>
      <c r="P1326" s="2">
        <v>3.19</v>
      </c>
      <c r="Q1326" s="2">
        <v>9.75</v>
      </c>
      <c r="R1326" s="3">
        <f t="shared" si="100"/>
        <v>1574.3607</v>
      </c>
      <c r="S1326" s="3">
        <f t="shared" si="101"/>
        <v>4811.9174999999996</v>
      </c>
      <c r="T1326" s="3">
        <f t="shared" si="102"/>
        <v>3237.5567999999994</v>
      </c>
      <c r="U1326" s="4">
        <f t="shared" si="103"/>
        <v>0.67282051282051281</v>
      </c>
      <c r="V1326" s="5">
        <f t="shared" si="104"/>
        <v>11.005718999999999</v>
      </c>
    </row>
    <row r="1327" spans="1:22" x14ac:dyDescent="0.25">
      <c r="A1327" s="2" t="s">
        <v>1361</v>
      </c>
      <c r="B1327" s="2" t="s">
        <v>32</v>
      </c>
      <c r="C1327" s="2" t="s">
        <v>33</v>
      </c>
      <c r="D1327" s="2" t="s">
        <v>20</v>
      </c>
      <c r="E1327" s="2">
        <v>507.29</v>
      </c>
      <c r="F1327" s="2">
        <v>8.89</v>
      </c>
      <c r="G1327" s="2">
        <v>28.21</v>
      </c>
      <c r="H1327" s="2">
        <v>0.3</v>
      </c>
      <c r="I1327" s="2">
        <v>0.2</v>
      </c>
      <c r="J1327" s="2">
        <v>19</v>
      </c>
      <c r="K1327" s="2" t="s">
        <v>34</v>
      </c>
      <c r="L1327" s="2">
        <v>9.6300000000000008</v>
      </c>
      <c r="M1327" s="2" t="s">
        <v>40</v>
      </c>
      <c r="N1327" s="2">
        <v>54.71</v>
      </c>
      <c r="O1327" s="2" t="s">
        <v>24</v>
      </c>
      <c r="P1327" s="2">
        <v>5.37</v>
      </c>
      <c r="Q1327" s="2">
        <v>5.64</v>
      </c>
      <c r="R1327" s="3">
        <f t="shared" si="100"/>
        <v>2724.1473000000001</v>
      </c>
      <c r="S1327" s="3">
        <f t="shared" si="101"/>
        <v>2861.1156000000001</v>
      </c>
      <c r="T1327" s="3">
        <f t="shared" si="102"/>
        <v>136.9683</v>
      </c>
      <c r="U1327" s="4">
        <f t="shared" si="103"/>
        <v>4.7872340425531915E-2</v>
      </c>
      <c r="V1327" s="5">
        <f t="shared" si="104"/>
        <v>48.852027000000007</v>
      </c>
    </row>
    <row r="1328" spans="1:22" x14ac:dyDescent="0.25">
      <c r="A1328" s="2" t="s">
        <v>1362</v>
      </c>
      <c r="B1328" s="2" t="s">
        <v>32</v>
      </c>
      <c r="C1328" s="2" t="s">
        <v>19</v>
      </c>
      <c r="D1328" s="2" t="s">
        <v>28</v>
      </c>
      <c r="E1328" s="2">
        <v>507.32</v>
      </c>
      <c r="F1328" s="2">
        <v>13.12</v>
      </c>
      <c r="G1328" s="2">
        <v>34.409999999999997</v>
      </c>
      <c r="H1328" s="2">
        <v>0.9</v>
      </c>
      <c r="I1328" s="2">
        <v>0.5</v>
      </c>
      <c r="J1328" s="2">
        <v>10</v>
      </c>
      <c r="K1328" s="2" t="s">
        <v>21</v>
      </c>
      <c r="L1328" s="2">
        <v>7.29</v>
      </c>
      <c r="M1328" s="2" t="s">
        <v>22</v>
      </c>
      <c r="N1328" s="2">
        <v>92.28</v>
      </c>
      <c r="O1328" s="2" t="s">
        <v>23</v>
      </c>
      <c r="P1328" s="2">
        <v>6.66</v>
      </c>
      <c r="Q1328" s="2">
        <v>8.2200000000000006</v>
      </c>
      <c r="R1328" s="3">
        <f t="shared" si="100"/>
        <v>3378.7512000000002</v>
      </c>
      <c r="S1328" s="3">
        <f t="shared" si="101"/>
        <v>4170.1704</v>
      </c>
      <c r="T1328" s="3">
        <f t="shared" si="102"/>
        <v>791.41919999999982</v>
      </c>
      <c r="U1328" s="4">
        <f t="shared" si="103"/>
        <v>0.18978102189781018</v>
      </c>
      <c r="V1328" s="5">
        <f t="shared" si="104"/>
        <v>36.983627999999996</v>
      </c>
    </row>
    <row r="1329" spans="1:22" x14ac:dyDescent="0.25">
      <c r="A1329" s="2" t="s">
        <v>1363</v>
      </c>
      <c r="B1329" s="2" t="s">
        <v>32</v>
      </c>
      <c r="C1329" s="2" t="s">
        <v>19</v>
      </c>
      <c r="D1329" s="2" t="s">
        <v>28</v>
      </c>
      <c r="E1329" s="2">
        <v>484.98</v>
      </c>
      <c r="F1329" s="2">
        <v>17.190000000000001</v>
      </c>
      <c r="G1329" s="2">
        <v>30.23</v>
      </c>
      <c r="H1329" s="2">
        <v>0.6</v>
      </c>
      <c r="I1329" s="2">
        <v>0.5</v>
      </c>
      <c r="J1329" s="2">
        <v>4</v>
      </c>
      <c r="K1329" s="2" t="s">
        <v>34</v>
      </c>
      <c r="L1329" s="2">
        <v>7.62</v>
      </c>
      <c r="M1329" s="2" t="s">
        <v>37</v>
      </c>
      <c r="N1329" s="2">
        <v>52.83</v>
      </c>
      <c r="O1329" s="2" t="s">
        <v>30</v>
      </c>
      <c r="P1329" s="2">
        <v>6.62</v>
      </c>
      <c r="Q1329" s="2">
        <v>8.51</v>
      </c>
      <c r="R1329" s="3">
        <f t="shared" si="100"/>
        <v>3210.5676000000003</v>
      </c>
      <c r="S1329" s="3">
        <f t="shared" si="101"/>
        <v>4127.1797999999999</v>
      </c>
      <c r="T1329" s="3">
        <f t="shared" si="102"/>
        <v>916.61219999999958</v>
      </c>
      <c r="U1329" s="4">
        <f t="shared" si="103"/>
        <v>0.22209165687426546</v>
      </c>
      <c r="V1329" s="5">
        <f t="shared" si="104"/>
        <v>36.955476000000004</v>
      </c>
    </row>
    <row r="1330" spans="1:22" x14ac:dyDescent="0.25">
      <c r="A1330" s="2" t="s">
        <v>1364</v>
      </c>
      <c r="B1330" s="2" t="s">
        <v>45</v>
      </c>
      <c r="C1330" s="2" t="s">
        <v>33</v>
      </c>
      <c r="D1330" s="2" t="s">
        <v>28</v>
      </c>
      <c r="E1330" s="2">
        <v>619.16999999999996</v>
      </c>
      <c r="F1330" s="2">
        <v>17.04</v>
      </c>
      <c r="G1330" s="2">
        <v>38.869999999999997</v>
      </c>
      <c r="H1330" s="2">
        <v>1.4</v>
      </c>
      <c r="I1330" s="2">
        <v>0.4</v>
      </c>
      <c r="J1330" s="2">
        <v>10</v>
      </c>
      <c r="K1330" s="2" t="s">
        <v>29</v>
      </c>
      <c r="L1330" s="2">
        <v>4.6399999999999997</v>
      </c>
      <c r="M1330" s="2" t="s">
        <v>22</v>
      </c>
      <c r="N1330" s="2">
        <v>79.599999999999994</v>
      </c>
      <c r="O1330" s="2" t="s">
        <v>24</v>
      </c>
      <c r="P1330" s="2">
        <v>4.46</v>
      </c>
      <c r="Q1330" s="2">
        <v>13.1</v>
      </c>
      <c r="R1330" s="3">
        <f t="shared" si="100"/>
        <v>2761.4982</v>
      </c>
      <c r="S1330" s="3">
        <f t="shared" si="101"/>
        <v>8111.1269999999995</v>
      </c>
      <c r="T1330" s="3">
        <f t="shared" si="102"/>
        <v>5349.6287999999995</v>
      </c>
      <c r="U1330" s="4">
        <f t="shared" si="103"/>
        <v>0.65954198473282444</v>
      </c>
      <c r="V1330" s="5">
        <f t="shared" si="104"/>
        <v>28.729487999999996</v>
      </c>
    </row>
    <row r="1331" spans="1:22" x14ac:dyDescent="0.25">
      <c r="A1331" s="2" t="s">
        <v>1365</v>
      </c>
      <c r="B1331" s="2" t="s">
        <v>32</v>
      </c>
      <c r="C1331" s="2" t="s">
        <v>27</v>
      </c>
      <c r="D1331" s="2" t="s">
        <v>28</v>
      </c>
      <c r="E1331" s="2">
        <v>491.63</v>
      </c>
      <c r="F1331" s="2">
        <v>9.57</v>
      </c>
      <c r="G1331" s="2">
        <v>20.84</v>
      </c>
      <c r="H1331" s="2">
        <v>6.8</v>
      </c>
      <c r="I1331" s="2">
        <v>1.1000000000000001</v>
      </c>
      <c r="J1331" s="2">
        <v>27</v>
      </c>
      <c r="K1331" s="2" t="s">
        <v>21</v>
      </c>
      <c r="L1331" s="2">
        <v>1.54</v>
      </c>
      <c r="M1331" s="2" t="s">
        <v>22</v>
      </c>
      <c r="N1331" s="2">
        <v>59.19</v>
      </c>
      <c r="O1331" s="2" t="s">
        <v>24</v>
      </c>
      <c r="P1331" s="2">
        <v>8.44</v>
      </c>
      <c r="Q1331" s="2">
        <v>12.35</v>
      </c>
      <c r="R1331" s="3">
        <f t="shared" si="100"/>
        <v>4149.3571999999995</v>
      </c>
      <c r="S1331" s="3">
        <f t="shared" si="101"/>
        <v>6071.6305000000002</v>
      </c>
      <c r="T1331" s="3">
        <f t="shared" si="102"/>
        <v>1922.2733000000007</v>
      </c>
      <c r="U1331" s="4">
        <f t="shared" si="103"/>
        <v>0.31659919028340094</v>
      </c>
      <c r="V1331" s="5">
        <f t="shared" si="104"/>
        <v>7.5711019999999998</v>
      </c>
    </row>
    <row r="1332" spans="1:22" x14ac:dyDescent="0.25">
      <c r="A1332" s="2" t="s">
        <v>1366</v>
      </c>
      <c r="B1332" s="2" t="s">
        <v>45</v>
      </c>
      <c r="C1332" s="2" t="s">
        <v>43</v>
      </c>
      <c r="D1332" s="2" t="s">
        <v>20</v>
      </c>
      <c r="E1332" s="2">
        <v>388.05</v>
      </c>
      <c r="F1332" s="2">
        <v>11.67</v>
      </c>
      <c r="G1332" s="2">
        <v>30.06</v>
      </c>
      <c r="H1332" s="2">
        <v>1.7</v>
      </c>
      <c r="I1332" s="2">
        <v>2.5</v>
      </c>
      <c r="J1332" s="2">
        <v>8</v>
      </c>
      <c r="K1332" s="2" t="s">
        <v>21</v>
      </c>
      <c r="L1332" s="2">
        <v>3.03</v>
      </c>
      <c r="M1332" s="2" t="s">
        <v>22</v>
      </c>
      <c r="N1332" s="2">
        <v>61.45</v>
      </c>
      <c r="O1332" s="2" t="s">
        <v>23</v>
      </c>
      <c r="P1332" s="2">
        <v>5.09</v>
      </c>
      <c r="Q1332" s="2">
        <v>11.89</v>
      </c>
      <c r="R1332" s="3">
        <f t="shared" si="100"/>
        <v>1975.1745000000001</v>
      </c>
      <c r="S1332" s="3">
        <f t="shared" si="101"/>
        <v>4613.9145000000008</v>
      </c>
      <c r="T1332" s="3">
        <f t="shared" si="102"/>
        <v>2638.7400000000007</v>
      </c>
      <c r="U1332" s="4">
        <f t="shared" si="103"/>
        <v>0.57190916736753583</v>
      </c>
      <c r="V1332" s="5">
        <f t="shared" si="104"/>
        <v>11.757915000000001</v>
      </c>
    </row>
    <row r="1333" spans="1:22" x14ac:dyDescent="0.25">
      <c r="A1333" s="2" t="s">
        <v>1367</v>
      </c>
      <c r="B1333" s="2" t="s">
        <v>45</v>
      </c>
      <c r="C1333" s="2" t="s">
        <v>27</v>
      </c>
      <c r="D1333" s="2" t="s">
        <v>28</v>
      </c>
      <c r="E1333" s="2">
        <v>460.65</v>
      </c>
      <c r="F1333" s="2">
        <v>14.19</v>
      </c>
      <c r="G1333" s="2">
        <v>31.68</v>
      </c>
      <c r="H1333" s="2">
        <v>4.4000000000000004</v>
      </c>
      <c r="I1333" s="2">
        <v>0.5</v>
      </c>
      <c r="J1333" s="2">
        <v>22</v>
      </c>
      <c r="K1333" s="2" t="s">
        <v>29</v>
      </c>
      <c r="L1333" s="2">
        <v>2.97</v>
      </c>
      <c r="M1333" s="2" t="s">
        <v>37</v>
      </c>
      <c r="N1333" s="2">
        <v>63.67</v>
      </c>
      <c r="O1333" s="2" t="s">
        <v>30</v>
      </c>
      <c r="P1333" s="2">
        <v>7.06</v>
      </c>
      <c r="Q1333" s="2">
        <v>5.22</v>
      </c>
      <c r="R1333" s="3">
        <f t="shared" si="100"/>
        <v>3252.1889999999999</v>
      </c>
      <c r="S1333" s="3">
        <f t="shared" si="101"/>
        <v>2404.5929999999998</v>
      </c>
      <c r="T1333" s="3">
        <f t="shared" si="102"/>
        <v>-847.596</v>
      </c>
      <c r="U1333" s="4">
        <f t="shared" si="103"/>
        <v>-0.35249042145593873</v>
      </c>
      <c r="V1333" s="5">
        <f t="shared" si="104"/>
        <v>13.681305</v>
      </c>
    </row>
    <row r="1334" spans="1:22" x14ac:dyDescent="0.25">
      <c r="A1334" s="2" t="s">
        <v>1368</v>
      </c>
      <c r="B1334" s="2" t="s">
        <v>18</v>
      </c>
      <c r="C1334" s="2" t="s">
        <v>33</v>
      </c>
      <c r="D1334" s="2" t="s">
        <v>20</v>
      </c>
      <c r="E1334" s="2">
        <v>517.87</v>
      </c>
      <c r="F1334" s="2">
        <v>9.59</v>
      </c>
      <c r="G1334" s="2">
        <v>38.4</v>
      </c>
      <c r="H1334" s="2">
        <v>2.1</v>
      </c>
      <c r="I1334" s="2">
        <v>0.2</v>
      </c>
      <c r="J1334" s="2">
        <v>13</v>
      </c>
      <c r="K1334" s="2" t="s">
        <v>29</v>
      </c>
      <c r="L1334" s="2">
        <v>5.12</v>
      </c>
      <c r="M1334" s="2" t="s">
        <v>37</v>
      </c>
      <c r="N1334" s="2">
        <v>51.91</v>
      </c>
      <c r="O1334" s="2" t="s">
        <v>24</v>
      </c>
      <c r="P1334" s="2">
        <v>4.9000000000000004</v>
      </c>
      <c r="Q1334" s="2">
        <v>14.11</v>
      </c>
      <c r="R1334" s="3">
        <f t="shared" si="100"/>
        <v>2537.5630000000001</v>
      </c>
      <c r="S1334" s="3">
        <f t="shared" si="101"/>
        <v>7307.1457</v>
      </c>
      <c r="T1334" s="3">
        <f t="shared" si="102"/>
        <v>4769.5826999999999</v>
      </c>
      <c r="U1334" s="4">
        <f t="shared" si="103"/>
        <v>0.65272856130403967</v>
      </c>
      <c r="V1334" s="5">
        <f t="shared" si="104"/>
        <v>26.514944</v>
      </c>
    </row>
    <row r="1335" spans="1:22" x14ac:dyDescent="0.25">
      <c r="A1335" s="2" t="s">
        <v>1369</v>
      </c>
      <c r="B1335" s="2" t="s">
        <v>26</v>
      </c>
      <c r="C1335" s="2" t="s">
        <v>27</v>
      </c>
      <c r="D1335" s="2" t="s">
        <v>20</v>
      </c>
      <c r="E1335" s="2">
        <v>622.91999999999996</v>
      </c>
      <c r="F1335" s="2">
        <v>17.68</v>
      </c>
      <c r="G1335" s="2">
        <v>20.98</v>
      </c>
      <c r="H1335" s="2">
        <v>1.3</v>
      </c>
      <c r="I1335" s="2">
        <v>0.3</v>
      </c>
      <c r="J1335" s="2">
        <v>7</v>
      </c>
      <c r="K1335" s="2" t="s">
        <v>29</v>
      </c>
      <c r="L1335" s="2">
        <v>4.88</v>
      </c>
      <c r="M1335" s="2" t="s">
        <v>37</v>
      </c>
      <c r="N1335" s="2">
        <v>58.86</v>
      </c>
      <c r="O1335" s="2" t="s">
        <v>24</v>
      </c>
      <c r="P1335" s="2">
        <v>5.98</v>
      </c>
      <c r="Q1335" s="2">
        <v>7.16</v>
      </c>
      <c r="R1335" s="3">
        <f t="shared" si="100"/>
        <v>3725.0616</v>
      </c>
      <c r="S1335" s="3">
        <f t="shared" si="101"/>
        <v>4460.1071999999995</v>
      </c>
      <c r="T1335" s="3">
        <f t="shared" si="102"/>
        <v>735.04559999999947</v>
      </c>
      <c r="U1335" s="4">
        <f t="shared" si="103"/>
        <v>0.16480446927374293</v>
      </c>
      <c r="V1335" s="5">
        <f t="shared" si="104"/>
        <v>30.398495999999994</v>
      </c>
    </row>
    <row r="1336" spans="1:22" x14ac:dyDescent="0.25">
      <c r="A1336" s="2" t="s">
        <v>1370</v>
      </c>
      <c r="B1336" s="2" t="s">
        <v>26</v>
      </c>
      <c r="C1336" s="2" t="s">
        <v>19</v>
      </c>
      <c r="D1336" s="2" t="s">
        <v>28</v>
      </c>
      <c r="E1336" s="2">
        <v>560.30999999999995</v>
      </c>
      <c r="F1336" s="2">
        <v>17.149999999999999</v>
      </c>
      <c r="G1336" s="2">
        <v>31.47</v>
      </c>
      <c r="H1336" s="2">
        <v>3.9</v>
      </c>
      <c r="I1336" s="2">
        <v>1.9</v>
      </c>
      <c r="J1336" s="2">
        <v>7</v>
      </c>
      <c r="K1336" s="2" t="s">
        <v>34</v>
      </c>
      <c r="L1336" s="2">
        <v>4.62</v>
      </c>
      <c r="M1336" s="2" t="s">
        <v>22</v>
      </c>
      <c r="N1336" s="2">
        <v>82.52</v>
      </c>
      <c r="O1336" s="2" t="s">
        <v>24</v>
      </c>
      <c r="P1336" s="2">
        <v>4.45</v>
      </c>
      <c r="Q1336" s="2">
        <v>11.29</v>
      </c>
      <c r="R1336" s="3">
        <f t="shared" si="100"/>
        <v>2493.3795</v>
      </c>
      <c r="S1336" s="3">
        <f t="shared" si="101"/>
        <v>6325.8998999999985</v>
      </c>
      <c r="T1336" s="3">
        <f t="shared" si="102"/>
        <v>3832.5203999999985</v>
      </c>
      <c r="U1336" s="4">
        <f t="shared" si="103"/>
        <v>0.60584588131089445</v>
      </c>
      <c r="V1336" s="5">
        <f t="shared" si="104"/>
        <v>25.886322</v>
      </c>
    </row>
    <row r="1337" spans="1:22" x14ac:dyDescent="0.25">
      <c r="A1337" s="2" t="s">
        <v>1371</v>
      </c>
      <c r="B1337" s="2" t="s">
        <v>45</v>
      </c>
      <c r="C1337" s="2" t="s">
        <v>43</v>
      </c>
      <c r="D1337" s="2" t="s">
        <v>20</v>
      </c>
      <c r="E1337" s="2">
        <v>414.95</v>
      </c>
      <c r="F1337" s="2">
        <v>9.67</v>
      </c>
      <c r="G1337" s="2">
        <v>37.07</v>
      </c>
      <c r="H1337" s="2">
        <v>1.3</v>
      </c>
      <c r="I1337" s="2">
        <v>0.8</v>
      </c>
      <c r="J1337" s="2">
        <v>4</v>
      </c>
      <c r="K1337" s="2" t="s">
        <v>34</v>
      </c>
      <c r="L1337" s="2">
        <v>5.21</v>
      </c>
      <c r="M1337" s="2" t="s">
        <v>40</v>
      </c>
      <c r="N1337" s="2">
        <v>74.94</v>
      </c>
      <c r="O1337" s="2" t="s">
        <v>30</v>
      </c>
      <c r="P1337" s="2">
        <v>7.43</v>
      </c>
      <c r="Q1337" s="2">
        <v>5.62</v>
      </c>
      <c r="R1337" s="3">
        <f t="shared" si="100"/>
        <v>3083.0784999999996</v>
      </c>
      <c r="S1337" s="3">
        <f t="shared" si="101"/>
        <v>2332.0189999999998</v>
      </c>
      <c r="T1337" s="3">
        <f t="shared" si="102"/>
        <v>-751.05949999999984</v>
      </c>
      <c r="U1337" s="4">
        <f t="shared" si="103"/>
        <v>-0.32206405693950174</v>
      </c>
      <c r="V1337" s="5">
        <f t="shared" si="104"/>
        <v>21.618894999999998</v>
      </c>
    </row>
    <row r="1338" spans="1:22" x14ac:dyDescent="0.25">
      <c r="A1338" s="2" t="s">
        <v>1372</v>
      </c>
      <c r="B1338" s="2" t="s">
        <v>18</v>
      </c>
      <c r="C1338" s="2" t="s">
        <v>33</v>
      </c>
      <c r="D1338" s="2" t="s">
        <v>20</v>
      </c>
      <c r="E1338" s="2">
        <v>748.52</v>
      </c>
      <c r="F1338" s="2">
        <v>9.2100000000000009</v>
      </c>
      <c r="G1338" s="2">
        <v>24.84</v>
      </c>
      <c r="H1338" s="2">
        <v>4.0999999999999996</v>
      </c>
      <c r="I1338" s="2">
        <v>0.6</v>
      </c>
      <c r="J1338" s="2">
        <v>15</v>
      </c>
      <c r="K1338" s="2" t="s">
        <v>29</v>
      </c>
      <c r="L1338" s="2">
        <v>9.8800000000000008</v>
      </c>
      <c r="M1338" s="2" t="s">
        <v>37</v>
      </c>
      <c r="N1338" s="2">
        <v>89.87</v>
      </c>
      <c r="O1338" s="2" t="s">
        <v>24</v>
      </c>
      <c r="P1338" s="2">
        <v>5.98</v>
      </c>
      <c r="Q1338" s="2">
        <v>5.82</v>
      </c>
      <c r="R1338" s="3">
        <f t="shared" si="100"/>
        <v>4476.1496000000006</v>
      </c>
      <c r="S1338" s="3">
        <f t="shared" si="101"/>
        <v>4356.3864000000003</v>
      </c>
      <c r="T1338" s="3">
        <f t="shared" si="102"/>
        <v>-119.76320000000032</v>
      </c>
      <c r="U1338" s="4">
        <f t="shared" si="103"/>
        <v>-2.7491408934707976E-2</v>
      </c>
      <c r="V1338" s="5">
        <f t="shared" si="104"/>
        <v>73.953776000000005</v>
      </c>
    </row>
    <row r="1339" spans="1:22" x14ac:dyDescent="0.25">
      <c r="A1339" s="2" t="s">
        <v>1373</v>
      </c>
      <c r="B1339" s="2" t="s">
        <v>45</v>
      </c>
      <c r="C1339" s="2" t="s">
        <v>33</v>
      </c>
      <c r="D1339" s="2" t="s">
        <v>28</v>
      </c>
      <c r="E1339" s="2">
        <v>526.48</v>
      </c>
      <c r="F1339" s="2">
        <v>8.85</v>
      </c>
      <c r="G1339" s="2">
        <v>37.53</v>
      </c>
      <c r="H1339" s="2">
        <v>0.7</v>
      </c>
      <c r="I1339" s="2">
        <v>0.2</v>
      </c>
      <c r="J1339" s="2">
        <v>12</v>
      </c>
      <c r="K1339" s="2" t="s">
        <v>34</v>
      </c>
      <c r="L1339" s="2">
        <v>3.33</v>
      </c>
      <c r="M1339" s="2" t="s">
        <v>22</v>
      </c>
      <c r="N1339" s="2">
        <v>53.06</v>
      </c>
      <c r="O1339" s="2" t="s">
        <v>24</v>
      </c>
      <c r="P1339" s="2">
        <v>3.11</v>
      </c>
      <c r="Q1339" s="2">
        <v>5.0999999999999996</v>
      </c>
      <c r="R1339" s="3">
        <f t="shared" si="100"/>
        <v>1637.3527999999999</v>
      </c>
      <c r="S1339" s="3">
        <f t="shared" si="101"/>
        <v>2685.0479999999998</v>
      </c>
      <c r="T1339" s="3">
        <f t="shared" si="102"/>
        <v>1047.6951999999999</v>
      </c>
      <c r="U1339" s="4">
        <f t="shared" si="103"/>
        <v>0.39019607843137255</v>
      </c>
      <c r="V1339" s="5">
        <f t="shared" si="104"/>
        <v>17.531784000000002</v>
      </c>
    </row>
    <row r="1340" spans="1:22" x14ac:dyDescent="0.25">
      <c r="A1340" s="2" t="s">
        <v>1374</v>
      </c>
      <c r="B1340" s="2" t="s">
        <v>45</v>
      </c>
      <c r="C1340" s="2" t="s">
        <v>33</v>
      </c>
      <c r="D1340" s="2" t="s">
        <v>20</v>
      </c>
      <c r="E1340" s="2">
        <v>627.54</v>
      </c>
      <c r="F1340" s="2">
        <v>17.09</v>
      </c>
      <c r="G1340" s="2">
        <v>20.38</v>
      </c>
      <c r="H1340" s="2">
        <v>0.3</v>
      </c>
      <c r="I1340" s="2">
        <v>0.6</v>
      </c>
      <c r="J1340" s="2">
        <v>16</v>
      </c>
      <c r="K1340" s="2" t="s">
        <v>21</v>
      </c>
      <c r="L1340" s="2">
        <v>6.35</v>
      </c>
      <c r="M1340" s="2" t="s">
        <v>37</v>
      </c>
      <c r="N1340" s="2">
        <v>94.44</v>
      </c>
      <c r="O1340" s="2" t="s">
        <v>30</v>
      </c>
      <c r="P1340" s="2">
        <v>3.2</v>
      </c>
      <c r="Q1340" s="2">
        <v>10.66</v>
      </c>
      <c r="R1340" s="3">
        <f t="shared" si="100"/>
        <v>2008.1279999999999</v>
      </c>
      <c r="S1340" s="3">
        <f t="shared" si="101"/>
        <v>6689.5763999999999</v>
      </c>
      <c r="T1340" s="3">
        <f t="shared" si="102"/>
        <v>4681.4484000000002</v>
      </c>
      <c r="U1340" s="4">
        <f t="shared" si="103"/>
        <v>0.69981238273921209</v>
      </c>
      <c r="V1340" s="5">
        <f t="shared" si="104"/>
        <v>39.848789999999994</v>
      </c>
    </row>
    <row r="1341" spans="1:22" x14ac:dyDescent="0.25">
      <c r="A1341" s="2" t="s">
        <v>1375</v>
      </c>
      <c r="B1341" s="2" t="s">
        <v>45</v>
      </c>
      <c r="C1341" s="2" t="s">
        <v>43</v>
      </c>
      <c r="D1341" s="2" t="s">
        <v>20</v>
      </c>
      <c r="E1341" s="2">
        <v>484.83</v>
      </c>
      <c r="F1341" s="2">
        <v>9.94</v>
      </c>
      <c r="G1341" s="2">
        <v>34.65</v>
      </c>
      <c r="H1341" s="2">
        <v>3.9</v>
      </c>
      <c r="I1341" s="2">
        <v>0.3</v>
      </c>
      <c r="J1341" s="2">
        <v>6</v>
      </c>
      <c r="K1341" s="2" t="s">
        <v>29</v>
      </c>
      <c r="L1341" s="2">
        <v>2.78</v>
      </c>
      <c r="M1341" s="2" t="s">
        <v>40</v>
      </c>
      <c r="N1341" s="2">
        <v>99.82</v>
      </c>
      <c r="O1341" s="2" t="s">
        <v>24</v>
      </c>
      <c r="P1341" s="2">
        <v>6.3</v>
      </c>
      <c r="Q1341" s="2">
        <v>11.29</v>
      </c>
      <c r="R1341" s="3">
        <f t="shared" si="100"/>
        <v>3054.4289999999996</v>
      </c>
      <c r="S1341" s="3">
        <f t="shared" si="101"/>
        <v>5473.7306999999992</v>
      </c>
      <c r="T1341" s="3">
        <f t="shared" si="102"/>
        <v>2419.3016999999995</v>
      </c>
      <c r="U1341" s="4">
        <f t="shared" si="103"/>
        <v>0.44198405668733393</v>
      </c>
      <c r="V1341" s="5">
        <f t="shared" si="104"/>
        <v>13.478273999999999</v>
      </c>
    </row>
    <row r="1342" spans="1:22" x14ac:dyDescent="0.25">
      <c r="A1342" s="2" t="s">
        <v>1376</v>
      </c>
      <c r="B1342" s="2" t="s">
        <v>18</v>
      </c>
      <c r="C1342" s="2" t="s">
        <v>19</v>
      </c>
      <c r="D1342" s="2" t="s">
        <v>20</v>
      </c>
      <c r="E1342" s="2">
        <v>553.34</v>
      </c>
      <c r="F1342" s="2">
        <v>12.16</v>
      </c>
      <c r="G1342" s="2">
        <v>38.659999999999997</v>
      </c>
      <c r="H1342" s="2">
        <v>1.8</v>
      </c>
      <c r="I1342" s="2">
        <v>2.9</v>
      </c>
      <c r="J1342" s="2">
        <v>28</v>
      </c>
      <c r="K1342" s="2" t="s">
        <v>21</v>
      </c>
      <c r="L1342" s="2">
        <v>4.93</v>
      </c>
      <c r="M1342" s="2" t="s">
        <v>22</v>
      </c>
      <c r="N1342" s="2">
        <v>50.79</v>
      </c>
      <c r="O1342" s="2" t="s">
        <v>30</v>
      </c>
      <c r="P1342" s="2">
        <v>4.28</v>
      </c>
      <c r="Q1342" s="2">
        <v>5.5</v>
      </c>
      <c r="R1342" s="3">
        <f t="shared" si="100"/>
        <v>2368.2952000000005</v>
      </c>
      <c r="S1342" s="3">
        <f t="shared" si="101"/>
        <v>3043.3700000000003</v>
      </c>
      <c r="T1342" s="3">
        <f t="shared" si="102"/>
        <v>675.07479999999987</v>
      </c>
      <c r="U1342" s="4">
        <f t="shared" si="103"/>
        <v>0.22181818181818175</v>
      </c>
      <c r="V1342" s="5">
        <f t="shared" si="104"/>
        <v>27.279661999999998</v>
      </c>
    </row>
    <row r="1343" spans="1:22" x14ac:dyDescent="0.25">
      <c r="A1343" s="2" t="s">
        <v>1377</v>
      </c>
      <c r="B1343" s="2" t="s">
        <v>26</v>
      </c>
      <c r="C1343" s="2" t="s">
        <v>33</v>
      </c>
      <c r="D1343" s="2" t="s">
        <v>20</v>
      </c>
      <c r="E1343" s="2">
        <v>583.95000000000005</v>
      </c>
      <c r="F1343" s="2">
        <v>12.49</v>
      </c>
      <c r="G1343" s="2">
        <v>33.14</v>
      </c>
      <c r="H1343" s="2">
        <v>4.4000000000000004</v>
      </c>
      <c r="I1343" s="2">
        <v>2.2000000000000002</v>
      </c>
      <c r="J1343" s="2">
        <v>9</v>
      </c>
      <c r="K1343" s="2" t="s">
        <v>34</v>
      </c>
      <c r="L1343" s="2">
        <v>2.4</v>
      </c>
      <c r="M1343" s="2" t="s">
        <v>37</v>
      </c>
      <c r="N1343" s="2">
        <v>98.38</v>
      </c>
      <c r="O1343" s="2" t="s">
        <v>30</v>
      </c>
      <c r="P1343" s="2">
        <v>7.1</v>
      </c>
      <c r="Q1343" s="2">
        <v>7.9</v>
      </c>
      <c r="R1343" s="3">
        <f t="shared" si="100"/>
        <v>4146.0450000000001</v>
      </c>
      <c r="S1343" s="3">
        <f t="shared" si="101"/>
        <v>4613.2050000000008</v>
      </c>
      <c r="T1343" s="3">
        <f t="shared" si="102"/>
        <v>467.16000000000076</v>
      </c>
      <c r="U1343" s="4">
        <f t="shared" si="103"/>
        <v>0.10126582278481028</v>
      </c>
      <c r="V1343" s="5">
        <f t="shared" si="104"/>
        <v>14.014800000000001</v>
      </c>
    </row>
    <row r="1344" spans="1:22" x14ac:dyDescent="0.25">
      <c r="A1344" s="2" t="s">
        <v>1378</v>
      </c>
      <c r="B1344" s="2" t="s">
        <v>18</v>
      </c>
      <c r="C1344" s="2" t="s">
        <v>27</v>
      </c>
      <c r="D1344" s="2" t="s">
        <v>28</v>
      </c>
      <c r="E1344" s="2">
        <v>621.82000000000005</v>
      </c>
      <c r="F1344" s="2">
        <v>13.99</v>
      </c>
      <c r="G1344" s="2">
        <v>28.78</v>
      </c>
      <c r="H1344" s="2">
        <v>5.6</v>
      </c>
      <c r="I1344" s="2">
        <v>0.1</v>
      </c>
      <c r="J1344" s="2">
        <v>3</v>
      </c>
      <c r="K1344" s="2" t="s">
        <v>29</v>
      </c>
      <c r="L1344" s="2">
        <v>5.8</v>
      </c>
      <c r="M1344" s="2" t="s">
        <v>37</v>
      </c>
      <c r="N1344" s="2">
        <v>61.79</v>
      </c>
      <c r="O1344" s="2" t="s">
        <v>30</v>
      </c>
      <c r="P1344" s="2">
        <v>5.86</v>
      </c>
      <c r="Q1344" s="2">
        <v>13.51</v>
      </c>
      <c r="R1344" s="3">
        <f t="shared" si="100"/>
        <v>3643.8652000000006</v>
      </c>
      <c r="S1344" s="3">
        <f t="shared" si="101"/>
        <v>8400.7882000000009</v>
      </c>
      <c r="T1344" s="3">
        <f t="shared" si="102"/>
        <v>4756.9230000000007</v>
      </c>
      <c r="U1344" s="4">
        <f t="shared" si="103"/>
        <v>0.56624722427831242</v>
      </c>
      <c r="V1344" s="5">
        <f t="shared" si="104"/>
        <v>36.065559999999998</v>
      </c>
    </row>
    <row r="1345" spans="1:22" x14ac:dyDescent="0.25">
      <c r="A1345" s="2" t="s">
        <v>1379</v>
      </c>
      <c r="B1345" s="2" t="s">
        <v>32</v>
      </c>
      <c r="C1345" s="2" t="s">
        <v>33</v>
      </c>
      <c r="D1345" s="2" t="s">
        <v>20</v>
      </c>
      <c r="E1345" s="2">
        <v>605.74</v>
      </c>
      <c r="F1345" s="2">
        <v>8.7200000000000006</v>
      </c>
      <c r="G1345" s="2">
        <v>20.9</v>
      </c>
      <c r="H1345" s="2">
        <v>0.1</v>
      </c>
      <c r="I1345" s="2">
        <v>0.7</v>
      </c>
      <c r="J1345" s="2">
        <v>8</v>
      </c>
      <c r="K1345" s="2" t="s">
        <v>34</v>
      </c>
      <c r="L1345" s="2">
        <v>3.02</v>
      </c>
      <c r="M1345" s="2" t="s">
        <v>40</v>
      </c>
      <c r="N1345" s="2">
        <v>84.63</v>
      </c>
      <c r="O1345" s="2" t="s">
        <v>23</v>
      </c>
      <c r="P1345" s="2">
        <v>7.58</v>
      </c>
      <c r="Q1345" s="2">
        <v>6.01</v>
      </c>
      <c r="R1345" s="3">
        <f t="shared" si="100"/>
        <v>4591.5092000000004</v>
      </c>
      <c r="S1345" s="3">
        <f t="shared" si="101"/>
        <v>3640.4973999999997</v>
      </c>
      <c r="T1345" s="3">
        <f t="shared" si="102"/>
        <v>-951.01180000000068</v>
      </c>
      <c r="U1345" s="4">
        <f t="shared" si="103"/>
        <v>-0.26123128119800354</v>
      </c>
      <c r="V1345" s="5">
        <f t="shared" si="104"/>
        <v>18.293348000000002</v>
      </c>
    </row>
    <row r="1346" spans="1:22" x14ac:dyDescent="0.25">
      <c r="A1346" s="2" t="s">
        <v>1380</v>
      </c>
      <c r="B1346" s="2" t="s">
        <v>18</v>
      </c>
      <c r="C1346" s="2" t="s">
        <v>33</v>
      </c>
      <c r="D1346" s="2" t="s">
        <v>20</v>
      </c>
      <c r="E1346" s="2">
        <v>587.22</v>
      </c>
      <c r="F1346" s="2">
        <v>10.27</v>
      </c>
      <c r="G1346" s="2">
        <v>38.4</v>
      </c>
      <c r="H1346" s="2">
        <v>1.4</v>
      </c>
      <c r="I1346" s="2">
        <v>0.3</v>
      </c>
      <c r="J1346" s="2">
        <v>7</v>
      </c>
      <c r="K1346" s="2" t="s">
        <v>21</v>
      </c>
      <c r="L1346" s="2">
        <v>0.85</v>
      </c>
      <c r="M1346" s="2" t="s">
        <v>37</v>
      </c>
      <c r="N1346" s="2">
        <v>64.62</v>
      </c>
      <c r="O1346" s="2" t="s">
        <v>24</v>
      </c>
      <c r="P1346" s="2">
        <v>9.67</v>
      </c>
      <c r="Q1346" s="2">
        <v>7.17</v>
      </c>
      <c r="R1346" s="3">
        <f t="shared" si="100"/>
        <v>5678.4174000000003</v>
      </c>
      <c r="S1346" s="3">
        <f t="shared" si="101"/>
        <v>4210.3674000000001</v>
      </c>
      <c r="T1346" s="3">
        <f t="shared" si="102"/>
        <v>-1468.0500000000002</v>
      </c>
      <c r="U1346" s="4">
        <f t="shared" si="103"/>
        <v>-0.34867503486750351</v>
      </c>
      <c r="V1346" s="5">
        <f t="shared" si="104"/>
        <v>4.9913699999999999</v>
      </c>
    </row>
    <row r="1347" spans="1:22" x14ac:dyDescent="0.25">
      <c r="A1347" s="2" t="s">
        <v>1381</v>
      </c>
      <c r="B1347" s="2" t="s">
        <v>18</v>
      </c>
      <c r="C1347" s="2" t="s">
        <v>33</v>
      </c>
      <c r="D1347" s="2" t="s">
        <v>20</v>
      </c>
      <c r="E1347" s="2">
        <v>468.49</v>
      </c>
      <c r="F1347" s="2">
        <v>17.309999999999999</v>
      </c>
      <c r="G1347" s="2">
        <v>29.41</v>
      </c>
      <c r="H1347" s="2">
        <v>0.9</v>
      </c>
      <c r="I1347" s="2">
        <v>0.5</v>
      </c>
      <c r="J1347" s="2">
        <v>4</v>
      </c>
      <c r="K1347" s="2" t="s">
        <v>34</v>
      </c>
      <c r="L1347" s="2">
        <v>8.25</v>
      </c>
      <c r="M1347" s="2" t="s">
        <v>22</v>
      </c>
      <c r="N1347" s="2">
        <v>76.09</v>
      </c>
      <c r="O1347" s="2" t="s">
        <v>24</v>
      </c>
      <c r="P1347" s="2">
        <v>6.7</v>
      </c>
      <c r="Q1347" s="2">
        <v>9.24</v>
      </c>
      <c r="R1347" s="3">
        <f t="shared" ref="R1347:R1410" si="105">E1347*P1347</f>
        <v>3138.8830000000003</v>
      </c>
      <c r="S1347" s="3">
        <f t="shared" ref="S1347:S1410" si="106">E1347*Q1347</f>
        <v>4328.8476000000001</v>
      </c>
      <c r="T1347" s="3">
        <f t="shared" ref="T1347:T1410" si="107">S1347-R1347</f>
        <v>1189.9645999999998</v>
      </c>
      <c r="U1347" s="4">
        <f t="shared" ref="U1347:U1410" si="108">T1347/S1347</f>
        <v>0.27489177489177485</v>
      </c>
      <c r="V1347" s="5">
        <f t="shared" ref="V1347:V1410" si="109">E1347*L1347/100</f>
        <v>38.650424999999998</v>
      </c>
    </row>
    <row r="1348" spans="1:22" x14ac:dyDescent="0.25">
      <c r="A1348" s="2" t="s">
        <v>1382</v>
      </c>
      <c r="B1348" s="2" t="s">
        <v>18</v>
      </c>
      <c r="C1348" s="2" t="s">
        <v>33</v>
      </c>
      <c r="D1348" s="2" t="s">
        <v>20</v>
      </c>
      <c r="E1348" s="2">
        <v>442.83</v>
      </c>
      <c r="F1348" s="2">
        <v>17.079999999999998</v>
      </c>
      <c r="G1348" s="2">
        <v>20.58</v>
      </c>
      <c r="H1348" s="2">
        <v>2</v>
      </c>
      <c r="I1348" s="2">
        <v>2.1</v>
      </c>
      <c r="J1348" s="2">
        <v>26</v>
      </c>
      <c r="K1348" s="2" t="s">
        <v>21</v>
      </c>
      <c r="L1348" s="2">
        <v>1.72</v>
      </c>
      <c r="M1348" s="2" t="s">
        <v>22</v>
      </c>
      <c r="N1348" s="2">
        <v>75.52</v>
      </c>
      <c r="O1348" s="2" t="s">
        <v>24</v>
      </c>
      <c r="P1348" s="2">
        <v>8.51</v>
      </c>
      <c r="Q1348" s="2">
        <v>13.42</v>
      </c>
      <c r="R1348" s="3">
        <f t="shared" si="105"/>
        <v>3768.4832999999999</v>
      </c>
      <c r="S1348" s="3">
        <f t="shared" si="106"/>
        <v>5942.7785999999996</v>
      </c>
      <c r="T1348" s="3">
        <f t="shared" si="107"/>
        <v>2174.2952999999998</v>
      </c>
      <c r="U1348" s="4">
        <f t="shared" si="108"/>
        <v>0.36587183308494781</v>
      </c>
      <c r="V1348" s="5">
        <f t="shared" si="109"/>
        <v>7.616676</v>
      </c>
    </row>
    <row r="1349" spans="1:22" x14ac:dyDescent="0.25">
      <c r="A1349" s="2" t="s">
        <v>1383</v>
      </c>
      <c r="B1349" s="2" t="s">
        <v>18</v>
      </c>
      <c r="C1349" s="2" t="s">
        <v>19</v>
      </c>
      <c r="D1349" s="2" t="s">
        <v>28</v>
      </c>
      <c r="E1349" s="2">
        <v>533.26</v>
      </c>
      <c r="F1349" s="2">
        <v>15.81</v>
      </c>
      <c r="G1349" s="2">
        <v>33.799999999999997</v>
      </c>
      <c r="H1349" s="2">
        <v>3.2</v>
      </c>
      <c r="I1349" s="2">
        <v>0.7</v>
      </c>
      <c r="J1349" s="2">
        <v>13</v>
      </c>
      <c r="K1349" s="2" t="s">
        <v>34</v>
      </c>
      <c r="L1349" s="2">
        <v>4</v>
      </c>
      <c r="M1349" s="2" t="s">
        <v>40</v>
      </c>
      <c r="N1349" s="2">
        <v>68.06</v>
      </c>
      <c r="O1349" s="2" t="s">
        <v>30</v>
      </c>
      <c r="P1349" s="2">
        <v>8.27</v>
      </c>
      <c r="Q1349" s="2">
        <v>7.55</v>
      </c>
      <c r="R1349" s="3">
        <f t="shared" si="105"/>
        <v>4410.0601999999999</v>
      </c>
      <c r="S1349" s="3">
        <f t="shared" si="106"/>
        <v>4026.1129999999998</v>
      </c>
      <c r="T1349" s="3">
        <f t="shared" si="107"/>
        <v>-383.94720000000007</v>
      </c>
      <c r="U1349" s="4">
        <f t="shared" si="108"/>
        <v>-9.5364238410596047E-2</v>
      </c>
      <c r="V1349" s="5">
        <f t="shared" si="109"/>
        <v>21.330400000000001</v>
      </c>
    </row>
    <row r="1350" spans="1:22" x14ac:dyDescent="0.25">
      <c r="A1350" s="2" t="s">
        <v>1384</v>
      </c>
      <c r="B1350" s="2" t="s">
        <v>26</v>
      </c>
      <c r="C1350" s="2" t="s">
        <v>27</v>
      </c>
      <c r="D1350" s="2" t="s">
        <v>20</v>
      </c>
      <c r="E1350" s="2">
        <v>593.30999999999995</v>
      </c>
      <c r="F1350" s="2">
        <v>8.19</v>
      </c>
      <c r="G1350" s="2">
        <v>29.64</v>
      </c>
      <c r="H1350" s="2">
        <v>0.7</v>
      </c>
      <c r="I1350" s="2">
        <v>0.4</v>
      </c>
      <c r="J1350" s="2">
        <v>19</v>
      </c>
      <c r="K1350" s="2" t="s">
        <v>21</v>
      </c>
      <c r="L1350" s="2">
        <v>5.03</v>
      </c>
      <c r="M1350" s="2" t="s">
        <v>40</v>
      </c>
      <c r="N1350" s="2">
        <v>85.88</v>
      </c>
      <c r="O1350" s="2" t="s">
        <v>23</v>
      </c>
      <c r="P1350" s="2">
        <v>9.4499999999999993</v>
      </c>
      <c r="Q1350" s="2">
        <v>14.97</v>
      </c>
      <c r="R1350" s="3">
        <f t="shared" si="105"/>
        <v>5606.7794999999987</v>
      </c>
      <c r="S1350" s="3">
        <f t="shared" si="106"/>
        <v>8881.8506999999991</v>
      </c>
      <c r="T1350" s="3">
        <f t="shared" si="107"/>
        <v>3275.0712000000003</v>
      </c>
      <c r="U1350" s="4">
        <f t="shared" si="108"/>
        <v>0.36873747494989989</v>
      </c>
      <c r="V1350" s="5">
        <f t="shared" si="109"/>
        <v>29.843492999999999</v>
      </c>
    </row>
    <row r="1351" spans="1:22" x14ac:dyDescent="0.25">
      <c r="A1351" s="2" t="s">
        <v>1385</v>
      </c>
      <c r="B1351" s="2" t="s">
        <v>32</v>
      </c>
      <c r="C1351" s="2" t="s">
        <v>19</v>
      </c>
      <c r="D1351" s="2" t="s">
        <v>28</v>
      </c>
      <c r="E1351" s="2">
        <v>477.73</v>
      </c>
      <c r="F1351" s="2">
        <v>11.27</v>
      </c>
      <c r="G1351" s="2">
        <v>22.49</v>
      </c>
      <c r="H1351" s="2">
        <v>1.6</v>
      </c>
      <c r="I1351" s="2">
        <v>0.2</v>
      </c>
      <c r="J1351" s="2">
        <v>7</v>
      </c>
      <c r="K1351" s="2" t="s">
        <v>34</v>
      </c>
      <c r="L1351" s="2">
        <v>4.6100000000000003</v>
      </c>
      <c r="M1351" s="2" t="s">
        <v>40</v>
      </c>
      <c r="N1351" s="2">
        <v>79.98</v>
      </c>
      <c r="O1351" s="2" t="s">
        <v>30</v>
      </c>
      <c r="P1351" s="2">
        <v>4.5</v>
      </c>
      <c r="Q1351" s="2">
        <v>8.5500000000000007</v>
      </c>
      <c r="R1351" s="3">
        <f t="shared" si="105"/>
        <v>2149.7849999999999</v>
      </c>
      <c r="S1351" s="3">
        <f t="shared" si="106"/>
        <v>4084.5915000000005</v>
      </c>
      <c r="T1351" s="3">
        <f t="shared" si="107"/>
        <v>1934.8065000000006</v>
      </c>
      <c r="U1351" s="4">
        <f t="shared" si="108"/>
        <v>0.47368421052631587</v>
      </c>
      <c r="V1351" s="5">
        <f t="shared" si="109"/>
        <v>22.023353</v>
      </c>
    </row>
    <row r="1352" spans="1:22" x14ac:dyDescent="0.25">
      <c r="A1352" s="2" t="s">
        <v>1386</v>
      </c>
      <c r="B1352" s="2" t="s">
        <v>26</v>
      </c>
      <c r="C1352" s="2" t="s">
        <v>27</v>
      </c>
      <c r="D1352" s="2" t="s">
        <v>20</v>
      </c>
      <c r="E1352" s="2">
        <v>606.52</v>
      </c>
      <c r="F1352" s="2">
        <v>14.28</v>
      </c>
      <c r="G1352" s="2">
        <v>24.29</v>
      </c>
      <c r="H1352" s="2">
        <v>2.5</v>
      </c>
      <c r="I1352" s="2">
        <v>1.6</v>
      </c>
      <c r="J1352" s="2">
        <v>10</v>
      </c>
      <c r="K1352" s="2" t="s">
        <v>29</v>
      </c>
      <c r="L1352" s="2">
        <v>7.39</v>
      </c>
      <c r="M1352" s="2" t="s">
        <v>22</v>
      </c>
      <c r="N1352" s="2">
        <v>75.41</v>
      </c>
      <c r="O1352" s="2" t="s">
        <v>24</v>
      </c>
      <c r="P1352" s="2">
        <v>8.7899999999999991</v>
      </c>
      <c r="Q1352" s="2">
        <v>8.86</v>
      </c>
      <c r="R1352" s="3">
        <f t="shared" si="105"/>
        <v>5331.3107999999993</v>
      </c>
      <c r="S1352" s="3">
        <f t="shared" si="106"/>
        <v>5373.7671999999993</v>
      </c>
      <c r="T1352" s="3">
        <f t="shared" si="107"/>
        <v>42.456400000000031</v>
      </c>
      <c r="U1352" s="4">
        <f t="shared" si="108"/>
        <v>7.9006772009029419E-3</v>
      </c>
      <c r="V1352" s="5">
        <f t="shared" si="109"/>
        <v>44.821827999999996</v>
      </c>
    </row>
    <row r="1353" spans="1:22" x14ac:dyDescent="0.25">
      <c r="A1353" s="2" t="s">
        <v>1387</v>
      </c>
      <c r="B1353" s="2" t="s">
        <v>26</v>
      </c>
      <c r="C1353" s="2" t="s">
        <v>33</v>
      </c>
      <c r="D1353" s="2" t="s">
        <v>28</v>
      </c>
      <c r="E1353" s="2">
        <v>645.26</v>
      </c>
      <c r="F1353" s="2">
        <v>10.75</v>
      </c>
      <c r="G1353" s="2">
        <v>21.29</v>
      </c>
      <c r="H1353" s="2">
        <v>0.3</v>
      </c>
      <c r="I1353" s="2">
        <v>1</v>
      </c>
      <c r="J1353" s="2">
        <v>25</v>
      </c>
      <c r="K1353" s="2" t="s">
        <v>29</v>
      </c>
      <c r="L1353" s="2">
        <v>6.17</v>
      </c>
      <c r="M1353" s="2" t="s">
        <v>40</v>
      </c>
      <c r="N1353" s="2">
        <v>99.14</v>
      </c>
      <c r="O1353" s="2" t="s">
        <v>30</v>
      </c>
      <c r="P1353" s="2">
        <v>9.34</v>
      </c>
      <c r="Q1353" s="2">
        <v>6.22</v>
      </c>
      <c r="R1353" s="3">
        <f t="shared" si="105"/>
        <v>6026.7284</v>
      </c>
      <c r="S1353" s="3">
        <f t="shared" si="106"/>
        <v>4013.5171999999998</v>
      </c>
      <c r="T1353" s="3">
        <f t="shared" si="107"/>
        <v>-2013.2112000000002</v>
      </c>
      <c r="U1353" s="4">
        <f t="shared" si="108"/>
        <v>-0.50160771704180074</v>
      </c>
      <c r="V1353" s="5">
        <f t="shared" si="109"/>
        <v>39.812542000000001</v>
      </c>
    </row>
    <row r="1354" spans="1:22" x14ac:dyDescent="0.25">
      <c r="A1354" s="2" t="s">
        <v>1388</v>
      </c>
      <c r="B1354" s="2" t="s">
        <v>18</v>
      </c>
      <c r="C1354" s="2" t="s">
        <v>43</v>
      </c>
      <c r="D1354" s="2" t="s">
        <v>28</v>
      </c>
      <c r="E1354" s="2">
        <v>408.37</v>
      </c>
      <c r="F1354" s="2">
        <v>17.100000000000001</v>
      </c>
      <c r="G1354" s="2">
        <v>31.49</v>
      </c>
      <c r="H1354" s="2">
        <v>3.4</v>
      </c>
      <c r="I1354" s="2">
        <v>0.6</v>
      </c>
      <c r="J1354" s="2">
        <v>12</v>
      </c>
      <c r="K1354" s="2" t="s">
        <v>34</v>
      </c>
      <c r="L1354" s="2">
        <v>3.31</v>
      </c>
      <c r="M1354" s="2" t="s">
        <v>37</v>
      </c>
      <c r="N1354" s="2">
        <v>97</v>
      </c>
      <c r="O1354" s="2" t="s">
        <v>23</v>
      </c>
      <c r="P1354" s="2">
        <v>5.75</v>
      </c>
      <c r="Q1354" s="2">
        <v>11.8</v>
      </c>
      <c r="R1354" s="3">
        <f t="shared" si="105"/>
        <v>2348.1275000000001</v>
      </c>
      <c r="S1354" s="3">
        <f t="shared" si="106"/>
        <v>4818.7660000000005</v>
      </c>
      <c r="T1354" s="3">
        <f t="shared" si="107"/>
        <v>2470.6385000000005</v>
      </c>
      <c r="U1354" s="4">
        <f t="shared" si="108"/>
        <v>0.51271186440677974</v>
      </c>
      <c r="V1354" s="5">
        <f t="shared" si="109"/>
        <v>13.517047</v>
      </c>
    </row>
    <row r="1355" spans="1:22" x14ac:dyDescent="0.25">
      <c r="A1355" s="2" t="s">
        <v>1389</v>
      </c>
      <c r="B1355" s="2" t="s">
        <v>45</v>
      </c>
      <c r="C1355" s="2" t="s">
        <v>19</v>
      </c>
      <c r="D1355" s="2" t="s">
        <v>28</v>
      </c>
      <c r="E1355" s="2">
        <v>416.31</v>
      </c>
      <c r="F1355" s="2">
        <v>14.34</v>
      </c>
      <c r="G1355" s="2">
        <v>32.44</v>
      </c>
      <c r="H1355" s="2">
        <v>1.9</v>
      </c>
      <c r="I1355" s="2">
        <v>0.2</v>
      </c>
      <c r="J1355" s="2">
        <v>26</v>
      </c>
      <c r="K1355" s="2" t="s">
        <v>21</v>
      </c>
      <c r="L1355" s="2">
        <v>0.99</v>
      </c>
      <c r="M1355" s="2" t="s">
        <v>37</v>
      </c>
      <c r="N1355" s="2">
        <v>97.77</v>
      </c>
      <c r="O1355" s="2" t="s">
        <v>24</v>
      </c>
      <c r="P1355" s="2">
        <v>5.2</v>
      </c>
      <c r="Q1355" s="2">
        <v>7.43</v>
      </c>
      <c r="R1355" s="3">
        <f t="shared" si="105"/>
        <v>2164.8119999999999</v>
      </c>
      <c r="S1355" s="3">
        <f t="shared" si="106"/>
        <v>3093.1832999999997</v>
      </c>
      <c r="T1355" s="3">
        <f t="shared" si="107"/>
        <v>928.37129999999979</v>
      </c>
      <c r="U1355" s="4">
        <f t="shared" si="108"/>
        <v>0.30013458950201882</v>
      </c>
      <c r="V1355" s="5">
        <f t="shared" si="109"/>
        <v>4.1214690000000003</v>
      </c>
    </row>
    <row r="1356" spans="1:22" x14ac:dyDescent="0.25">
      <c r="A1356" s="2" t="s">
        <v>1390</v>
      </c>
      <c r="B1356" s="2" t="s">
        <v>45</v>
      </c>
      <c r="C1356" s="2" t="s">
        <v>43</v>
      </c>
      <c r="D1356" s="2" t="s">
        <v>28</v>
      </c>
      <c r="E1356" s="2">
        <v>485.96</v>
      </c>
      <c r="F1356" s="2">
        <v>8.7200000000000006</v>
      </c>
      <c r="G1356" s="2">
        <v>30.11</v>
      </c>
      <c r="H1356" s="2">
        <v>6</v>
      </c>
      <c r="I1356" s="2">
        <v>0.4</v>
      </c>
      <c r="J1356" s="2">
        <v>3</v>
      </c>
      <c r="K1356" s="2" t="s">
        <v>34</v>
      </c>
      <c r="L1356" s="2">
        <v>7.79</v>
      </c>
      <c r="M1356" s="2" t="s">
        <v>22</v>
      </c>
      <c r="N1356" s="2">
        <v>94.07</v>
      </c>
      <c r="O1356" s="2" t="s">
        <v>30</v>
      </c>
      <c r="P1356" s="2">
        <v>9.66</v>
      </c>
      <c r="Q1356" s="2">
        <v>11.29</v>
      </c>
      <c r="R1356" s="3">
        <f t="shared" si="105"/>
        <v>4694.3735999999999</v>
      </c>
      <c r="S1356" s="3">
        <f t="shared" si="106"/>
        <v>5486.4883999999993</v>
      </c>
      <c r="T1356" s="3">
        <f t="shared" si="107"/>
        <v>792.11479999999938</v>
      </c>
      <c r="U1356" s="4">
        <f t="shared" si="108"/>
        <v>0.14437555358724524</v>
      </c>
      <c r="V1356" s="5">
        <f t="shared" si="109"/>
        <v>37.856284000000002</v>
      </c>
    </row>
    <row r="1357" spans="1:22" x14ac:dyDescent="0.25">
      <c r="A1357" s="2" t="s">
        <v>1391</v>
      </c>
      <c r="B1357" s="2" t="s">
        <v>26</v>
      </c>
      <c r="C1357" s="2" t="s">
        <v>19</v>
      </c>
      <c r="D1357" s="2" t="s">
        <v>28</v>
      </c>
      <c r="E1357" s="2">
        <v>530.76</v>
      </c>
      <c r="F1357" s="2">
        <v>17.09</v>
      </c>
      <c r="G1357" s="2">
        <v>36.340000000000003</v>
      </c>
      <c r="H1357" s="2">
        <v>0.8</v>
      </c>
      <c r="I1357" s="2">
        <v>3.2</v>
      </c>
      <c r="J1357" s="2">
        <v>26</v>
      </c>
      <c r="K1357" s="2" t="s">
        <v>29</v>
      </c>
      <c r="L1357" s="2">
        <v>3.85</v>
      </c>
      <c r="M1357" s="2" t="s">
        <v>37</v>
      </c>
      <c r="N1357" s="2">
        <v>62.76</v>
      </c>
      <c r="O1357" s="2" t="s">
        <v>23</v>
      </c>
      <c r="P1357" s="2">
        <v>7.39</v>
      </c>
      <c r="Q1357" s="2">
        <v>7.23</v>
      </c>
      <c r="R1357" s="3">
        <f t="shared" si="105"/>
        <v>3922.3163999999997</v>
      </c>
      <c r="S1357" s="3">
        <f t="shared" si="106"/>
        <v>3837.3948</v>
      </c>
      <c r="T1357" s="3">
        <f t="shared" si="107"/>
        <v>-84.921599999999671</v>
      </c>
      <c r="U1357" s="4">
        <f t="shared" si="108"/>
        <v>-2.2130013831258559E-2</v>
      </c>
      <c r="V1357" s="5">
        <f t="shared" si="109"/>
        <v>20.434259999999998</v>
      </c>
    </row>
    <row r="1358" spans="1:22" x14ac:dyDescent="0.25">
      <c r="A1358" s="2" t="s">
        <v>1392</v>
      </c>
      <c r="B1358" s="2" t="s">
        <v>26</v>
      </c>
      <c r="C1358" s="2" t="s">
        <v>33</v>
      </c>
      <c r="D1358" s="2" t="s">
        <v>20</v>
      </c>
      <c r="E1358" s="2">
        <v>447.54</v>
      </c>
      <c r="F1358" s="2">
        <v>17.579999999999998</v>
      </c>
      <c r="G1358" s="2">
        <v>37.22</v>
      </c>
      <c r="H1358" s="2">
        <v>0.2</v>
      </c>
      <c r="I1358" s="2">
        <v>0.7</v>
      </c>
      <c r="J1358" s="2">
        <v>25</v>
      </c>
      <c r="K1358" s="2" t="s">
        <v>21</v>
      </c>
      <c r="L1358" s="2">
        <v>8.9499999999999993</v>
      </c>
      <c r="M1358" s="2" t="s">
        <v>40</v>
      </c>
      <c r="N1358" s="2">
        <v>67.5</v>
      </c>
      <c r="O1358" s="2" t="s">
        <v>30</v>
      </c>
      <c r="P1358" s="2">
        <v>5.66</v>
      </c>
      <c r="Q1358" s="2">
        <v>8.8800000000000008</v>
      </c>
      <c r="R1358" s="3">
        <f t="shared" si="105"/>
        <v>2533.0764000000004</v>
      </c>
      <c r="S1358" s="3">
        <f t="shared" si="106"/>
        <v>3974.1552000000006</v>
      </c>
      <c r="T1358" s="3">
        <f t="shared" si="107"/>
        <v>1441.0788000000002</v>
      </c>
      <c r="U1358" s="4">
        <f t="shared" si="108"/>
        <v>0.36261261261261263</v>
      </c>
      <c r="V1358" s="5">
        <f t="shared" si="109"/>
        <v>40.054829999999995</v>
      </c>
    </row>
    <row r="1359" spans="1:22" x14ac:dyDescent="0.25">
      <c r="A1359" s="2" t="s">
        <v>1393</v>
      </c>
      <c r="B1359" s="2" t="s">
        <v>18</v>
      </c>
      <c r="C1359" s="2" t="s">
        <v>19</v>
      </c>
      <c r="D1359" s="2" t="s">
        <v>20</v>
      </c>
      <c r="E1359" s="2">
        <v>635.22</v>
      </c>
      <c r="F1359" s="2">
        <v>8.7799999999999994</v>
      </c>
      <c r="G1359" s="2">
        <v>32.31</v>
      </c>
      <c r="H1359" s="2">
        <v>1.4</v>
      </c>
      <c r="I1359" s="2">
        <v>0.5</v>
      </c>
      <c r="J1359" s="2">
        <v>29</v>
      </c>
      <c r="K1359" s="2" t="s">
        <v>34</v>
      </c>
      <c r="L1359" s="2">
        <v>4.25</v>
      </c>
      <c r="M1359" s="2" t="s">
        <v>37</v>
      </c>
      <c r="N1359" s="2">
        <v>61.55</v>
      </c>
      <c r="O1359" s="2" t="s">
        <v>30</v>
      </c>
      <c r="P1359" s="2">
        <v>8.5399999999999991</v>
      </c>
      <c r="Q1359" s="2">
        <v>13.57</v>
      </c>
      <c r="R1359" s="3">
        <f t="shared" si="105"/>
        <v>5424.7788</v>
      </c>
      <c r="S1359" s="3">
        <f t="shared" si="106"/>
        <v>8619.9354000000003</v>
      </c>
      <c r="T1359" s="3">
        <f t="shared" si="107"/>
        <v>3195.1566000000003</v>
      </c>
      <c r="U1359" s="4">
        <f t="shared" si="108"/>
        <v>0.37067059690493737</v>
      </c>
      <c r="V1359" s="5">
        <f t="shared" si="109"/>
        <v>26.996849999999998</v>
      </c>
    </row>
    <row r="1360" spans="1:22" x14ac:dyDescent="0.25">
      <c r="A1360" s="2" t="s">
        <v>1394</v>
      </c>
      <c r="B1360" s="2" t="s">
        <v>26</v>
      </c>
      <c r="C1360" s="2" t="s">
        <v>33</v>
      </c>
      <c r="D1360" s="2" t="s">
        <v>20</v>
      </c>
      <c r="E1360" s="2">
        <v>542.41</v>
      </c>
      <c r="F1360" s="2">
        <v>13.32</v>
      </c>
      <c r="G1360" s="2">
        <v>20.260000000000002</v>
      </c>
      <c r="H1360" s="2">
        <v>0.2</v>
      </c>
      <c r="I1360" s="2">
        <v>0.7</v>
      </c>
      <c r="J1360" s="2">
        <v>24</v>
      </c>
      <c r="K1360" s="2" t="s">
        <v>34</v>
      </c>
      <c r="L1360" s="2">
        <v>7.32</v>
      </c>
      <c r="M1360" s="2" t="s">
        <v>40</v>
      </c>
      <c r="N1360" s="2">
        <v>99.31</v>
      </c>
      <c r="O1360" s="2" t="s">
        <v>24</v>
      </c>
      <c r="P1360" s="2">
        <v>5.13</v>
      </c>
      <c r="Q1360" s="2">
        <v>12.39</v>
      </c>
      <c r="R1360" s="3">
        <f t="shared" si="105"/>
        <v>2782.5632999999998</v>
      </c>
      <c r="S1360" s="3">
        <f t="shared" si="106"/>
        <v>6720.4598999999998</v>
      </c>
      <c r="T1360" s="3">
        <f t="shared" si="107"/>
        <v>3937.8966</v>
      </c>
      <c r="U1360" s="4">
        <f t="shared" si="108"/>
        <v>0.58595641646489105</v>
      </c>
      <c r="V1360" s="5">
        <f t="shared" si="109"/>
        <v>39.704411999999998</v>
      </c>
    </row>
    <row r="1361" spans="1:22" x14ac:dyDescent="0.25">
      <c r="A1361" s="2" t="s">
        <v>1395</v>
      </c>
      <c r="B1361" s="2" t="s">
        <v>18</v>
      </c>
      <c r="C1361" s="2" t="s">
        <v>19</v>
      </c>
      <c r="D1361" s="2" t="s">
        <v>28</v>
      </c>
      <c r="E1361" s="2">
        <v>503.94</v>
      </c>
      <c r="F1361" s="2">
        <v>11.03</v>
      </c>
      <c r="G1361" s="2">
        <v>33.9</v>
      </c>
      <c r="H1361" s="2">
        <v>7</v>
      </c>
      <c r="I1361" s="2">
        <v>1.5</v>
      </c>
      <c r="J1361" s="2">
        <v>12</v>
      </c>
      <c r="K1361" s="2" t="s">
        <v>21</v>
      </c>
      <c r="L1361" s="2">
        <v>9.43</v>
      </c>
      <c r="M1361" s="2" t="s">
        <v>37</v>
      </c>
      <c r="N1361" s="2">
        <v>57.63</v>
      </c>
      <c r="O1361" s="2" t="s">
        <v>23</v>
      </c>
      <c r="P1361" s="2">
        <v>4.2300000000000004</v>
      </c>
      <c r="Q1361" s="2">
        <v>6.55</v>
      </c>
      <c r="R1361" s="3">
        <f t="shared" si="105"/>
        <v>2131.6662000000001</v>
      </c>
      <c r="S1361" s="3">
        <f t="shared" si="106"/>
        <v>3300.8069999999998</v>
      </c>
      <c r="T1361" s="3">
        <f t="shared" si="107"/>
        <v>1169.1407999999997</v>
      </c>
      <c r="U1361" s="4">
        <f t="shared" si="108"/>
        <v>0.35419847328244269</v>
      </c>
      <c r="V1361" s="5">
        <f t="shared" si="109"/>
        <v>47.521541999999997</v>
      </c>
    </row>
    <row r="1362" spans="1:22" x14ac:dyDescent="0.25">
      <c r="A1362" s="2" t="s">
        <v>1396</v>
      </c>
      <c r="B1362" s="2" t="s">
        <v>45</v>
      </c>
      <c r="C1362" s="2" t="s">
        <v>33</v>
      </c>
      <c r="D1362" s="2" t="s">
        <v>20</v>
      </c>
      <c r="E1362" s="2">
        <v>356.41</v>
      </c>
      <c r="F1362" s="2">
        <v>11.93</v>
      </c>
      <c r="G1362" s="2">
        <v>28.36</v>
      </c>
      <c r="H1362" s="2">
        <v>0.1</v>
      </c>
      <c r="I1362" s="2">
        <v>0.4</v>
      </c>
      <c r="J1362" s="2">
        <v>19</v>
      </c>
      <c r="K1362" s="2" t="s">
        <v>34</v>
      </c>
      <c r="L1362" s="2">
        <v>6.69</v>
      </c>
      <c r="M1362" s="2" t="s">
        <v>22</v>
      </c>
      <c r="N1362" s="2">
        <v>68.33</v>
      </c>
      <c r="O1362" s="2" t="s">
        <v>30</v>
      </c>
      <c r="P1362" s="2">
        <v>6.81</v>
      </c>
      <c r="Q1362" s="2">
        <v>11.08</v>
      </c>
      <c r="R1362" s="3">
        <f t="shared" si="105"/>
        <v>2427.1521000000002</v>
      </c>
      <c r="S1362" s="3">
        <f t="shared" si="106"/>
        <v>3949.0228000000002</v>
      </c>
      <c r="T1362" s="3">
        <f t="shared" si="107"/>
        <v>1521.8706999999999</v>
      </c>
      <c r="U1362" s="4">
        <f t="shared" si="108"/>
        <v>0.38537906137184114</v>
      </c>
      <c r="V1362" s="5">
        <f t="shared" si="109"/>
        <v>23.843829000000007</v>
      </c>
    </row>
    <row r="1363" spans="1:22" x14ac:dyDescent="0.25">
      <c r="A1363" s="2" t="s">
        <v>1397</v>
      </c>
      <c r="B1363" s="2" t="s">
        <v>45</v>
      </c>
      <c r="C1363" s="2" t="s">
        <v>33</v>
      </c>
      <c r="D1363" s="2" t="s">
        <v>28</v>
      </c>
      <c r="E1363" s="2">
        <v>368.42</v>
      </c>
      <c r="F1363" s="2">
        <v>9.8000000000000007</v>
      </c>
      <c r="G1363" s="2">
        <v>31.31</v>
      </c>
      <c r="H1363" s="2">
        <v>2.8</v>
      </c>
      <c r="I1363" s="2">
        <v>0.2</v>
      </c>
      <c r="J1363" s="2">
        <v>15</v>
      </c>
      <c r="K1363" s="2" t="s">
        <v>29</v>
      </c>
      <c r="L1363" s="2">
        <v>4.43</v>
      </c>
      <c r="M1363" s="2" t="s">
        <v>40</v>
      </c>
      <c r="N1363" s="2">
        <v>59.95</v>
      </c>
      <c r="O1363" s="2" t="s">
        <v>23</v>
      </c>
      <c r="P1363" s="2">
        <v>6.96</v>
      </c>
      <c r="Q1363" s="2">
        <v>11.29</v>
      </c>
      <c r="R1363" s="3">
        <f t="shared" si="105"/>
        <v>2564.2031999999999</v>
      </c>
      <c r="S1363" s="3">
        <f t="shared" si="106"/>
        <v>4159.4618</v>
      </c>
      <c r="T1363" s="3">
        <f t="shared" si="107"/>
        <v>1595.2586000000001</v>
      </c>
      <c r="U1363" s="4">
        <f t="shared" si="108"/>
        <v>0.38352524357838796</v>
      </c>
      <c r="V1363" s="5">
        <f t="shared" si="109"/>
        <v>16.321006000000001</v>
      </c>
    </row>
    <row r="1364" spans="1:22" x14ac:dyDescent="0.25">
      <c r="A1364" s="2" t="s">
        <v>1398</v>
      </c>
      <c r="B1364" s="2" t="s">
        <v>32</v>
      </c>
      <c r="C1364" s="2" t="s">
        <v>27</v>
      </c>
      <c r="D1364" s="2" t="s">
        <v>28</v>
      </c>
      <c r="E1364" s="2">
        <v>528.1</v>
      </c>
      <c r="F1364" s="2">
        <v>13.78</v>
      </c>
      <c r="G1364" s="2">
        <v>32.979999999999997</v>
      </c>
      <c r="H1364" s="2">
        <v>1.5</v>
      </c>
      <c r="I1364" s="2">
        <v>0.9</v>
      </c>
      <c r="J1364" s="2">
        <v>8</v>
      </c>
      <c r="K1364" s="2" t="s">
        <v>29</v>
      </c>
      <c r="L1364" s="2">
        <v>5.89</v>
      </c>
      <c r="M1364" s="2" t="s">
        <v>37</v>
      </c>
      <c r="N1364" s="2">
        <v>61.17</v>
      </c>
      <c r="O1364" s="2" t="s">
        <v>24</v>
      </c>
      <c r="P1364" s="2">
        <v>8.7799999999999994</v>
      </c>
      <c r="Q1364" s="2">
        <v>5.91</v>
      </c>
      <c r="R1364" s="3">
        <f t="shared" si="105"/>
        <v>4636.7179999999998</v>
      </c>
      <c r="S1364" s="3">
        <f t="shared" si="106"/>
        <v>3121.0710000000004</v>
      </c>
      <c r="T1364" s="3">
        <f t="shared" si="107"/>
        <v>-1515.6469999999995</v>
      </c>
      <c r="U1364" s="4">
        <f t="shared" si="108"/>
        <v>-0.48561759729272397</v>
      </c>
      <c r="V1364" s="5">
        <f t="shared" si="109"/>
        <v>31.105090000000001</v>
      </c>
    </row>
    <row r="1365" spans="1:22" x14ac:dyDescent="0.25">
      <c r="A1365" s="2" t="s">
        <v>1399</v>
      </c>
      <c r="B1365" s="2" t="s">
        <v>45</v>
      </c>
      <c r="C1365" s="2" t="s">
        <v>33</v>
      </c>
      <c r="D1365" s="2" t="s">
        <v>20</v>
      </c>
      <c r="E1365" s="2">
        <v>286.74</v>
      </c>
      <c r="F1365" s="2">
        <v>17.579999999999998</v>
      </c>
      <c r="G1365" s="2">
        <v>27</v>
      </c>
      <c r="H1365" s="2">
        <v>0.9</v>
      </c>
      <c r="I1365" s="2">
        <v>1.1000000000000001</v>
      </c>
      <c r="J1365" s="2">
        <v>12</v>
      </c>
      <c r="K1365" s="2" t="s">
        <v>21</v>
      </c>
      <c r="L1365" s="2">
        <v>5.66</v>
      </c>
      <c r="M1365" s="2" t="s">
        <v>22</v>
      </c>
      <c r="N1365" s="2">
        <v>62.35</v>
      </c>
      <c r="O1365" s="2" t="s">
        <v>24</v>
      </c>
      <c r="P1365" s="2">
        <v>6.2</v>
      </c>
      <c r="Q1365" s="2">
        <v>9.66</v>
      </c>
      <c r="R1365" s="3">
        <f t="shared" si="105"/>
        <v>1777.788</v>
      </c>
      <c r="S1365" s="3">
        <f t="shared" si="106"/>
        <v>2769.9084000000003</v>
      </c>
      <c r="T1365" s="3">
        <f t="shared" si="107"/>
        <v>992.12040000000025</v>
      </c>
      <c r="U1365" s="4">
        <f t="shared" si="108"/>
        <v>0.35817805383022777</v>
      </c>
      <c r="V1365" s="5">
        <f t="shared" si="109"/>
        <v>16.229483999999999</v>
      </c>
    </row>
    <row r="1366" spans="1:22" x14ac:dyDescent="0.25">
      <c r="A1366" s="2" t="s">
        <v>1400</v>
      </c>
      <c r="B1366" s="2" t="s">
        <v>26</v>
      </c>
      <c r="C1366" s="2" t="s">
        <v>27</v>
      </c>
      <c r="D1366" s="2" t="s">
        <v>20</v>
      </c>
      <c r="E1366" s="2">
        <v>601.26</v>
      </c>
      <c r="F1366" s="2">
        <v>13.03</v>
      </c>
      <c r="G1366" s="2">
        <v>38.340000000000003</v>
      </c>
      <c r="H1366" s="2">
        <v>0.1</v>
      </c>
      <c r="I1366" s="2">
        <v>1.2</v>
      </c>
      <c r="J1366" s="2">
        <v>20</v>
      </c>
      <c r="K1366" s="2" t="s">
        <v>34</v>
      </c>
      <c r="L1366" s="2">
        <v>6.06</v>
      </c>
      <c r="M1366" s="2" t="s">
        <v>37</v>
      </c>
      <c r="N1366" s="2">
        <v>81.98</v>
      </c>
      <c r="O1366" s="2" t="s">
        <v>24</v>
      </c>
      <c r="P1366" s="2">
        <v>8.6999999999999993</v>
      </c>
      <c r="Q1366" s="2">
        <v>7.61</v>
      </c>
      <c r="R1366" s="3">
        <f t="shared" si="105"/>
        <v>5230.9619999999995</v>
      </c>
      <c r="S1366" s="3">
        <f t="shared" si="106"/>
        <v>4575.5886</v>
      </c>
      <c r="T1366" s="3">
        <f t="shared" si="107"/>
        <v>-655.37339999999949</v>
      </c>
      <c r="U1366" s="4">
        <f t="shared" si="108"/>
        <v>-0.14323258869908004</v>
      </c>
      <c r="V1366" s="5">
        <f t="shared" si="109"/>
        <v>36.436355999999996</v>
      </c>
    </row>
    <row r="1367" spans="1:22" x14ac:dyDescent="0.25">
      <c r="A1367" s="2" t="s">
        <v>1401</v>
      </c>
      <c r="B1367" s="2" t="s">
        <v>45</v>
      </c>
      <c r="C1367" s="2" t="s">
        <v>33</v>
      </c>
      <c r="D1367" s="2" t="s">
        <v>28</v>
      </c>
      <c r="E1367" s="2">
        <v>484.18</v>
      </c>
      <c r="F1367" s="2">
        <v>8.83</v>
      </c>
      <c r="G1367" s="2">
        <v>22.68</v>
      </c>
      <c r="H1367" s="2">
        <v>1.9</v>
      </c>
      <c r="I1367" s="2">
        <v>2.1</v>
      </c>
      <c r="J1367" s="2">
        <v>6</v>
      </c>
      <c r="K1367" s="2" t="s">
        <v>34</v>
      </c>
      <c r="L1367" s="2">
        <v>1.89</v>
      </c>
      <c r="M1367" s="2" t="s">
        <v>22</v>
      </c>
      <c r="N1367" s="2">
        <v>53.8</v>
      </c>
      <c r="O1367" s="2" t="s">
        <v>23</v>
      </c>
      <c r="P1367" s="2">
        <v>5.18</v>
      </c>
      <c r="Q1367" s="2">
        <v>9.67</v>
      </c>
      <c r="R1367" s="3">
        <f t="shared" si="105"/>
        <v>2508.0524</v>
      </c>
      <c r="S1367" s="3">
        <f t="shared" si="106"/>
        <v>4682.0205999999998</v>
      </c>
      <c r="T1367" s="3">
        <f t="shared" si="107"/>
        <v>2173.9681999999998</v>
      </c>
      <c r="U1367" s="4">
        <f t="shared" si="108"/>
        <v>0.46432264736297824</v>
      </c>
      <c r="V1367" s="5">
        <f t="shared" si="109"/>
        <v>9.1510020000000001</v>
      </c>
    </row>
    <row r="1368" spans="1:22" x14ac:dyDescent="0.25">
      <c r="A1368" s="2" t="s">
        <v>1402</v>
      </c>
      <c r="B1368" s="2" t="s">
        <v>18</v>
      </c>
      <c r="C1368" s="2" t="s">
        <v>43</v>
      </c>
      <c r="D1368" s="2" t="s">
        <v>28</v>
      </c>
      <c r="E1368" s="2">
        <v>824.31</v>
      </c>
      <c r="F1368" s="2">
        <v>14.2</v>
      </c>
      <c r="G1368" s="2">
        <v>33.43</v>
      </c>
      <c r="H1368" s="2">
        <v>1.8</v>
      </c>
      <c r="I1368" s="2">
        <v>0.5</v>
      </c>
      <c r="J1368" s="2">
        <v>28</v>
      </c>
      <c r="K1368" s="2" t="s">
        <v>29</v>
      </c>
      <c r="L1368" s="2">
        <v>7.14</v>
      </c>
      <c r="M1368" s="2" t="s">
        <v>37</v>
      </c>
      <c r="N1368" s="2">
        <v>78.63</v>
      </c>
      <c r="O1368" s="2" t="s">
        <v>23</v>
      </c>
      <c r="P1368" s="2">
        <v>7.03</v>
      </c>
      <c r="Q1368" s="2">
        <v>12.77</v>
      </c>
      <c r="R1368" s="3">
        <f t="shared" si="105"/>
        <v>5794.8993</v>
      </c>
      <c r="S1368" s="3">
        <f t="shared" si="106"/>
        <v>10526.438699999999</v>
      </c>
      <c r="T1368" s="3">
        <f t="shared" si="107"/>
        <v>4731.5393999999987</v>
      </c>
      <c r="U1368" s="4">
        <f t="shared" si="108"/>
        <v>0.44949099451840246</v>
      </c>
      <c r="V1368" s="5">
        <f t="shared" si="109"/>
        <v>58.855733999999991</v>
      </c>
    </row>
    <row r="1369" spans="1:22" x14ac:dyDescent="0.25">
      <c r="A1369" s="2" t="s">
        <v>1403</v>
      </c>
      <c r="B1369" s="2" t="s">
        <v>45</v>
      </c>
      <c r="C1369" s="2" t="s">
        <v>33</v>
      </c>
      <c r="D1369" s="2" t="s">
        <v>20</v>
      </c>
      <c r="E1369" s="2">
        <v>730.79</v>
      </c>
      <c r="F1369" s="2">
        <v>11.4</v>
      </c>
      <c r="G1369" s="2">
        <v>20.09</v>
      </c>
      <c r="H1369" s="2">
        <v>0.7</v>
      </c>
      <c r="I1369" s="2">
        <v>0.1</v>
      </c>
      <c r="J1369" s="2">
        <v>10</v>
      </c>
      <c r="K1369" s="2" t="s">
        <v>21</v>
      </c>
      <c r="L1369" s="2">
        <v>1.88</v>
      </c>
      <c r="M1369" s="2" t="s">
        <v>40</v>
      </c>
      <c r="N1369" s="2">
        <v>90.96</v>
      </c>
      <c r="O1369" s="2" t="s">
        <v>30</v>
      </c>
      <c r="P1369" s="2">
        <v>4.46</v>
      </c>
      <c r="Q1369" s="2">
        <v>6.58</v>
      </c>
      <c r="R1369" s="3">
        <f t="shared" si="105"/>
        <v>3259.3233999999998</v>
      </c>
      <c r="S1369" s="3">
        <f t="shared" si="106"/>
        <v>4808.5981999999995</v>
      </c>
      <c r="T1369" s="3">
        <f t="shared" si="107"/>
        <v>1549.2747999999997</v>
      </c>
      <c r="U1369" s="4">
        <f t="shared" si="108"/>
        <v>0.32218844984802431</v>
      </c>
      <c r="V1369" s="5">
        <f t="shared" si="109"/>
        <v>13.738852</v>
      </c>
    </row>
    <row r="1370" spans="1:22" x14ac:dyDescent="0.25">
      <c r="A1370" s="2" t="s">
        <v>1404</v>
      </c>
      <c r="B1370" s="2" t="s">
        <v>32</v>
      </c>
      <c r="C1370" s="2" t="s">
        <v>43</v>
      </c>
      <c r="D1370" s="2" t="s">
        <v>20</v>
      </c>
      <c r="E1370" s="2">
        <v>481.86</v>
      </c>
      <c r="F1370" s="2">
        <v>16.559999999999999</v>
      </c>
      <c r="G1370" s="2">
        <v>38.49</v>
      </c>
      <c r="H1370" s="2">
        <v>4.8</v>
      </c>
      <c r="I1370" s="2">
        <v>3.2</v>
      </c>
      <c r="J1370" s="2">
        <v>2</v>
      </c>
      <c r="K1370" s="2" t="s">
        <v>21</v>
      </c>
      <c r="L1370" s="2">
        <v>0.64</v>
      </c>
      <c r="M1370" s="2" t="s">
        <v>40</v>
      </c>
      <c r="N1370" s="2">
        <v>88.33</v>
      </c>
      <c r="O1370" s="2" t="s">
        <v>23</v>
      </c>
      <c r="P1370" s="2">
        <v>5.7</v>
      </c>
      <c r="Q1370" s="2">
        <v>6.23</v>
      </c>
      <c r="R1370" s="3">
        <f t="shared" si="105"/>
        <v>2746.6020000000003</v>
      </c>
      <c r="S1370" s="3">
        <f t="shared" si="106"/>
        <v>3001.9878000000003</v>
      </c>
      <c r="T1370" s="3">
        <f t="shared" si="107"/>
        <v>255.38580000000002</v>
      </c>
      <c r="U1370" s="4">
        <f t="shared" si="108"/>
        <v>8.5072231139646862E-2</v>
      </c>
      <c r="V1370" s="5">
        <f t="shared" si="109"/>
        <v>3.083904</v>
      </c>
    </row>
    <row r="1371" spans="1:22" x14ac:dyDescent="0.25">
      <c r="A1371" s="2" t="s">
        <v>1405</v>
      </c>
      <c r="B1371" s="2" t="s">
        <v>45</v>
      </c>
      <c r="C1371" s="2" t="s">
        <v>43</v>
      </c>
      <c r="D1371" s="2" t="s">
        <v>20</v>
      </c>
      <c r="E1371" s="2">
        <v>489.37</v>
      </c>
      <c r="F1371" s="2">
        <v>12.35</v>
      </c>
      <c r="G1371" s="2">
        <v>22.25</v>
      </c>
      <c r="H1371" s="2">
        <v>0.7</v>
      </c>
      <c r="I1371" s="2">
        <v>0.6</v>
      </c>
      <c r="J1371" s="2">
        <v>24</v>
      </c>
      <c r="K1371" s="2" t="s">
        <v>21</v>
      </c>
      <c r="L1371" s="2">
        <v>6.44</v>
      </c>
      <c r="M1371" s="2" t="s">
        <v>40</v>
      </c>
      <c r="N1371" s="2">
        <v>57.56</v>
      </c>
      <c r="O1371" s="2" t="s">
        <v>24</v>
      </c>
      <c r="P1371" s="2">
        <v>9</v>
      </c>
      <c r="Q1371" s="2">
        <v>7.69</v>
      </c>
      <c r="R1371" s="3">
        <f t="shared" si="105"/>
        <v>4404.33</v>
      </c>
      <c r="S1371" s="3">
        <f t="shared" si="106"/>
        <v>3763.2553000000003</v>
      </c>
      <c r="T1371" s="3">
        <f t="shared" si="107"/>
        <v>-641.07469999999967</v>
      </c>
      <c r="U1371" s="4">
        <f t="shared" si="108"/>
        <v>-0.17035110533159939</v>
      </c>
      <c r="V1371" s="5">
        <f t="shared" si="109"/>
        <v>31.515428</v>
      </c>
    </row>
    <row r="1372" spans="1:22" x14ac:dyDescent="0.25">
      <c r="A1372" s="2" t="s">
        <v>1406</v>
      </c>
      <c r="B1372" s="2" t="s">
        <v>18</v>
      </c>
      <c r="C1372" s="2" t="s">
        <v>33</v>
      </c>
      <c r="D1372" s="2" t="s">
        <v>20</v>
      </c>
      <c r="E1372" s="2">
        <v>599.55999999999995</v>
      </c>
      <c r="F1372" s="2">
        <v>9.93</v>
      </c>
      <c r="G1372" s="2">
        <v>21.9</v>
      </c>
      <c r="H1372" s="2">
        <v>1.2</v>
      </c>
      <c r="I1372" s="2">
        <v>1</v>
      </c>
      <c r="J1372" s="2">
        <v>13</v>
      </c>
      <c r="K1372" s="2" t="s">
        <v>29</v>
      </c>
      <c r="L1372" s="2">
        <v>1.61</v>
      </c>
      <c r="M1372" s="2" t="s">
        <v>40</v>
      </c>
      <c r="N1372" s="2">
        <v>95.74</v>
      </c>
      <c r="O1372" s="2" t="s">
        <v>30</v>
      </c>
      <c r="P1372" s="2">
        <v>4.51</v>
      </c>
      <c r="Q1372" s="2">
        <v>14.52</v>
      </c>
      <c r="R1372" s="3">
        <f t="shared" si="105"/>
        <v>2704.0155999999997</v>
      </c>
      <c r="S1372" s="3">
        <f t="shared" si="106"/>
        <v>8705.6111999999994</v>
      </c>
      <c r="T1372" s="3">
        <f t="shared" si="107"/>
        <v>6001.5955999999996</v>
      </c>
      <c r="U1372" s="4">
        <f t="shared" si="108"/>
        <v>0.68939393939393945</v>
      </c>
      <c r="V1372" s="5">
        <f t="shared" si="109"/>
        <v>9.6529159999999994</v>
      </c>
    </row>
    <row r="1373" spans="1:22" x14ac:dyDescent="0.25">
      <c r="A1373" s="2" t="s">
        <v>1407</v>
      </c>
      <c r="B1373" s="2" t="s">
        <v>18</v>
      </c>
      <c r="C1373" s="2" t="s">
        <v>43</v>
      </c>
      <c r="D1373" s="2" t="s">
        <v>28</v>
      </c>
      <c r="E1373" s="2">
        <v>670.32</v>
      </c>
      <c r="F1373" s="2">
        <v>9.91</v>
      </c>
      <c r="G1373" s="2">
        <v>26.66</v>
      </c>
      <c r="H1373" s="2">
        <v>1.6</v>
      </c>
      <c r="I1373" s="2">
        <v>1.1000000000000001</v>
      </c>
      <c r="J1373" s="2">
        <v>25</v>
      </c>
      <c r="K1373" s="2" t="s">
        <v>29</v>
      </c>
      <c r="L1373" s="2">
        <v>7.82</v>
      </c>
      <c r="M1373" s="2" t="s">
        <v>40</v>
      </c>
      <c r="N1373" s="2">
        <v>88.5</v>
      </c>
      <c r="O1373" s="2" t="s">
        <v>23</v>
      </c>
      <c r="P1373" s="2">
        <v>8.67</v>
      </c>
      <c r="Q1373" s="2">
        <v>12.48</v>
      </c>
      <c r="R1373" s="3">
        <f t="shared" si="105"/>
        <v>5811.6744000000008</v>
      </c>
      <c r="S1373" s="3">
        <f t="shared" si="106"/>
        <v>8365.5936000000002</v>
      </c>
      <c r="T1373" s="3">
        <f t="shared" si="107"/>
        <v>2553.9191999999994</v>
      </c>
      <c r="U1373" s="4">
        <f t="shared" si="108"/>
        <v>0.30528846153846145</v>
      </c>
      <c r="V1373" s="5">
        <f t="shared" si="109"/>
        <v>52.419024000000007</v>
      </c>
    </row>
    <row r="1374" spans="1:22" x14ac:dyDescent="0.25">
      <c r="A1374" s="2" t="s">
        <v>1408</v>
      </c>
      <c r="B1374" s="2" t="s">
        <v>26</v>
      </c>
      <c r="C1374" s="2" t="s">
        <v>27</v>
      </c>
      <c r="D1374" s="2" t="s">
        <v>20</v>
      </c>
      <c r="E1374" s="2">
        <v>336.2</v>
      </c>
      <c r="F1374" s="2">
        <v>15.69</v>
      </c>
      <c r="G1374" s="2">
        <v>27.47</v>
      </c>
      <c r="H1374" s="2">
        <v>0.2</v>
      </c>
      <c r="I1374" s="2">
        <v>0.8</v>
      </c>
      <c r="J1374" s="2">
        <v>7</v>
      </c>
      <c r="K1374" s="2" t="s">
        <v>21</v>
      </c>
      <c r="L1374" s="2">
        <v>8.73</v>
      </c>
      <c r="M1374" s="2" t="s">
        <v>37</v>
      </c>
      <c r="N1374" s="2">
        <v>50.27</v>
      </c>
      <c r="O1374" s="2" t="s">
        <v>24</v>
      </c>
      <c r="P1374" s="2">
        <v>4.9800000000000004</v>
      </c>
      <c r="Q1374" s="2">
        <v>5.19</v>
      </c>
      <c r="R1374" s="3">
        <f t="shared" si="105"/>
        <v>1674.2760000000001</v>
      </c>
      <c r="S1374" s="3">
        <f t="shared" si="106"/>
        <v>1744.8780000000002</v>
      </c>
      <c r="T1374" s="3">
        <f t="shared" si="107"/>
        <v>70.602000000000089</v>
      </c>
      <c r="U1374" s="4">
        <f t="shared" si="108"/>
        <v>4.0462427745664789E-2</v>
      </c>
      <c r="V1374" s="5">
        <f t="shared" si="109"/>
        <v>29.350259999999999</v>
      </c>
    </row>
    <row r="1375" spans="1:22" x14ac:dyDescent="0.25">
      <c r="A1375" s="2" t="s">
        <v>1409</v>
      </c>
      <c r="B1375" s="2" t="s">
        <v>45</v>
      </c>
      <c r="C1375" s="2" t="s">
        <v>19</v>
      </c>
      <c r="D1375" s="2" t="s">
        <v>20</v>
      </c>
      <c r="E1375" s="2">
        <v>321.36</v>
      </c>
      <c r="F1375" s="2">
        <v>10.66</v>
      </c>
      <c r="G1375" s="2">
        <v>24.29</v>
      </c>
      <c r="H1375" s="2">
        <v>5.4</v>
      </c>
      <c r="I1375" s="2">
        <v>0.2</v>
      </c>
      <c r="J1375" s="2">
        <v>8</v>
      </c>
      <c r="K1375" s="2" t="s">
        <v>21</v>
      </c>
      <c r="L1375" s="2">
        <v>9.4700000000000006</v>
      </c>
      <c r="M1375" s="2" t="s">
        <v>37</v>
      </c>
      <c r="N1375" s="2">
        <v>86.87</v>
      </c>
      <c r="O1375" s="2" t="s">
        <v>24</v>
      </c>
      <c r="P1375" s="2">
        <v>3.24</v>
      </c>
      <c r="Q1375" s="2">
        <v>9.01</v>
      </c>
      <c r="R1375" s="3">
        <f t="shared" si="105"/>
        <v>1041.2064</v>
      </c>
      <c r="S1375" s="3">
        <f t="shared" si="106"/>
        <v>2895.4536000000003</v>
      </c>
      <c r="T1375" s="3">
        <f t="shared" si="107"/>
        <v>1854.2472000000002</v>
      </c>
      <c r="U1375" s="4">
        <f t="shared" si="108"/>
        <v>0.64039955604883469</v>
      </c>
      <c r="V1375" s="5">
        <f t="shared" si="109"/>
        <v>30.432792000000003</v>
      </c>
    </row>
    <row r="1376" spans="1:22" x14ac:dyDescent="0.25">
      <c r="A1376" s="2" t="s">
        <v>1410</v>
      </c>
      <c r="B1376" s="2" t="s">
        <v>18</v>
      </c>
      <c r="C1376" s="2" t="s">
        <v>33</v>
      </c>
      <c r="D1376" s="2" t="s">
        <v>20</v>
      </c>
      <c r="E1376" s="2">
        <v>437.8</v>
      </c>
      <c r="F1376" s="2">
        <v>15.67</v>
      </c>
      <c r="G1376" s="2">
        <v>31.7</v>
      </c>
      <c r="H1376" s="2">
        <v>0.9</v>
      </c>
      <c r="I1376" s="2">
        <v>1.4</v>
      </c>
      <c r="J1376" s="2">
        <v>23</v>
      </c>
      <c r="K1376" s="2" t="s">
        <v>34</v>
      </c>
      <c r="L1376" s="2">
        <v>6.81</v>
      </c>
      <c r="M1376" s="2" t="s">
        <v>37</v>
      </c>
      <c r="N1376" s="2">
        <v>86.87</v>
      </c>
      <c r="O1376" s="2" t="s">
        <v>30</v>
      </c>
      <c r="P1376" s="2">
        <v>3.77</v>
      </c>
      <c r="Q1376" s="2">
        <v>7.57</v>
      </c>
      <c r="R1376" s="3">
        <f t="shared" si="105"/>
        <v>1650.5060000000001</v>
      </c>
      <c r="S1376" s="3">
        <f t="shared" si="106"/>
        <v>3314.1460000000002</v>
      </c>
      <c r="T1376" s="3">
        <f t="shared" si="107"/>
        <v>1663.64</v>
      </c>
      <c r="U1376" s="4">
        <f t="shared" si="108"/>
        <v>0.50198150594451785</v>
      </c>
      <c r="V1376" s="5">
        <f t="shared" si="109"/>
        <v>29.81418</v>
      </c>
    </row>
    <row r="1377" spans="1:22" x14ac:dyDescent="0.25">
      <c r="A1377" s="2" t="s">
        <v>1411</v>
      </c>
      <c r="B1377" s="2" t="s">
        <v>32</v>
      </c>
      <c r="C1377" s="2" t="s">
        <v>43</v>
      </c>
      <c r="D1377" s="2" t="s">
        <v>28</v>
      </c>
      <c r="E1377" s="2">
        <v>558.27</v>
      </c>
      <c r="F1377" s="2">
        <v>10.06</v>
      </c>
      <c r="G1377" s="2">
        <v>28.86</v>
      </c>
      <c r="H1377" s="2">
        <v>0.2</v>
      </c>
      <c r="I1377" s="2">
        <v>1.6</v>
      </c>
      <c r="J1377" s="2">
        <v>16</v>
      </c>
      <c r="K1377" s="2" t="s">
        <v>34</v>
      </c>
      <c r="L1377" s="2">
        <v>5.08</v>
      </c>
      <c r="M1377" s="2" t="s">
        <v>37</v>
      </c>
      <c r="N1377" s="2">
        <v>74.84</v>
      </c>
      <c r="O1377" s="2" t="s">
        <v>24</v>
      </c>
      <c r="P1377" s="2">
        <v>8.2200000000000006</v>
      </c>
      <c r="Q1377" s="2">
        <v>11.38</v>
      </c>
      <c r="R1377" s="3">
        <f t="shared" si="105"/>
        <v>4588.9794000000002</v>
      </c>
      <c r="S1377" s="3">
        <f t="shared" si="106"/>
        <v>6353.1126000000004</v>
      </c>
      <c r="T1377" s="3">
        <f t="shared" si="107"/>
        <v>1764.1332000000002</v>
      </c>
      <c r="U1377" s="4">
        <f t="shared" si="108"/>
        <v>0.27768014059753954</v>
      </c>
      <c r="V1377" s="5">
        <f t="shared" si="109"/>
        <v>28.360115999999998</v>
      </c>
    </row>
    <row r="1378" spans="1:22" x14ac:dyDescent="0.25">
      <c r="A1378" s="2" t="s">
        <v>1412</v>
      </c>
      <c r="B1378" s="2" t="s">
        <v>26</v>
      </c>
      <c r="C1378" s="2" t="s">
        <v>33</v>
      </c>
      <c r="D1378" s="2" t="s">
        <v>28</v>
      </c>
      <c r="E1378" s="2">
        <v>549.69000000000005</v>
      </c>
      <c r="F1378" s="2">
        <v>11.22</v>
      </c>
      <c r="G1378" s="2">
        <v>20.68</v>
      </c>
      <c r="H1378" s="2">
        <v>1</v>
      </c>
      <c r="I1378" s="2">
        <v>0.8</v>
      </c>
      <c r="J1378" s="2">
        <v>11</v>
      </c>
      <c r="K1378" s="2" t="s">
        <v>21</v>
      </c>
      <c r="L1378" s="2">
        <v>3.85</v>
      </c>
      <c r="M1378" s="2" t="s">
        <v>40</v>
      </c>
      <c r="N1378" s="2">
        <v>52.3</v>
      </c>
      <c r="O1378" s="2" t="s">
        <v>23</v>
      </c>
      <c r="P1378" s="2">
        <v>4.83</v>
      </c>
      <c r="Q1378" s="2">
        <v>9.59</v>
      </c>
      <c r="R1378" s="3">
        <f t="shared" si="105"/>
        <v>2655.0027000000005</v>
      </c>
      <c r="S1378" s="3">
        <f t="shared" si="106"/>
        <v>5271.5271000000002</v>
      </c>
      <c r="T1378" s="3">
        <f t="shared" si="107"/>
        <v>2616.5243999999998</v>
      </c>
      <c r="U1378" s="4">
        <f t="shared" si="108"/>
        <v>0.4963503649635036</v>
      </c>
      <c r="V1378" s="5">
        <f t="shared" si="109"/>
        <v>21.163065000000003</v>
      </c>
    </row>
    <row r="1379" spans="1:22" x14ac:dyDescent="0.25">
      <c r="A1379" s="2" t="s">
        <v>1413</v>
      </c>
      <c r="B1379" s="2" t="s">
        <v>32</v>
      </c>
      <c r="C1379" s="2" t="s">
        <v>27</v>
      </c>
      <c r="D1379" s="2" t="s">
        <v>28</v>
      </c>
      <c r="E1379" s="2">
        <v>606.98</v>
      </c>
      <c r="F1379" s="2">
        <v>12.65</v>
      </c>
      <c r="G1379" s="2">
        <v>26.39</v>
      </c>
      <c r="H1379" s="2">
        <v>1.8</v>
      </c>
      <c r="I1379" s="2">
        <v>0.7</v>
      </c>
      <c r="J1379" s="2">
        <v>26</v>
      </c>
      <c r="K1379" s="2" t="s">
        <v>29</v>
      </c>
      <c r="L1379" s="2">
        <v>5.16</v>
      </c>
      <c r="M1379" s="2" t="s">
        <v>22</v>
      </c>
      <c r="N1379" s="2">
        <v>79</v>
      </c>
      <c r="O1379" s="2" t="s">
        <v>24</v>
      </c>
      <c r="P1379" s="2">
        <v>7.58</v>
      </c>
      <c r="Q1379" s="2">
        <v>14.64</v>
      </c>
      <c r="R1379" s="3">
        <f t="shared" si="105"/>
        <v>4600.9084000000003</v>
      </c>
      <c r="S1379" s="3">
        <f t="shared" si="106"/>
        <v>8886.1872000000003</v>
      </c>
      <c r="T1379" s="3">
        <f t="shared" si="107"/>
        <v>4285.2788</v>
      </c>
      <c r="U1379" s="4">
        <f t="shared" si="108"/>
        <v>0.48224043715846993</v>
      </c>
      <c r="V1379" s="5">
        <f t="shared" si="109"/>
        <v>31.320168000000002</v>
      </c>
    </row>
    <row r="1380" spans="1:22" x14ac:dyDescent="0.25">
      <c r="A1380" s="2" t="s">
        <v>1414</v>
      </c>
      <c r="B1380" s="2" t="s">
        <v>45</v>
      </c>
      <c r="C1380" s="2" t="s">
        <v>33</v>
      </c>
      <c r="D1380" s="2" t="s">
        <v>28</v>
      </c>
      <c r="E1380" s="2">
        <v>380.03</v>
      </c>
      <c r="F1380" s="2">
        <v>17.43</v>
      </c>
      <c r="G1380" s="2">
        <v>36.21</v>
      </c>
      <c r="H1380" s="2">
        <v>1.4</v>
      </c>
      <c r="I1380" s="2">
        <v>0.1</v>
      </c>
      <c r="J1380" s="2">
        <v>4</v>
      </c>
      <c r="K1380" s="2" t="s">
        <v>29</v>
      </c>
      <c r="L1380" s="2">
        <v>2.31</v>
      </c>
      <c r="M1380" s="2" t="s">
        <v>40</v>
      </c>
      <c r="N1380" s="2">
        <v>88.29</v>
      </c>
      <c r="O1380" s="2" t="s">
        <v>30</v>
      </c>
      <c r="P1380" s="2">
        <v>7.89</v>
      </c>
      <c r="Q1380" s="2">
        <v>7.19</v>
      </c>
      <c r="R1380" s="3">
        <f t="shared" si="105"/>
        <v>2998.4366999999997</v>
      </c>
      <c r="S1380" s="3">
        <f t="shared" si="106"/>
        <v>2732.4157</v>
      </c>
      <c r="T1380" s="3">
        <f t="shared" si="107"/>
        <v>-266.02099999999973</v>
      </c>
      <c r="U1380" s="4">
        <f t="shared" si="108"/>
        <v>-9.7357440890125074E-2</v>
      </c>
      <c r="V1380" s="5">
        <f t="shared" si="109"/>
        <v>8.7786929999999987</v>
      </c>
    </row>
    <row r="1381" spans="1:22" x14ac:dyDescent="0.25">
      <c r="A1381" s="2" t="s">
        <v>1415</v>
      </c>
      <c r="B1381" s="2" t="s">
        <v>45</v>
      </c>
      <c r="C1381" s="2" t="s">
        <v>33</v>
      </c>
      <c r="D1381" s="2" t="s">
        <v>20</v>
      </c>
      <c r="E1381" s="2">
        <v>268.39</v>
      </c>
      <c r="F1381" s="2">
        <v>17.32</v>
      </c>
      <c r="G1381" s="2">
        <v>33.79</v>
      </c>
      <c r="H1381" s="2">
        <v>2.4</v>
      </c>
      <c r="I1381" s="2">
        <v>0.1</v>
      </c>
      <c r="J1381" s="2">
        <v>17</v>
      </c>
      <c r="K1381" s="2" t="s">
        <v>34</v>
      </c>
      <c r="L1381" s="2">
        <v>3.81</v>
      </c>
      <c r="M1381" s="2" t="s">
        <v>37</v>
      </c>
      <c r="N1381" s="2">
        <v>63.54</v>
      </c>
      <c r="O1381" s="2" t="s">
        <v>24</v>
      </c>
      <c r="P1381" s="2">
        <v>5.42</v>
      </c>
      <c r="Q1381" s="2">
        <v>10.88</v>
      </c>
      <c r="R1381" s="3">
        <f t="shared" si="105"/>
        <v>1454.6737999999998</v>
      </c>
      <c r="S1381" s="3">
        <f t="shared" si="106"/>
        <v>2920.0832</v>
      </c>
      <c r="T1381" s="3">
        <f t="shared" si="107"/>
        <v>1465.4094000000002</v>
      </c>
      <c r="U1381" s="4">
        <f t="shared" si="108"/>
        <v>0.50183823529411775</v>
      </c>
      <c r="V1381" s="5">
        <f t="shared" si="109"/>
        <v>10.225659</v>
      </c>
    </row>
    <row r="1382" spans="1:22" x14ac:dyDescent="0.25">
      <c r="A1382" s="2" t="s">
        <v>1416</v>
      </c>
      <c r="B1382" s="2" t="s">
        <v>45</v>
      </c>
      <c r="C1382" s="2" t="s">
        <v>43</v>
      </c>
      <c r="D1382" s="2" t="s">
        <v>28</v>
      </c>
      <c r="E1382" s="2">
        <v>585.79999999999995</v>
      </c>
      <c r="F1382" s="2">
        <v>10.07</v>
      </c>
      <c r="G1382" s="2">
        <v>34.5</v>
      </c>
      <c r="H1382" s="2">
        <v>0.1</v>
      </c>
      <c r="I1382" s="2">
        <v>0.4</v>
      </c>
      <c r="J1382" s="2">
        <v>16</v>
      </c>
      <c r="K1382" s="2" t="s">
        <v>21</v>
      </c>
      <c r="L1382" s="2">
        <v>7.32</v>
      </c>
      <c r="M1382" s="2" t="s">
        <v>40</v>
      </c>
      <c r="N1382" s="2">
        <v>83.35</v>
      </c>
      <c r="O1382" s="2" t="s">
        <v>24</v>
      </c>
      <c r="P1382" s="2">
        <v>6.32</v>
      </c>
      <c r="Q1382" s="2">
        <v>12</v>
      </c>
      <c r="R1382" s="3">
        <f t="shared" si="105"/>
        <v>3702.2559999999999</v>
      </c>
      <c r="S1382" s="3">
        <f t="shared" si="106"/>
        <v>7029.5999999999995</v>
      </c>
      <c r="T1382" s="3">
        <f t="shared" si="107"/>
        <v>3327.3439999999996</v>
      </c>
      <c r="U1382" s="4">
        <f t="shared" si="108"/>
        <v>0.47333333333333333</v>
      </c>
      <c r="V1382" s="5">
        <f t="shared" si="109"/>
        <v>42.880559999999996</v>
      </c>
    </row>
    <row r="1383" spans="1:22" x14ac:dyDescent="0.25">
      <c r="A1383" s="2" t="s">
        <v>1417</v>
      </c>
      <c r="B1383" s="2" t="s">
        <v>26</v>
      </c>
      <c r="C1383" s="2" t="s">
        <v>27</v>
      </c>
      <c r="D1383" s="2" t="s">
        <v>20</v>
      </c>
      <c r="E1383" s="2">
        <v>417.18</v>
      </c>
      <c r="F1383" s="2">
        <v>11.58</v>
      </c>
      <c r="G1383" s="2">
        <v>33.96</v>
      </c>
      <c r="H1383" s="2">
        <v>0.7</v>
      </c>
      <c r="I1383" s="2">
        <v>0.4</v>
      </c>
      <c r="J1383" s="2">
        <v>19</v>
      </c>
      <c r="K1383" s="2" t="s">
        <v>29</v>
      </c>
      <c r="L1383" s="2">
        <v>2.57</v>
      </c>
      <c r="M1383" s="2" t="s">
        <v>40</v>
      </c>
      <c r="N1383" s="2">
        <v>67.7</v>
      </c>
      <c r="O1383" s="2" t="s">
        <v>23</v>
      </c>
      <c r="P1383" s="2">
        <v>5.83</v>
      </c>
      <c r="Q1383" s="2">
        <v>13.26</v>
      </c>
      <c r="R1383" s="3">
        <f t="shared" si="105"/>
        <v>2432.1594</v>
      </c>
      <c r="S1383" s="3">
        <f t="shared" si="106"/>
        <v>5531.8068000000003</v>
      </c>
      <c r="T1383" s="3">
        <f t="shared" si="107"/>
        <v>3099.6474000000003</v>
      </c>
      <c r="U1383" s="4">
        <f t="shared" si="108"/>
        <v>0.5603318250377074</v>
      </c>
      <c r="V1383" s="5">
        <f t="shared" si="109"/>
        <v>10.721525999999999</v>
      </c>
    </row>
    <row r="1384" spans="1:22" x14ac:dyDescent="0.25">
      <c r="A1384" s="2" t="s">
        <v>1418</v>
      </c>
      <c r="B1384" s="2" t="s">
        <v>18</v>
      </c>
      <c r="C1384" s="2" t="s">
        <v>19</v>
      </c>
      <c r="D1384" s="2" t="s">
        <v>20</v>
      </c>
      <c r="E1384" s="2">
        <v>298.14999999999998</v>
      </c>
      <c r="F1384" s="2">
        <v>9.49</v>
      </c>
      <c r="G1384" s="2">
        <v>26.22</v>
      </c>
      <c r="H1384" s="2">
        <v>3.4</v>
      </c>
      <c r="I1384" s="2">
        <v>3.1</v>
      </c>
      <c r="J1384" s="2">
        <v>23</v>
      </c>
      <c r="K1384" s="2" t="s">
        <v>29</v>
      </c>
      <c r="L1384" s="2">
        <v>3.01</v>
      </c>
      <c r="M1384" s="2" t="s">
        <v>40</v>
      </c>
      <c r="N1384" s="2">
        <v>78.69</v>
      </c>
      <c r="O1384" s="2" t="s">
        <v>23</v>
      </c>
      <c r="P1384" s="2">
        <v>9.6300000000000008</v>
      </c>
      <c r="Q1384" s="2">
        <v>9.07</v>
      </c>
      <c r="R1384" s="3">
        <f t="shared" si="105"/>
        <v>2871.1844999999998</v>
      </c>
      <c r="S1384" s="3">
        <f t="shared" si="106"/>
        <v>2704.2204999999999</v>
      </c>
      <c r="T1384" s="3">
        <f t="shared" si="107"/>
        <v>-166.96399999999994</v>
      </c>
      <c r="U1384" s="4">
        <f t="shared" si="108"/>
        <v>-6.1742006615214978E-2</v>
      </c>
      <c r="V1384" s="5">
        <f t="shared" si="109"/>
        <v>8.9743149999999989</v>
      </c>
    </row>
    <row r="1385" spans="1:22" x14ac:dyDescent="0.25">
      <c r="A1385" s="2" t="s">
        <v>1419</v>
      </c>
      <c r="B1385" s="2" t="s">
        <v>26</v>
      </c>
      <c r="C1385" s="2" t="s">
        <v>19</v>
      </c>
      <c r="D1385" s="2" t="s">
        <v>20</v>
      </c>
      <c r="E1385" s="2">
        <v>514.51</v>
      </c>
      <c r="F1385" s="2">
        <v>13.1</v>
      </c>
      <c r="G1385" s="2">
        <v>21.99</v>
      </c>
      <c r="H1385" s="2">
        <v>0.2</v>
      </c>
      <c r="I1385" s="2">
        <v>1.5</v>
      </c>
      <c r="J1385" s="2">
        <v>27</v>
      </c>
      <c r="K1385" s="2" t="s">
        <v>29</v>
      </c>
      <c r="L1385" s="2">
        <v>7.62</v>
      </c>
      <c r="M1385" s="2" t="s">
        <v>22</v>
      </c>
      <c r="N1385" s="2">
        <v>69.23</v>
      </c>
      <c r="O1385" s="2" t="s">
        <v>23</v>
      </c>
      <c r="P1385" s="2">
        <v>5.24</v>
      </c>
      <c r="Q1385" s="2">
        <v>11.87</v>
      </c>
      <c r="R1385" s="3">
        <f t="shared" si="105"/>
        <v>2696.0324000000001</v>
      </c>
      <c r="S1385" s="3">
        <f t="shared" si="106"/>
        <v>6107.2336999999998</v>
      </c>
      <c r="T1385" s="3">
        <f t="shared" si="107"/>
        <v>3411.2012999999997</v>
      </c>
      <c r="U1385" s="4">
        <f t="shared" si="108"/>
        <v>0.55855096882898059</v>
      </c>
      <c r="V1385" s="5">
        <f t="shared" si="109"/>
        <v>39.205662000000004</v>
      </c>
    </row>
    <row r="1386" spans="1:22" x14ac:dyDescent="0.25">
      <c r="A1386" s="2" t="s">
        <v>1420</v>
      </c>
      <c r="B1386" s="2" t="s">
        <v>32</v>
      </c>
      <c r="C1386" s="2" t="s">
        <v>43</v>
      </c>
      <c r="D1386" s="2" t="s">
        <v>20</v>
      </c>
      <c r="E1386" s="2">
        <v>579.32000000000005</v>
      </c>
      <c r="F1386" s="2">
        <v>12.61</v>
      </c>
      <c r="G1386" s="2">
        <v>25.45</v>
      </c>
      <c r="H1386" s="2">
        <v>3.9</v>
      </c>
      <c r="I1386" s="2">
        <v>1.1000000000000001</v>
      </c>
      <c r="J1386" s="2">
        <v>11</v>
      </c>
      <c r="K1386" s="2" t="s">
        <v>29</v>
      </c>
      <c r="L1386" s="2">
        <v>2.19</v>
      </c>
      <c r="M1386" s="2" t="s">
        <v>40</v>
      </c>
      <c r="N1386" s="2">
        <v>65.19</v>
      </c>
      <c r="O1386" s="2" t="s">
        <v>23</v>
      </c>
      <c r="P1386" s="2">
        <v>4.28</v>
      </c>
      <c r="Q1386" s="2">
        <v>8.0299999999999994</v>
      </c>
      <c r="R1386" s="3">
        <f t="shared" si="105"/>
        <v>2479.4896000000003</v>
      </c>
      <c r="S1386" s="3">
        <f t="shared" si="106"/>
        <v>4651.9395999999997</v>
      </c>
      <c r="T1386" s="3">
        <f t="shared" si="107"/>
        <v>2172.4499999999994</v>
      </c>
      <c r="U1386" s="4">
        <f t="shared" si="108"/>
        <v>0.46699875466998741</v>
      </c>
      <c r="V1386" s="5">
        <f t="shared" si="109"/>
        <v>12.687108</v>
      </c>
    </row>
    <row r="1387" spans="1:22" x14ac:dyDescent="0.25">
      <c r="A1387" s="2" t="s">
        <v>1421</v>
      </c>
      <c r="B1387" s="2" t="s">
        <v>26</v>
      </c>
      <c r="C1387" s="2" t="s">
        <v>33</v>
      </c>
      <c r="D1387" s="2" t="s">
        <v>28</v>
      </c>
      <c r="E1387" s="2">
        <v>487.79</v>
      </c>
      <c r="F1387" s="2">
        <v>17.010000000000002</v>
      </c>
      <c r="G1387" s="2">
        <v>36.64</v>
      </c>
      <c r="H1387" s="2">
        <v>0.2</v>
      </c>
      <c r="I1387" s="2">
        <v>0.7</v>
      </c>
      <c r="J1387" s="2">
        <v>7</v>
      </c>
      <c r="K1387" s="2" t="s">
        <v>34</v>
      </c>
      <c r="L1387" s="2">
        <v>2.84</v>
      </c>
      <c r="M1387" s="2" t="s">
        <v>40</v>
      </c>
      <c r="N1387" s="2">
        <v>92.8</v>
      </c>
      <c r="O1387" s="2" t="s">
        <v>24</v>
      </c>
      <c r="P1387" s="2">
        <v>5.56</v>
      </c>
      <c r="Q1387" s="2">
        <v>9.35</v>
      </c>
      <c r="R1387" s="3">
        <f t="shared" si="105"/>
        <v>2712.1124</v>
      </c>
      <c r="S1387" s="3">
        <f t="shared" si="106"/>
        <v>4560.8365000000003</v>
      </c>
      <c r="T1387" s="3">
        <f t="shared" si="107"/>
        <v>1848.7241000000004</v>
      </c>
      <c r="U1387" s="4">
        <f t="shared" si="108"/>
        <v>0.40534759358288774</v>
      </c>
      <c r="V1387" s="5">
        <f t="shared" si="109"/>
        <v>13.853235999999999</v>
      </c>
    </row>
    <row r="1388" spans="1:22" x14ac:dyDescent="0.25">
      <c r="A1388" s="2" t="s">
        <v>1422</v>
      </c>
      <c r="B1388" s="2" t="s">
        <v>32</v>
      </c>
      <c r="C1388" s="2" t="s">
        <v>43</v>
      </c>
      <c r="D1388" s="2" t="s">
        <v>28</v>
      </c>
      <c r="E1388" s="2">
        <v>454.22</v>
      </c>
      <c r="F1388" s="2">
        <v>17.3</v>
      </c>
      <c r="G1388" s="2">
        <v>39.61</v>
      </c>
      <c r="H1388" s="2">
        <v>3.6</v>
      </c>
      <c r="I1388" s="2">
        <v>0.2</v>
      </c>
      <c r="J1388" s="2">
        <v>27</v>
      </c>
      <c r="K1388" s="2" t="s">
        <v>29</v>
      </c>
      <c r="L1388" s="2">
        <v>0.67</v>
      </c>
      <c r="M1388" s="2" t="s">
        <v>22</v>
      </c>
      <c r="N1388" s="2">
        <v>87.69</v>
      </c>
      <c r="O1388" s="2" t="s">
        <v>23</v>
      </c>
      <c r="P1388" s="2">
        <v>7.69</v>
      </c>
      <c r="Q1388" s="2">
        <v>13.96</v>
      </c>
      <c r="R1388" s="3">
        <f t="shared" si="105"/>
        <v>3492.9518000000003</v>
      </c>
      <c r="S1388" s="3">
        <f t="shared" si="106"/>
        <v>6340.9112000000005</v>
      </c>
      <c r="T1388" s="3">
        <f t="shared" si="107"/>
        <v>2847.9594000000002</v>
      </c>
      <c r="U1388" s="4">
        <f t="shared" si="108"/>
        <v>0.4491404011461318</v>
      </c>
      <c r="V1388" s="5">
        <f t="shared" si="109"/>
        <v>3.0432740000000003</v>
      </c>
    </row>
    <row r="1389" spans="1:22" x14ac:dyDescent="0.25">
      <c r="A1389" s="2" t="s">
        <v>1423</v>
      </c>
      <c r="B1389" s="2" t="s">
        <v>26</v>
      </c>
      <c r="C1389" s="2" t="s">
        <v>43</v>
      </c>
      <c r="D1389" s="2" t="s">
        <v>28</v>
      </c>
      <c r="E1389" s="2">
        <v>484.06</v>
      </c>
      <c r="F1389" s="2">
        <v>11.84</v>
      </c>
      <c r="G1389" s="2">
        <v>29.88</v>
      </c>
      <c r="H1389" s="2">
        <v>0.9</v>
      </c>
      <c r="I1389" s="2">
        <v>3.8</v>
      </c>
      <c r="J1389" s="2">
        <v>13</v>
      </c>
      <c r="K1389" s="2" t="s">
        <v>29</v>
      </c>
      <c r="L1389" s="2">
        <v>7.34</v>
      </c>
      <c r="M1389" s="2" t="s">
        <v>40</v>
      </c>
      <c r="N1389" s="2">
        <v>67.27</v>
      </c>
      <c r="O1389" s="2" t="s">
        <v>24</v>
      </c>
      <c r="P1389" s="2">
        <v>7.88</v>
      </c>
      <c r="Q1389" s="2">
        <v>14.5</v>
      </c>
      <c r="R1389" s="3">
        <f t="shared" si="105"/>
        <v>3814.3928000000001</v>
      </c>
      <c r="S1389" s="3">
        <f t="shared" si="106"/>
        <v>7018.87</v>
      </c>
      <c r="T1389" s="3">
        <f t="shared" si="107"/>
        <v>3204.4771999999998</v>
      </c>
      <c r="U1389" s="4">
        <f t="shared" si="108"/>
        <v>0.45655172413793099</v>
      </c>
      <c r="V1389" s="5">
        <f t="shared" si="109"/>
        <v>35.530003999999998</v>
      </c>
    </row>
    <row r="1390" spans="1:22" x14ac:dyDescent="0.25">
      <c r="A1390" s="2" t="s">
        <v>1424</v>
      </c>
      <c r="B1390" s="2" t="s">
        <v>18</v>
      </c>
      <c r="C1390" s="2" t="s">
        <v>43</v>
      </c>
      <c r="D1390" s="2" t="s">
        <v>20</v>
      </c>
      <c r="E1390" s="2">
        <v>462.94</v>
      </c>
      <c r="F1390" s="2">
        <v>12.92</v>
      </c>
      <c r="G1390" s="2">
        <v>20.190000000000001</v>
      </c>
      <c r="H1390" s="2">
        <v>1.9</v>
      </c>
      <c r="I1390" s="2">
        <v>0.5</v>
      </c>
      <c r="J1390" s="2">
        <v>19</v>
      </c>
      <c r="K1390" s="2" t="s">
        <v>21</v>
      </c>
      <c r="L1390" s="2">
        <v>6.37</v>
      </c>
      <c r="M1390" s="2" t="s">
        <v>40</v>
      </c>
      <c r="N1390" s="2">
        <v>71.73</v>
      </c>
      <c r="O1390" s="2" t="s">
        <v>23</v>
      </c>
      <c r="P1390" s="2">
        <v>9.4700000000000006</v>
      </c>
      <c r="Q1390" s="2">
        <v>12.19</v>
      </c>
      <c r="R1390" s="3">
        <f t="shared" si="105"/>
        <v>4384.0418</v>
      </c>
      <c r="S1390" s="3">
        <f t="shared" si="106"/>
        <v>5643.2385999999997</v>
      </c>
      <c r="T1390" s="3">
        <f t="shared" si="107"/>
        <v>1259.1967999999997</v>
      </c>
      <c r="U1390" s="4">
        <f t="shared" si="108"/>
        <v>0.2231337161607875</v>
      </c>
      <c r="V1390" s="5">
        <f t="shared" si="109"/>
        <v>29.489277999999999</v>
      </c>
    </row>
    <row r="1391" spans="1:22" x14ac:dyDescent="0.25">
      <c r="A1391" s="2" t="s">
        <v>1425</v>
      </c>
      <c r="B1391" s="2" t="s">
        <v>32</v>
      </c>
      <c r="C1391" s="2" t="s">
        <v>33</v>
      </c>
      <c r="D1391" s="2" t="s">
        <v>20</v>
      </c>
      <c r="E1391" s="2">
        <v>365.2</v>
      </c>
      <c r="F1391" s="2">
        <v>16.96</v>
      </c>
      <c r="G1391" s="2">
        <v>22.8</v>
      </c>
      <c r="H1391" s="2">
        <v>0.3</v>
      </c>
      <c r="I1391" s="2">
        <v>0.1</v>
      </c>
      <c r="J1391" s="2">
        <v>17</v>
      </c>
      <c r="K1391" s="2" t="s">
        <v>21</v>
      </c>
      <c r="L1391" s="2">
        <v>7.1</v>
      </c>
      <c r="M1391" s="2" t="s">
        <v>40</v>
      </c>
      <c r="N1391" s="2">
        <v>84.59</v>
      </c>
      <c r="O1391" s="2" t="s">
        <v>23</v>
      </c>
      <c r="P1391" s="2">
        <v>9.17</v>
      </c>
      <c r="Q1391" s="2">
        <v>8.74</v>
      </c>
      <c r="R1391" s="3">
        <f t="shared" si="105"/>
        <v>3348.884</v>
      </c>
      <c r="S1391" s="3">
        <f t="shared" si="106"/>
        <v>3191.848</v>
      </c>
      <c r="T1391" s="3">
        <f t="shared" si="107"/>
        <v>-157.03600000000006</v>
      </c>
      <c r="U1391" s="4">
        <f t="shared" si="108"/>
        <v>-4.9199084668192242E-2</v>
      </c>
      <c r="V1391" s="5">
        <f t="shared" si="109"/>
        <v>25.929199999999994</v>
      </c>
    </row>
    <row r="1392" spans="1:22" x14ac:dyDescent="0.25">
      <c r="A1392" s="2" t="s">
        <v>1426</v>
      </c>
      <c r="B1392" s="2" t="s">
        <v>45</v>
      </c>
      <c r="C1392" s="2" t="s">
        <v>27</v>
      </c>
      <c r="D1392" s="2" t="s">
        <v>20</v>
      </c>
      <c r="E1392" s="2">
        <v>428.53</v>
      </c>
      <c r="F1392" s="2">
        <v>16.07</v>
      </c>
      <c r="G1392" s="2">
        <v>26.44</v>
      </c>
      <c r="H1392" s="2">
        <v>0.1</v>
      </c>
      <c r="I1392" s="2">
        <v>0.7</v>
      </c>
      <c r="J1392" s="2">
        <v>26</v>
      </c>
      <c r="K1392" s="2" t="s">
        <v>34</v>
      </c>
      <c r="L1392" s="2">
        <v>2.54</v>
      </c>
      <c r="M1392" s="2" t="s">
        <v>40</v>
      </c>
      <c r="N1392" s="2">
        <v>90.55</v>
      </c>
      <c r="O1392" s="2" t="s">
        <v>23</v>
      </c>
      <c r="P1392" s="2">
        <v>5.0199999999999996</v>
      </c>
      <c r="Q1392" s="2">
        <v>13.2</v>
      </c>
      <c r="R1392" s="3">
        <f t="shared" si="105"/>
        <v>2151.2205999999996</v>
      </c>
      <c r="S1392" s="3">
        <f t="shared" si="106"/>
        <v>5656.5959999999995</v>
      </c>
      <c r="T1392" s="3">
        <f t="shared" si="107"/>
        <v>3505.3753999999999</v>
      </c>
      <c r="U1392" s="4">
        <f t="shared" si="108"/>
        <v>0.61969696969696975</v>
      </c>
      <c r="V1392" s="5">
        <f t="shared" si="109"/>
        <v>10.884661999999999</v>
      </c>
    </row>
    <row r="1393" spans="1:22" x14ac:dyDescent="0.25">
      <c r="A1393" s="2" t="s">
        <v>1427</v>
      </c>
      <c r="B1393" s="2" t="s">
        <v>45</v>
      </c>
      <c r="C1393" s="2" t="s">
        <v>43</v>
      </c>
      <c r="D1393" s="2" t="s">
        <v>20</v>
      </c>
      <c r="E1393" s="2">
        <v>552.13</v>
      </c>
      <c r="F1393" s="2">
        <v>8.0399999999999991</v>
      </c>
      <c r="G1393" s="2">
        <v>31.57</v>
      </c>
      <c r="H1393" s="2">
        <v>0.5</v>
      </c>
      <c r="I1393" s="2">
        <v>2.1</v>
      </c>
      <c r="J1393" s="2">
        <v>25</v>
      </c>
      <c r="K1393" s="2" t="s">
        <v>34</v>
      </c>
      <c r="L1393" s="2">
        <v>7.03</v>
      </c>
      <c r="M1393" s="2" t="s">
        <v>40</v>
      </c>
      <c r="N1393" s="2">
        <v>84.22</v>
      </c>
      <c r="O1393" s="2" t="s">
        <v>24</v>
      </c>
      <c r="P1393" s="2">
        <v>6.19</v>
      </c>
      <c r="Q1393" s="2">
        <v>5.26</v>
      </c>
      <c r="R1393" s="3">
        <f t="shared" si="105"/>
        <v>3417.6847000000002</v>
      </c>
      <c r="S1393" s="3">
        <f t="shared" si="106"/>
        <v>2904.2037999999998</v>
      </c>
      <c r="T1393" s="3">
        <f t="shared" si="107"/>
        <v>-513.48090000000047</v>
      </c>
      <c r="U1393" s="4">
        <f t="shared" si="108"/>
        <v>-0.17680608365019029</v>
      </c>
      <c r="V1393" s="5">
        <f t="shared" si="109"/>
        <v>38.814739000000003</v>
      </c>
    </row>
    <row r="1394" spans="1:22" x14ac:dyDescent="0.25">
      <c r="A1394" s="2" t="s">
        <v>1428</v>
      </c>
      <c r="B1394" s="2" t="s">
        <v>26</v>
      </c>
      <c r="C1394" s="2" t="s">
        <v>33</v>
      </c>
      <c r="D1394" s="2" t="s">
        <v>20</v>
      </c>
      <c r="E1394" s="2">
        <v>532.16999999999996</v>
      </c>
      <c r="F1394" s="2">
        <v>11.2</v>
      </c>
      <c r="G1394" s="2">
        <v>21.5</v>
      </c>
      <c r="H1394" s="2">
        <v>0.3</v>
      </c>
      <c r="I1394" s="2">
        <v>2.2000000000000002</v>
      </c>
      <c r="J1394" s="2">
        <v>28</v>
      </c>
      <c r="K1394" s="2" t="s">
        <v>34</v>
      </c>
      <c r="L1394" s="2">
        <v>6.17</v>
      </c>
      <c r="M1394" s="2" t="s">
        <v>37</v>
      </c>
      <c r="N1394" s="2">
        <v>77.05</v>
      </c>
      <c r="O1394" s="2" t="s">
        <v>23</v>
      </c>
      <c r="P1394" s="2">
        <v>8.23</v>
      </c>
      <c r="Q1394" s="2">
        <v>6.03</v>
      </c>
      <c r="R1394" s="3">
        <f t="shared" si="105"/>
        <v>4379.7591000000002</v>
      </c>
      <c r="S1394" s="3">
        <f t="shared" si="106"/>
        <v>3208.9850999999999</v>
      </c>
      <c r="T1394" s="3">
        <f t="shared" si="107"/>
        <v>-1170.7740000000003</v>
      </c>
      <c r="U1394" s="4">
        <f t="shared" si="108"/>
        <v>-0.36484245439469332</v>
      </c>
      <c r="V1394" s="5">
        <f t="shared" si="109"/>
        <v>32.834888999999997</v>
      </c>
    </row>
    <row r="1395" spans="1:22" x14ac:dyDescent="0.25">
      <c r="A1395" s="2" t="s">
        <v>1429</v>
      </c>
      <c r="B1395" s="2" t="s">
        <v>45</v>
      </c>
      <c r="C1395" s="2" t="s">
        <v>27</v>
      </c>
      <c r="D1395" s="2" t="s">
        <v>28</v>
      </c>
      <c r="E1395" s="2">
        <v>516.80999999999995</v>
      </c>
      <c r="F1395" s="2">
        <v>12.22</v>
      </c>
      <c r="G1395" s="2">
        <v>38.869999999999997</v>
      </c>
      <c r="H1395" s="2">
        <v>0.7</v>
      </c>
      <c r="I1395" s="2">
        <v>0</v>
      </c>
      <c r="J1395" s="2">
        <v>22</v>
      </c>
      <c r="K1395" s="2" t="s">
        <v>34</v>
      </c>
      <c r="L1395" s="2">
        <v>3.98</v>
      </c>
      <c r="M1395" s="2" t="s">
        <v>40</v>
      </c>
      <c r="N1395" s="2">
        <v>97.72</v>
      </c>
      <c r="O1395" s="2" t="s">
        <v>24</v>
      </c>
      <c r="P1395" s="2">
        <v>9.42</v>
      </c>
      <c r="Q1395" s="2">
        <v>11.61</v>
      </c>
      <c r="R1395" s="3">
        <f t="shared" si="105"/>
        <v>4868.3501999999999</v>
      </c>
      <c r="S1395" s="3">
        <f t="shared" si="106"/>
        <v>6000.1640999999991</v>
      </c>
      <c r="T1395" s="3">
        <f t="shared" si="107"/>
        <v>1131.8138999999992</v>
      </c>
      <c r="U1395" s="4">
        <f t="shared" si="108"/>
        <v>0.18863049095607223</v>
      </c>
      <c r="V1395" s="5">
        <f t="shared" si="109"/>
        <v>20.569037999999995</v>
      </c>
    </row>
    <row r="1396" spans="1:22" x14ac:dyDescent="0.25">
      <c r="A1396" s="2" t="s">
        <v>1430</v>
      </c>
      <c r="B1396" s="2" t="s">
        <v>32</v>
      </c>
      <c r="C1396" s="2" t="s">
        <v>43</v>
      </c>
      <c r="D1396" s="2" t="s">
        <v>20</v>
      </c>
      <c r="E1396" s="2">
        <v>400.49</v>
      </c>
      <c r="F1396" s="2">
        <v>10.3</v>
      </c>
      <c r="G1396" s="2">
        <v>27.3</v>
      </c>
      <c r="H1396" s="2">
        <v>1.4</v>
      </c>
      <c r="I1396" s="2">
        <v>2.2000000000000002</v>
      </c>
      <c r="J1396" s="2">
        <v>13</v>
      </c>
      <c r="K1396" s="2" t="s">
        <v>29</v>
      </c>
      <c r="L1396" s="2">
        <v>4.66</v>
      </c>
      <c r="M1396" s="2" t="s">
        <v>22</v>
      </c>
      <c r="N1396" s="2">
        <v>88.71</v>
      </c>
      <c r="O1396" s="2" t="s">
        <v>23</v>
      </c>
      <c r="P1396" s="2">
        <v>5.36</v>
      </c>
      <c r="Q1396" s="2">
        <v>7.91</v>
      </c>
      <c r="R1396" s="3">
        <f t="shared" si="105"/>
        <v>2146.6264000000001</v>
      </c>
      <c r="S1396" s="3">
        <f t="shared" si="106"/>
        <v>3167.8759</v>
      </c>
      <c r="T1396" s="3">
        <f t="shared" si="107"/>
        <v>1021.2494999999999</v>
      </c>
      <c r="U1396" s="4">
        <f t="shared" si="108"/>
        <v>0.32237673830594182</v>
      </c>
      <c r="V1396" s="5">
        <f t="shared" si="109"/>
        <v>18.662834</v>
      </c>
    </row>
    <row r="1397" spans="1:22" x14ac:dyDescent="0.25">
      <c r="A1397" s="2" t="s">
        <v>1431</v>
      </c>
      <c r="B1397" s="2" t="s">
        <v>45</v>
      </c>
      <c r="C1397" s="2" t="s">
        <v>19</v>
      </c>
      <c r="D1397" s="2" t="s">
        <v>28</v>
      </c>
      <c r="E1397" s="2">
        <v>481.85</v>
      </c>
      <c r="F1397" s="2">
        <v>10</v>
      </c>
      <c r="G1397" s="2">
        <v>38.25</v>
      </c>
      <c r="H1397" s="2">
        <v>1.8</v>
      </c>
      <c r="I1397" s="2">
        <v>0.3</v>
      </c>
      <c r="J1397" s="2">
        <v>29</v>
      </c>
      <c r="K1397" s="2" t="s">
        <v>21</v>
      </c>
      <c r="L1397" s="2">
        <v>5.9</v>
      </c>
      <c r="M1397" s="2" t="s">
        <v>40</v>
      </c>
      <c r="N1397" s="2">
        <v>55.78</v>
      </c>
      <c r="O1397" s="2" t="s">
        <v>23</v>
      </c>
      <c r="P1397" s="2">
        <v>6.11</v>
      </c>
      <c r="Q1397" s="2">
        <v>14.51</v>
      </c>
      <c r="R1397" s="3">
        <f t="shared" si="105"/>
        <v>2944.1035000000002</v>
      </c>
      <c r="S1397" s="3">
        <f t="shared" si="106"/>
        <v>6991.6435000000001</v>
      </c>
      <c r="T1397" s="3">
        <f t="shared" si="107"/>
        <v>4047.54</v>
      </c>
      <c r="U1397" s="4">
        <f t="shared" si="108"/>
        <v>0.57891109579600275</v>
      </c>
      <c r="V1397" s="5">
        <f t="shared" si="109"/>
        <v>28.429150000000003</v>
      </c>
    </row>
    <row r="1398" spans="1:22" x14ac:dyDescent="0.25">
      <c r="A1398" s="2" t="s">
        <v>1432</v>
      </c>
      <c r="B1398" s="2" t="s">
        <v>18</v>
      </c>
      <c r="C1398" s="2" t="s">
        <v>27</v>
      </c>
      <c r="D1398" s="2" t="s">
        <v>20</v>
      </c>
      <c r="E1398" s="2">
        <v>282.29000000000002</v>
      </c>
      <c r="F1398" s="2">
        <v>8.3800000000000008</v>
      </c>
      <c r="G1398" s="2">
        <v>35.61</v>
      </c>
      <c r="H1398" s="2">
        <v>3.1</v>
      </c>
      <c r="I1398" s="2">
        <v>0</v>
      </c>
      <c r="J1398" s="2">
        <v>12</v>
      </c>
      <c r="K1398" s="2" t="s">
        <v>29</v>
      </c>
      <c r="L1398" s="2">
        <v>5.19</v>
      </c>
      <c r="M1398" s="2" t="s">
        <v>37</v>
      </c>
      <c r="N1398" s="2">
        <v>77.91</v>
      </c>
      <c r="O1398" s="2" t="s">
        <v>30</v>
      </c>
      <c r="P1398" s="2">
        <v>9.3000000000000007</v>
      </c>
      <c r="Q1398" s="2">
        <v>9.36</v>
      </c>
      <c r="R1398" s="3">
        <f t="shared" si="105"/>
        <v>2625.2970000000005</v>
      </c>
      <c r="S1398" s="3">
        <f t="shared" si="106"/>
        <v>2642.2343999999998</v>
      </c>
      <c r="T1398" s="3">
        <f t="shared" si="107"/>
        <v>16.937399999999343</v>
      </c>
      <c r="U1398" s="4">
        <f t="shared" si="108"/>
        <v>6.410256410256162E-3</v>
      </c>
      <c r="V1398" s="5">
        <f t="shared" si="109"/>
        <v>14.650851000000003</v>
      </c>
    </row>
    <row r="1399" spans="1:22" x14ac:dyDescent="0.25">
      <c r="A1399" s="2" t="s">
        <v>1433</v>
      </c>
      <c r="B1399" s="2" t="s">
        <v>18</v>
      </c>
      <c r="C1399" s="2" t="s">
        <v>43</v>
      </c>
      <c r="D1399" s="2" t="s">
        <v>20</v>
      </c>
      <c r="E1399" s="2">
        <v>517.85</v>
      </c>
      <c r="F1399" s="2">
        <v>14.43</v>
      </c>
      <c r="G1399" s="2">
        <v>35.11</v>
      </c>
      <c r="H1399" s="2">
        <v>2.1</v>
      </c>
      <c r="I1399" s="2">
        <v>1.9</v>
      </c>
      <c r="J1399" s="2">
        <v>7</v>
      </c>
      <c r="K1399" s="2" t="s">
        <v>29</v>
      </c>
      <c r="L1399" s="2">
        <v>6.6</v>
      </c>
      <c r="M1399" s="2" t="s">
        <v>22</v>
      </c>
      <c r="N1399" s="2">
        <v>70.48</v>
      </c>
      <c r="O1399" s="2" t="s">
        <v>23</v>
      </c>
      <c r="P1399" s="2">
        <v>5.51</v>
      </c>
      <c r="Q1399" s="2">
        <v>9.2899999999999991</v>
      </c>
      <c r="R1399" s="3">
        <f t="shared" si="105"/>
        <v>2853.3535000000002</v>
      </c>
      <c r="S1399" s="3">
        <f t="shared" si="106"/>
        <v>4810.8265000000001</v>
      </c>
      <c r="T1399" s="3">
        <f t="shared" si="107"/>
        <v>1957.473</v>
      </c>
      <c r="U1399" s="4">
        <f t="shared" si="108"/>
        <v>0.40688912809472549</v>
      </c>
      <c r="V1399" s="5">
        <f t="shared" si="109"/>
        <v>34.178100000000001</v>
      </c>
    </row>
    <row r="1400" spans="1:22" x14ac:dyDescent="0.25">
      <c r="A1400" s="2" t="s">
        <v>1434</v>
      </c>
      <c r="B1400" s="2" t="s">
        <v>26</v>
      </c>
      <c r="C1400" s="2" t="s">
        <v>27</v>
      </c>
      <c r="D1400" s="2" t="s">
        <v>28</v>
      </c>
      <c r="E1400" s="2">
        <v>642.89</v>
      </c>
      <c r="F1400" s="2">
        <v>10.63</v>
      </c>
      <c r="G1400" s="2">
        <v>32.130000000000003</v>
      </c>
      <c r="H1400" s="2">
        <v>1.9</v>
      </c>
      <c r="I1400" s="2">
        <v>2</v>
      </c>
      <c r="J1400" s="2">
        <v>1</v>
      </c>
      <c r="K1400" s="2" t="s">
        <v>29</v>
      </c>
      <c r="L1400" s="2">
        <v>2.2200000000000002</v>
      </c>
      <c r="M1400" s="2" t="s">
        <v>22</v>
      </c>
      <c r="N1400" s="2">
        <v>89.75</v>
      </c>
      <c r="O1400" s="2" t="s">
        <v>24</v>
      </c>
      <c r="P1400" s="2">
        <v>6.36</v>
      </c>
      <c r="Q1400" s="2">
        <v>11.78</v>
      </c>
      <c r="R1400" s="3">
        <f t="shared" si="105"/>
        <v>4088.7804000000001</v>
      </c>
      <c r="S1400" s="3">
        <f t="shared" si="106"/>
        <v>7573.2441999999992</v>
      </c>
      <c r="T1400" s="3">
        <f t="shared" si="107"/>
        <v>3484.4637999999991</v>
      </c>
      <c r="U1400" s="4">
        <f t="shared" si="108"/>
        <v>0.4601018675721561</v>
      </c>
      <c r="V1400" s="5">
        <f t="shared" si="109"/>
        <v>14.272158000000001</v>
      </c>
    </row>
    <row r="1401" spans="1:22" x14ac:dyDescent="0.25">
      <c r="A1401" s="2" t="s">
        <v>1435</v>
      </c>
      <c r="B1401" s="2" t="s">
        <v>32</v>
      </c>
      <c r="C1401" s="2" t="s">
        <v>27</v>
      </c>
      <c r="D1401" s="2" t="s">
        <v>28</v>
      </c>
      <c r="E1401" s="2">
        <v>352.59</v>
      </c>
      <c r="F1401" s="2">
        <v>8.52</v>
      </c>
      <c r="G1401" s="2">
        <v>32.54</v>
      </c>
      <c r="H1401" s="2">
        <v>1.1000000000000001</v>
      </c>
      <c r="I1401" s="2">
        <v>0.9</v>
      </c>
      <c r="J1401" s="2">
        <v>1</v>
      </c>
      <c r="K1401" s="2" t="s">
        <v>21</v>
      </c>
      <c r="L1401" s="2">
        <v>5.64</v>
      </c>
      <c r="M1401" s="2" t="s">
        <v>40</v>
      </c>
      <c r="N1401" s="2">
        <v>52.23</v>
      </c>
      <c r="O1401" s="2" t="s">
        <v>30</v>
      </c>
      <c r="P1401" s="2">
        <v>9.33</v>
      </c>
      <c r="Q1401" s="2">
        <v>12.68</v>
      </c>
      <c r="R1401" s="3">
        <f t="shared" si="105"/>
        <v>3289.6646999999998</v>
      </c>
      <c r="S1401" s="3">
        <f t="shared" si="106"/>
        <v>4470.8411999999998</v>
      </c>
      <c r="T1401" s="3">
        <f t="shared" si="107"/>
        <v>1181.1765</v>
      </c>
      <c r="U1401" s="4">
        <f t="shared" si="108"/>
        <v>0.26419558359621453</v>
      </c>
      <c r="V1401" s="5">
        <f t="shared" si="109"/>
        <v>19.886075999999999</v>
      </c>
    </row>
    <row r="1402" spans="1:22" x14ac:dyDescent="0.25">
      <c r="A1402" s="2" t="s">
        <v>1436</v>
      </c>
      <c r="B1402" s="2" t="s">
        <v>18</v>
      </c>
      <c r="C1402" s="2" t="s">
        <v>27</v>
      </c>
      <c r="D1402" s="2" t="s">
        <v>20</v>
      </c>
      <c r="E1402" s="2">
        <v>441.41</v>
      </c>
      <c r="F1402" s="2">
        <v>10.31</v>
      </c>
      <c r="G1402" s="2">
        <v>32.76</v>
      </c>
      <c r="H1402" s="2">
        <v>1.3</v>
      </c>
      <c r="I1402" s="2">
        <v>0.9</v>
      </c>
      <c r="J1402" s="2">
        <v>20</v>
      </c>
      <c r="K1402" s="2" t="s">
        <v>34</v>
      </c>
      <c r="L1402" s="2">
        <v>4.78</v>
      </c>
      <c r="M1402" s="2" t="s">
        <v>37</v>
      </c>
      <c r="N1402" s="2">
        <v>70.540000000000006</v>
      </c>
      <c r="O1402" s="2" t="s">
        <v>24</v>
      </c>
      <c r="P1402" s="2">
        <v>8.6199999999999992</v>
      </c>
      <c r="Q1402" s="2">
        <v>9.76</v>
      </c>
      <c r="R1402" s="3">
        <f t="shared" si="105"/>
        <v>3804.9541999999997</v>
      </c>
      <c r="S1402" s="3">
        <f t="shared" si="106"/>
        <v>4308.1616000000004</v>
      </c>
      <c r="T1402" s="3">
        <f t="shared" si="107"/>
        <v>503.20740000000069</v>
      </c>
      <c r="U1402" s="4">
        <f t="shared" si="108"/>
        <v>0.11680327868852473</v>
      </c>
      <c r="V1402" s="5">
        <f t="shared" si="109"/>
        <v>21.099398000000001</v>
      </c>
    </row>
    <row r="1403" spans="1:22" x14ac:dyDescent="0.25">
      <c r="A1403" s="2" t="s">
        <v>1437</v>
      </c>
      <c r="B1403" s="2" t="s">
        <v>18</v>
      </c>
      <c r="C1403" s="2" t="s">
        <v>27</v>
      </c>
      <c r="D1403" s="2" t="s">
        <v>20</v>
      </c>
      <c r="E1403" s="2">
        <v>532.91</v>
      </c>
      <c r="F1403" s="2">
        <v>16.02</v>
      </c>
      <c r="G1403" s="2">
        <v>32.57</v>
      </c>
      <c r="H1403" s="2">
        <v>1.1000000000000001</v>
      </c>
      <c r="I1403" s="2">
        <v>1.7</v>
      </c>
      <c r="J1403" s="2">
        <v>23</v>
      </c>
      <c r="K1403" s="2" t="s">
        <v>34</v>
      </c>
      <c r="L1403" s="2">
        <v>4.88</v>
      </c>
      <c r="M1403" s="2" t="s">
        <v>40</v>
      </c>
      <c r="N1403" s="2">
        <v>65.91</v>
      </c>
      <c r="O1403" s="2" t="s">
        <v>24</v>
      </c>
      <c r="P1403" s="2">
        <v>4.7</v>
      </c>
      <c r="Q1403" s="2">
        <v>7.14</v>
      </c>
      <c r="R1403" s="3">
        <f t="shared" si="105"/>
        <v>2504.6770000000001</v>
      </c>
      <c r="S1403" s="3">
        <f t="shared" si="106"/>
        <v>3804.9773999999998</v>
      </c>
      <c r="T1403" s="3">
        <f t="shared" si="107"/>
        <v>1300.3003999999996</v>
      </c>
      <c r="U1403" s="4">
        <f t="shared" si="108"/>
        <v>0.34173669467787104</v>
      </c>
      <c r="V1403" s="5">
        <f t="shared" si="109"/>
        <v>26.006007999999998</v>
      </c>
    </row>
    <row r="1404" spans="1:22" x14ac:dyDescent="0.25">
      <c r="A1404" s="2" t="s">
        <v>1438</v>
      </c>
      <c r="B1404" s="2" t="s">
        <v>32</v>
      </c>
      <c r="C1404" s="2" t="s">
        <v>27</v>
      </c>
      <c r="D1404" s="2" t="s">
        <v>20</v>
      </c>
      <c r="E1404" s="2">
        <v>625.28</v>
      </c>
      <c r="F1404" s="2">
        <v>16.510000000000002</v>
      </c>
      <c r="G1404" s="2">
        <v>31.07</v>
      </c>
      <c r="H1404" s="2">
        <v>3.7</v>
      </c>
      <c r="I1404" s="2">
        <v>1.5</v>
      </c>
      <c r="J1404" s="2">
        <v>14</v>
      </c>
      <c r="K1404" s="2" t="s">
        <v>21</v>
      </c>
      <c r="L1404" s="2">
        <v>4.96</v>
      </c>
      <c r="M1404" s="2" t="s">
        <v>37</v>
      </c>
      <c r="N1404" s="2">
        <v>57.06</v>
      </c>
      <c r="O1404" s="2" t="s">
        <v>30</v>
      </c>
      <c r="P1404" s="2">
        <v>5.27</v>
      </c>
      <c r="Q1404" s="2">
        <v>12.73</v>
      </c>
      <c r="R1404" s="3">
        <f t="shared" si="105"/>
        <v>3295.2255999999998</v>
      </c>
      <c r="S1404" s="3">
        <f t="shared" si="106"/>
        <v>7959.8144000000002</v>
      </c>
      <c r="T1404" s="3">
        <f t="shared" si="107"/>
        <v>4664.5888000000004</v>
      </c>
      <c r="U1404" s="4">
        <f t="shared" si="108"/>
        <v>0.58601728201099768</v>
      </c>
      <c r="V1404" s="5">
        <f t="shared" si="109"/>
        <v>31.013887999999998</v>
      </c>
    </row>
    <row r="1405" spans="1:22" x14ac:dyDescent="0.25">
      <c r="A1405" s="2" t="s">
        <v>1439</v>
      </c>
      <c r="B1405" s="2" t="s">
        <v>45</v>
      </c>
      <c r="C1405" s="2" t="s">
        <v>27</v>
      </c>
      <c r="D1405" s="2" t="s">
        <v>20</v>
      </c>
      <c r="E1405" s="2">
        <v>455.18</v>
      </c>
      <c r="F1405" s="2">
        <v>12.83</v>
      </c>
      <c r="G1405" s="2">
        <v>39.729999999999997</v>
      </c>
      <c r="H1405" s="2">
        <v>0.5</v>
      </c>
      <c r="I1405" s="2">
        <v>2.2000000000000002</v>
      </c>
      <c r="J1405" s="2">
        <v>27</v>
      </c>
      <c r="K1405" s="2" t="s">
        <v>21</v>
      </c>
      <c r="L1405" s="2">
        <v>8.8699999999999992</v>
      </c>
      <c r="M1405" s="2" t="s">
        <v>37</v>
      </c>
      <c r="N1405" s="2">
        <v>68.94</v>
      </c>
      <c r="O1405" s="2" t="s">
        <v>23</v>
      </c>
      <c r="P1405" s="2">
        <v>5.47</v>
      </c>
      <c r="Q1405" s="2">
        <v>8.1999999999999993</v>
      </c>
      <c r="R1405" s="3">
        <f t="shared" si="105"/>
        <v>2489.8346000000001</v>
      </c>
      <c r="S1405" s="3">
        <f t="shared" si="106"/>
        <v>3732.4759999999997</v>
      </c>
      <c r="T1405" s="3">
        <f t="shared" si="107"/>
        <v>1242.6413999999995</v>
      </c>
      <c r="U1405" s="4">
        <f t="shared" si="108"/>
        <v>0.33292682926829259</v>
      </c>
      <c r="V1405" s="5">
        <f t="shared" si="109"/>
        <v>40.374465999999998</v>
      </c>
    </row>
    <row r="1406" spans="1:22" x14ac:dyDescent="0.25">
      <c r="A1406" s="2" t="s">
        <v>1440</v>
      </c>
      <c r="B1406" s="2" t="s">
        <v>45</v>
      </c>
      <c r="C1406" s="2" t="s">
        <v>43</v>
      </c>
      <c r="D1406" s="2" t="s">
        <v>28</v>
      </c>
      <c r="E1406" s="2">
        <v>430.77</v>
      </c>
      <c r="F1406" s="2">
        <v>12.16</v>
      </c>
      <c r="G1406" s="2">
        <v>34.65</v>
      </c>
      <c r="H1406" s="2">
        <v>0</v>
      </c>
      <c r="I1406" s="2">
        <v>0.8</v>
      </c>
      <c r="J1406" s="2">
        <v>15</v>
      </c>
      <c r="K1406" s="2" t="s">
        <v>34</v>
      </c>
      <c r="L1406" s="2">
        <v>8.2799999999999994</v>
      </c>
      <c r="M1406" s="2" t="s">
        <v>40</v>
      </c>
      <c r="N1406" s="2">
        <v>83.64</v>
      </c>
      <c r="O1406" s="2" t="s">
        <v>30</v>
      </c>
      <c r="P1406" s="2">
        <v>9.39</v>
      </c>
      <c r="Q1406" s="2">
        <v>6.75</v>
      </c>
      <c r="R1406" s="3">
        <f t="shared" si="105"/>
        <v>4044.9303</v>
      </c>
      <c r="S1406" s="3">
        <f t="shared" si="106"/>
        <v>2907.6974999999998</v>
      </c>
      <c r="T1406" s="3">
        <f t="shared" si="107"/>
        <v>-1137.2328000000002</v>
      </c>
      <c r="U1406" s="4">
        <f t="shared" si="108"/>
        <v>-0.39111111111111124</v>
      </c>
      <c r="V1406" s="5">
        <f t="shared" si="109"/>
        <v>35.667755999999997</v>
      </c>
    </row>
    <row r="1407" spans="1:22" x14ac:dyDescent="0.25">
      <c r="A1407" s="2" t="s">
        <v>1441</v>
      </c>
      <c r="B1407" s="2" t="s">
        <v>26</v>
      </c>
      <c r="C1407" s="2" t="s">
        <v>19</v>
      </c>
      <c r="D1407" s="2" t="s">
        <v>20</v>
      </c>
      <c r="E1407" s="2">
        <v>303.11</v>
      </c>
      <c r="F1407" s="2">
        <v>17.78</v>
      </c>
      <c r="G1407" s="2">
        <v>35.54</v>
      </c>
      <c r="H1407" s="2">
        <v>2.1</v>
      </c>
      <c r="I1407" s="2">
        <v>3.4</v>
      </c>
      <c r="J1407" s="2">
        <v>11</v>
      </c>
      <c r="K1407" s="2" t="s">
        <v>29</v>
      </c>
      <c r="L1407" s="2">
        <v>6.48</v>
      </c>
      <c r="M1407" s="2" t="s">
        <v>37</v>
      </c>
      <c r="N1407" s="2">
        <v>68.08</v>
      </c>
      <c r="O1407" s="2" t="s">
        <v>24</v>
      </c>
      <c r="P1407" s="2">
        <v>9.99</v>
      </c>
      <c r="Q1407" s="2">
        <v>11.32</v>
      </c>
      <c r="R1407" s="3">
        <f t="shared" si="105"/>
        <v>3028.0689000000002</v>
      </c>
      <c r="S1407" s="3">
        <f t="shared" si="106"/>
        <v>3431.2052000000003</v>
      </c>
      <c r="T1407" s="3">
        <f t="shared" si="107"/>
        <v>403.13630000000012</v>
      </c>
      <c r="U1407" s="4">
        <f t="shared" si="108"/>
        <v>0.11749116607773855</v>
      </c>
      <c r="V1407" s="5">
        <f t="shared" si="109"/>
        <v>19.641528000000005</v>
      </c>
    </row>
    <row r="1408" spans="1:22" x14ac:dyDescent="0.25">
      <c r="A1408" s="2" t="s">
        <v>1442</v>
      </c>
      <c r="B1408" s="2" t="s">
        <v>45</v>
      </c>
      <c r="C1408" s="2" t="s">
        <v>33</v>
      </c>
      <c r="D1408" s="2" t="s">
        <v>28</v>
      </c>
      <c r="E1408" s="2">
        <v>510.34</v>
      </c>
      <c r="F1408" s="2">
        <v>10.01</v>
      </c>
      <c r="G1408" s="2">
        <v>37.450000000000003</v>
      </c>
      <c r="H1408" s="2">
        <v>0.5</v>
      </c>
      <c r="I1408" s="2">
        <v>5.6</v>
      </c>
      <c r="J1408" s="2">
        <v>24</v>
      </c>
      <c r="K1408" s="2" t="s">
        <v>34</v>
      </c>
      <c r="L1408" s="2">
        <v>7.31</v>
      </c>
      <c r="M1408" s="2" t="s">
        <v>40</v>
      </c>
      <c r="N1408" s="2">
        <v>79</v>
      </c>
      <c r="O1408" s="2" t="s">
        <v>23</v>
      </c>
      <c r="P1408" s="2">
        <v>8.42</v>
      </c>
      <c r="Q1408" s="2">
        <v>5.9</v>
      </c>
      <c r="R1408" s="3">
        <f t="shared" si="105"/>
        <v>4297.0627999999997</v>
      </c>
      <c r="S1408" s="3">
        <f t="shared" si="106"/>
        <v>3011.0059999999999</v>
      </c>
      <c r="T1408" s="3">
        <f t="shared" si="107"/>
        <v>-1286.0567999999998</v>
      </c>
      <c r="U1408" s="4">
        <f t="shared" si="108"/>
        <v>-0.42711864406779659</v>
      </c>
      <c r="V1408" s="5">
        <f t="shared" si="109"/>
        <v>37.305853999999997</v>
      </c>
    </row>
    <row r="1409" spans="1:22" x14ac:dyDescent="0.25">
      <c r="A1409" s="2" t="s">
        <v>1443</v>
      </c>
      <c r="B1409" s="2" t="s">
        <v>32</v>
      </c>
      <c r="C1409" s="2" t="s">
        <v>27</v>
      </c>
      <c r="D1409" s="2" t="s">
        <v>20</v>
      </c>
      <c r="E1409" s="2">
        <v>704.21</v>
      </c>
      <c r="F1409" s="2">
        <v>10.15</v>
      </c>
      <c r="G1409" s="2">
        <v>24.31</v>
      </c>
      <c r="H1409" s="2">
        <v>4.4000000000000004</v>
      </c>
      <c r="I1409" s="2">
        <v>0.1</v>
      </c>
      <c r="J1409" s="2">
        <v>26</v>
      </c>
      <c r="K1409" s="2" t="s">
        <v>21</v>
      </c>
      <c r="L1409" s="2">
        <v>0.91</v>
      </c>
      <c r="M1409" s="2" t="s">
        <v>37</v>
      </c>
      <c r="N1409" s="2">
        <v>79.64</v>
      </c>
      <c r="O1409" s="2" t="s">
        <v>30</v>
      </c>
      <c r="P1409" s="2">
        <v>6.39</v>
      </c>
      <c r="Q1409" s="2">
        <v>14.71</v>
      </c>
      <c r="R1409" s="3">
        <f t="shared" si="105"/>
        <v>4499.9018999999998</v>
      </c>
      <c r="S1409" s="3">
        <f t="shared" si="106"/>
        <v>10358.929100000001</v>
      </c>
      <c r="T1409" s="3">
        <f t="shared" si="107"/>
        <v>5859.0272000000014</v>
      </c>
      <c r="U1409" s="4">
        <f t="shared" si="108"/>
        <v>0.565601631543168</v>
      </c>
      <c r="V1409" s="5">
        <f t="shared" si="109"/>
        <v>6.4083110000000012</v>
      </c>
    </row>
    <row r="1410" spans="1:22" x14ac:dyDescent="0.25">
      <c r="A1410" s="2" t="s">
        <v>1444</v>
      </c>
      <c r="B1410" s="2" t="s">
        <v>18</v>
      </c>
      <c r="C1410" s="2" t="s">
        <v>33</v>
      </c>
      <c r="D1410" s="2" t="s">
        <v>28</v>
      </c>
      <c r="E1410" s="2">
        <v>527.74</v>
      </c>
      <c r="F1410" s="2">
        <v>10.92</v>
      </c>
      <c r="G1410" s="2">
        <v>21.68</v>
      </c>
      <c r="H1410" s="2">
        <v>3.9</v>
      </c>
      <c r="I1410" s="2">
        <v>1.9</v>
      </c>
      <c r="J1410" s="2">
        <v>9</v>
      </c>
      <c r="K1410" s="2" t="s">
        <v>34</v>
      </c>
      <c r="L1410" s="2">
        <v>7.57</v>
      </c>
      <c r="M1410" s="2" t="s">
        <v>22</v>
      </c>
      <c r="N1410" s="2">
        <v>79.36</v>
      </c>
      <c r="O1410" s="2" t="s">
        <v>24</v>
      </c>
      <c r="P1410" s="2">
        <v>3.07</v>
      </c>
      <c r="Q1410" s="2">
        <v>11.32</v>
      </c>
      <c r="R1410" s="3">
        <f t="shared" si="105"/>
        <v>1620.1617999999999</v>
      </c>
      <c r="S1410" s="3">
        <f t="shared" si="106"/>
        <v>5974.0168000000003</v>
      </c>
      <c r="T1410" s="3">
        <f t="shared" si="107"/>
        <v>4353.8550000000005</v>
      </c>
      <c r="U1410" s="4">
        <f t="shared" si="108"/>
        <v>0.72879858657243823</v>
      </c>
      <c r="V1410" s="5">
        <f t="shared" si="109"/>
        <v>39.949918000000004</v>
      </c>
    </row>
    <row r="1411" spans="1:22" x14ac:dyDescent="0.25">
      <c r="A1411" s="2" t="s">
        <v>1445</v>
      </c>
      <c r="B1411" s="2" t="s">
        <v>45</v>
      </c>
      <c r="C1411" s="2" t="s">
        <v>43</v>
      </c>
      <c r="D1411" s="2" t="s">
        <v>28</v>
      </c>
      <c r="E1411" s="2">
        <v>497.77</v>
      </c>
      <c r="F1411" s="2">
        <v>9.73</v>
      </c>
      <c r="G1411" s="2">
        <v>29.66</v>
      </c>
      <c r="H1411" s="2">
        <v>0.2</v>
      </c>
      <c r="I1411" s="2">
        <v>0.7</v>
      </c>
      <c r="J1411" s="2">
        <v>17</v>
      </c>
      <c r="K1411" s="2" t="s">
        <v>34</v>
      </c>
      <c r="L1411" s="2">
        <v>5.12</v>
      </c>
      <c r="M1411" s="2" t="s">
        <v>40</v>
      </c>
      <c r="N1411" s="2">
        <v>76.48</v>
      </c>
      <c r="O1411" s="2" t="s">
        <v>23</v>
      </c>
      <c r="P1411" s="2">
        <v>7.88</v>
      </c>
      <c r="Q1411" s="2">
        <v>14.86</v>
      </c>
      <c r="R1411" s="3">
        <f t="shared" ref="R1411:R1474" si="110">E1411*P1411</f>
        <v>3922.4276</v>
      </c>
      <c r="S1411" s="3">
        <f t="shared" ref="S1411:S1474" si="111">E1411*Q1411</f>
        <v>7396.8621999999996</v>
      </c>
      <c r="T1411" s="3">
        <f t="shared" ref="T1411:T1474" si="112">S1411-R1411</f>
        <v>3474.4345999999996</v>
      </c>
      <c r="U1411" s="4">
        <f t="shared" ref="U1411:U1474" si="113">T1411/S1411</f>
        <v>0.46971736204576042</v>
      </c>
      <c r="V1411" s="5">
        <f t="shared" ref="V1411:V1474" si="114">E1411*L1411/100</f>
        <v>25.485823999999997</v>
      </c>
    </row>
    <row r="1412" spans="1:22" x14ac:dyDescent="0.25">
      <c r="A1412" s="2" t="s">
        <v>1446</v>
      </c>
      <c r="B1412" s="2" t="s">
        <v>26</v>
      </c>
      <c r="C1412" s="2" t="s">
        <v>27</v>
      </c>
      <c r="D1412" s="2" t="s">
        <v>20</v>
      </c>
      <c r="E1412" s="2">
        <v>532.21</v>
      </c>
      <c r="F1412" s="2">
        <v>11.79</v>
      </c>
      <c r="G1412" s="2">
        <v>30.28</v>
      </c>
      <c r="H1412" s="2">
        <v>0.2</v>
      </c>
      <c r="I1412" s="2">
        <v>0.5</v>
      </c>
      <c r="J1412" s="2">
        <v>4</v>
      </c>
      <c r="K1412" s="2" t="s">
        <v>34</v>
      </c>
      <c r="L1412" s="2">
        <v>3.52</v>
      </c>
      <c r="M1412" s="2" t="s">
        <v>37</v>
      </c>
      <c r="N1412" s="2">
        <v>55.85</v>
      </c>
      <c r="O1412" s="2" t="s">
        <v>24</v>
      </c>
      <c r="P1412" s="2">
        <v>5.73</v>
      </c>
      <c r="Q1412" s="2">
        <v>8.39</v>
      </c>
      <c r="R1412" s="3">
        <f t="shared" si="110"/>
        <v>3049.5633000000003</v>
      </c>
      <c r="S1412" s="3">
        <f t="shared" si="111"/>
        <v>4465.2419000000009</v>
      </c>
      <c r="T1412" s="3">
        <f t="shared" si="112"/>
        <v>1415.6786000000006</v>
      </c>
      <c r="U1412" s="4">
        <f t="shared" si="113"/>
        <v>0.3170441001191896</v>
      </c>
      <c r="V1412" s="5">
        <f t="shared" si="114"/>
        <v>18.733792000000001</v>
      </c>
    </row>
    <row r="1413" spans="1:22" x14ac:dyDescent="0.25">
      <c r="A1413" s="2" t="s">
        <v>1447</v>
      </c>
      <c r="B1413" s="2" t="s">
        <v>45</v>
      </c>
      <c r="C1413" s="2" t="s">
        <v>19</v>
      </c>
      <c r="D1413" s="2" t="s">
        <v>28</v>
      </c>
      <c r="E1413" s="2">
        <v>498.89</v>
      </c>
      <c r="F1413" s="2">
        <v>17.11</v>
      </c>
      <c r="G1413" s="2">
        <v>36.58</v>
      </c>
      <c r="H1413" s="2">
        <v>1.4</v>
      </c>
      <c r="I1413" s="2">
        <v>0.9</v>
      </c>
      <c r="J1413" s="2">
        <v>20</v>
      </c>
      <c r="K1413" s="2" t="s">
        <v>21</v>
      </c>
      <c r="L1413" s="2">
        <v>1.83</v>
      </c>
      <c r="M1413" s="2" t="s">
        <v>22</v>
      </c>
      <c r="N1413" s="2">
        <v>60.92</v>
      </c>
      <c r="O1413" s="2" t="s">
        <v>23</v>
      </c>
      <c r="P1413" s="2">
        <v>7.43</v>
      </c>
      <c r="Q1413" s="2">
        <v>14.71</v>
      </c>
      <c r="R1413" s="3">
        <f t="shared" si="110"/>
        <v>3706.7526999999995</v>
      </c>
      <c r="S1413" s="3">
        <f t="shared" si="111"/>
        <v>7338.6719000000003</v>
      </c>
      <c r="T1413" s="3">
        <f t="shared" si="112"/>
        <v>3631.9192000000007</v>
      </c>
      <c r="U1413" s="4">
        <f t="shared" si="113"/>
        <v>0.494901427600272</v>
      </c>
      <c r="V1413" s="5">
        <f t="shared" si="114"/>
        <v>9.1296870000000006</v>
      </c>
    </row>
    <row r="1414" spans="1:22" x14ac:dyDescent="0.25">
      <c r="A1414" s="2" t="s">
        <v>1448</v>
      </c>
      <c r="B1414" s="2" t="s">
        <v>32</v>
      </c>
      <c r="C1414" s="2" t="s">
        <v>33</v>
      </c>
      <c r="D1414" s="2" t="s">
        <v>20</v>
      </c>
      <c r="E1414" s="2">
        <v>418.7</v>
      </c>
      <c r="F1414" s="2">
        <v>14.15</v>
      </c>
      <c r="G1414" s="2">
        <v>28.88</v>
      </c>
      <c r="H1414" s="2">
        <v>1.9</v>
      </c>
      <c r="I1414" s="2">
        <v>0.1</v>
      </c>
      <c r="J1414" s="2">
        <v>19</v>
      </c>
      <c r="K1414" s="2" t="s">
        <v>21</v>
      </c>
      <c r="L1414" s="2">
        <v>1.21</v>
      </c>
      <c r="M1414" s="2" t="s">
        <v>22</v>
      </c>
      <c r="N1414" s="2">
        <v>90</v>
      </c>
      <c r="O1414" s="2" t="s">
        <v>23</v>
      </c>
      <c r="P1414" s="2">
        <v>7.25</v>
      </c>
      <c r="Q1414" s="2">
        <v>6.46</v>
      </c>
      <c r="R1414" s="3">
        <f t="shared" si="110"/>
        <v>3035.5749999999998</v>
      </c>
      <c r="S1414" s="3">
        <f t="shared" si="111"/>
        <v>2704.8020000000001</v>
      </c>
      <c r="T1414" s="3">
        <f t="shared" si="112"/>
        <v>-330.77299999999968</v>
      </c>
      <c r="U1414" s="4">
        <f t="shared" si="113"/>
        <v>-0.1222910216718265</v>
      </c>
      <c r="V1414" s="5">
        <f t="shared" si="114"/>
        <v>5.0662699999999994</v>
      </c>
    </row>
    <row r="1415" spans="1:22" x14ac:dyDescent="0.25">
      <c r="A1415" s="2" t="s">
        <v>1449</v>
      </c>
      <c r="B1415" s="2" t="s">
        <v>26</v>
      </c>
      <c r="C1415" s="2" t="s">
        <v>27</v>
      </c>
      <c r="D1415" s="2" t="s">
        <v>28</v>
      </c>
      <c r="E1415" s="2">
        <v>582.33000000000004</v>
      </c>
      <c r="F1415" s="2">
        <v>12.12</v>
      </c>
      <c r="G1415" s="2">
        <v>31.42</v>
      </c>
      <c r="H1415" s="2">
        <v>0.6</v>
      </c>
      <c r="I1415" s="2">
        <v>0.7</v>
      </c>
      <c r="J1415" s="2">
        <v>7</v>
      </c>
      <c r="K1415" s="2" t="s">
        <v>34</v>
      </c>
      <c r="L1415" s="2">
        <v>0.93</v>
      </c>
      <c r="M1415" s="2" t="s">
        <v>22</v>
      </c>
      <c r="N1415" s="2">
        <v>75.12</v>
      </c>
      <c r="O1415" s="2" t="s">
        <v>30</v>
      </c>
      <c r="P1415" s="2">
        <v>6.37</v>
      </c>
      <c r="Q1415" s="2">
        <v>5.41</v>
      </c>
      <c r="R1415" s="3">
        <f t="shared" si="110"/>
        <v>3709.4421000000002</v>
      </c>
      <c r="S1415" s="3">
        <f t="shared" si="111"/>
        <v>3150.4053000000004</v>
      </c>
      <c r="T1415" s="3">
        <f t="shared" si="112"/>
        <v>-559.03679999999986</v>
      </c>
      <c r="U1415" s="4">
        <f t="shared" si="113"/>
        <v>-0.17744916820702397</v>
      </c>
      <c r="V1415" s="5">
        <f t="shared" si="114"/>
        <v>5.4156690000000003</v>
      </c>
    </row>
    <row r="1416" spans="1:22" x14ac:dyDescent="0.25">
      <c r="A1416" s="2" t="s">
        <v>1450</v>
      </c>
      <c r="B1416" s="2" t="s">
        <v>45</v>
      </c>
      <c r="C1416" s="2" t="s">
        <v>43</v>
      </c>
      <c r="D1416" s="2" t="s">
        <v>20</v>
      </c>
      <c r="E1416" s="2">
        <v>522.58000000000004</v>
      </c>
      <c r="F1416" s="2">
        <v>17.34</v>
      </c>
      <c r="G1416" s="2">
        <v>30.54</v>
      </c>
      <c r="H1416" s="2">
        <v>2.5</v>
      </c>
      <c r="I1416" s="2">
        <v>2</v>
      </c>
      <c r="J1416" s="2">
        <v>1</v>
      </c>
      <c r="K1416" s="2" t="s">
        <v>34</v>
      </c>
      <c r="L1416" s="2">
        <v>2.04</v>
      </c>
      <c r="M1416" s="2" t="s">
        <v>22</v>
      </c>
      <c r="N1416" s="2">
        <v>85.3</v>
      </c>
      <c r="O1416" s="2" t="s">
        <v>23</v>
      </c>
      <c r="P1416" s="2">
        <v>9.61</v>
      </c>
      <c r="Q1416" s="2">
        <v>5.33</v>
      </c>
      <c r="R1416" s="3">
        <f t="shared" si="110"/>
        <v>5021.9938000000002</v>
      </c>
      <c r="S1416" s="3">
        <f t="shared" si="111"/>
        <v>2785.3514000000005</v>
      </c>
      <c r="T1416" s="3">
        <f t="shared" si="112"/>
        <v>-2236.6423999999997</v>
      </c>
      <c r="U1416" s="4">
        <f t="shared" si="113"/>
        <v>-0.80300187617260765</v>
      </c>
      <c r="V1416" s="5">
        <f t="shared" si="114"/>
        <v>10.660632</v>
      </c>
    </row>
    <row r="1417" spans="1:22" x14ac:dyDescent="0.25">
      <c r="A1417" s="2" t="s">
        <v>1451</v>
      </c>
      <c r="B1417" s="2" t="s">
        <v>26</v>
      </c>
      <c r="C1417" s="2" t="s">
        <v>19</v>
      </c>
      <c r="D1417" s="2" t="s">
        <v>28</v>
      </c>
      <c r="E1417" s="2">
        <v>501.76</v>
      </c>
      <c r="F1417" s="2">
        <v>8.48</v>
      </c>
      <c r="G1417" s="2">
        <v>20.76</v>
      </c>
      <c r="H1417" s="2">
        <v>1.8</v>
      </c>
      <c r="I1417" s="2">
        <v>0.2</v>
      </c>
      <c r="J1417" s="2">
        <v>9</v>
      </c>
      <c r="K1417" s="2" t="s">
        <v>29</v>
      </c>
      <c r="L1417" s="2">
        <v>0.79</v>
      </c>
      <c r="M1417" s="2" t="s">
        <v>40</v>
      </c>
      <c r="N1417" s="2">
        <v>78.5</v>
      </c>
      <c r="O1417" s="2" t="s">
        <v>24</v>
      </c>
      <c r="P1417" s="2">
        <v>3.16</v>
      </c>
      <c r="Q1417" s="2">
        <v>9.65</v>
      </c>
      <c r="R1417" s="3">
        <f t="shared" si="110"/>
        <v>1585.5616</v>
      </c>
      <c r="S1417" s="3">
        <f t="shared" si="111"/>
        <v>4841.9840000000004</v>
      </c>
      <c r="T1417" s="3">
        <f t="shared" si="112"/>
        <v>3256.4224000000004</v>
      </c>
      <c r="U1417" s="4">
        <f t="shared" si="113"/>
        <v>0.67253886010362696</v>
      </c>
      <c r="V1417" s="5">
        <f t="shared" si="114"/>
        <v>3.9639039999999999</v>
      </c>
    </row>
    <row r="1418" spans="1:22" x14ac:dyDescent="0.25">
      <c r="A1418" s="2" t="s">
        <v>1452</v>
      </c>
      <c r="B1418" s="2" t="s">
        <v>32</v>
      </c>
      <c r="C1418" s="2" t="s">
        <v>33</v>
      </c>
      <c r="D1418" s="2" t="s">
        <v>20</v>
      </c>
      <c r="E1418" s="2">
        <v>402.46</v>
      </c>
      <c r="F1418" s="2">
        <v>10.1</v>
      </c>
      <c r="G1418" s="2">
        <v>32.299999999999997</v>
      </c>
      <c r="H1418" s="2">
        <v>0.8</v>
      </c>
      <c r="I1418" s="2">
        <v>0.6</v>
      </c>
      <c r="J1418" s="2">
        <v>13</v>
      </c>
      <c r="K1418" s="2" t="s">
        <v>29</v>
      </c>
      <c r="L1418" s="2">
        <v>7.46</v>
      </c>
      <c r="M1418" s="2" t="s">
        <v>37</v>
      </c>
      <c r="N1418" s="2">
        <v>51.93</v>
      </c>
      <c r="O1418" s="2" t="s">
        <v>23</v>
      </c>
      <c r="P1418" s="2">
        <v>7.98</v>
      </c>
      <c r="Q1418" s="2">
        <v>5.83</v>
      </c>
      <c r="R1418" s="3">
        <f t="shared" si="110"/>
        <v>3211.6307999999999</v>
      </c>
      <c r="S1418" s="3">
        <f t="shared" si="111"/>
        <v>2346.3417999999997</v>
      </c>
      <c r="T1418" s="3">
        <f t="shared" si="112"/>
        <v>-865.28900000000021</v>
      </c>
      <c r="U1418" s="4">
        <f t="shared" si="113"/>
        <v>-0.36878216123499158</v>
      </c>
      <c r="V1418" s="5">
        <f t="shared" si="114"/>
        <v>30.023516000000001</v>
      </c>
    </row>
    <row r="1419" spans="1:22" x14ac:dyDescent="0.25">
      <c r="A1419" s="2" t="s">
        <v>1453</v>
      </c>
      <c r="B1419" s="2" t="s">
        <v>18</v>
      </c>
      <c r="C1419" s="2" t="s">
        <v>33</v>
      </c>
      <c r="D1419" s="2" t="s">
        <v>20</v>
      </c>
      <c r="E1419" s="2">
        <v>630.35</v>
      </c>
      <c r="F1419" s="2">
        <v>13.66</v>
      </c>
      <c r="G1419" s="2">
        <v>36.56</v>
      </c>
      <c r="H1419" s="2">
        <v>0.1</v>
      </c>
      <c r="I1419" s="2">
        <v>2.8</v>
      </c>
      <c r="J1419" s="2">
        <v>24</v>
      </c>
      <c r="K1419" s="2" t="s">
        <v>34</v>
      </c>
      <c r="L1419" s="2">
        <v>2.86</v>
      </c>
      <c r="M1419" s="2" t="s">
        <v>22</v>
      </c>
      <c r="N1419" s="2">
        <v>89.81</v>
      </c>
      <c r="O1419" s="2" t="s">
        <v>24</v>
      </c>
      <c r="P1419" s="2">
        <v>5.87</v>
      </c>
      <c r="Q1419" s="2">
        <v>10.119999999999999</v>
      </c>
      <c r="R1419" s="3">
        <f t="shared" si="110"/>
        <v>3700.1545000000001</v>
      </c>
      <c r="S1419" s="3">
        <f t="shared" si="111"/>
        <v>6379.1419999999998</v>
      </c>
      <c r="T1419" s="3">
        <f t="shared" si="112"/>
        <v>2678.9874999999997</v>
      </c>
      <c r="U1419" s="4">
        <f t="shared" si="113"/>
        <v>0.41996047430830036</v>
      </c>
      <c r="V1419" s="5">
        <f t="shared" si="114"/>
        <v>18.028009999999998</v>
      </c>
    </row>
    <row r="1420" spans="1:22" x14ac:dyDescent="0.25">
      <c r="A1420" s="2" t="s">
        <v>1454</v>
      </c>
      <c r="B1420" s="2" t="s">
        <v>32</v>
      </c>
      <c r="C1420" s="2" t="s">
        <v>27</v>
      </c>
      <c r="D1420" s="2" t="s">
        <v>28</v>
      </c>
      <c r="E1420" s="2">
        <v>566.47</v>
      </c>
      <c r="F1420" s="2">
        <v>14.16</v>
      </c>
      <c r="G1420" s="2">
        <v>23.15</v>
      </c>
      <c r="H1420" s="2">
        <v>2.8</v>
      </c>
      <c r="I1420" s="2">
        <v>0.6</v>
      </c>
      <c r="J1420" s="2">
        <v>2</v>
      </c>
      <c r="K1420" s="2" t="s">
        <v>21</v>
      </c>
      <c r="L1420" s="2">
        <v>4</v>
      </c>
      <c r="M1420" s="2" t="s">
        <v>37</v>
      </c>
      <c r="N1420" s="2">
        <v>53.22</v>
      </c>
      <c r="O1420" s="2" t="s">
        <v>23</v>
      </c>
      <c r="P1420" s="2">
        <v>8</v>
      </c>
      <c r="Q1420" s="2">
        <v>8.2799999999999994</v>
      </c>
      <c r="R1420" s="3">
        <f t="shared" si="110"/>
        <v>4531.76</v>
      </c>
      <c r="S1420" s="3">
        <f t="shared" si="111"/>
        <v>4690.3715999999995</v>
      </c>
      <c r="T1420" s="3">
        <f t="shared" si="112"/>
        <v>158.61159999999927</v>
      </c>
      <c r="U1420" s="4">
        <f t="shared" si="113"/>
        <v>3.3816425120772792E-2</v>
      </c>
      <c r="V1420" s="5">
        <f t="shared" si="114"/>
        <v>22.658799999999999</v>
      </c>
    </row>
    <row r="1421" spans="1:22" x14ac:dyDescent="0.25">
      <c r="A1421" s="2" t="s">
        <v>1455</v>
      </c>
      <c r="B1421" s="2" t="s">
        <v>32</v>
      </c>
      <c r="C1421" s="2" t="s">
        <v>19</v>
      </c>
      <c r="D1421" s="2" t="s">
        <v>28</v>
      </c>
      <c r="E1421" s="2">
        <v>444.71</v>
      </c>
      <c r="F1421" s="2">
        <v>8.4</v>
      </c>
      <c r="G1421" s="2">
        <v>31.89</v>
      </c>
      <c r="H1421" s="2">
        <v>0.5</v>
      </c>
      <c r="I1421" s="2">
        <v>0.4</v>
      </c>
      <c r="J1421" s="2">
        <v>2</v>
      </c>
      <c r="K1421" s="2" t="s">
        <v>29</v>
      </c>
      <c r="L1421" s="2">
        <v>8.32</v>
      </c>
      <c r="M1421" s="2" t="s">
        <v>37</v>
      </c>
      <c r="N1421" s="2">
        <v>97.16</v>
      </c>
      <c r="O1421" s="2" t="s">
        <v>23</v>
      </c>
      <c r="P1421" s="2">
        <v>7.73</v>
      </c>
      <c r="Q1421" s="2">
        <v>8.36</v>
      </c>
      <c r="R1421" s="3">
        <f t="shared" si="110"/>
        <v>3437.6082999999999</v>
      </c>
      <c r="S1421" s="3">
        <f t="shared" si="111"/>
        <v>3717.7755999999995</v>
      </c>
      <c r="T1421" s="3">
        <f t="shared" si="112"/>
        <v>280.16729999999961</v>
      </c>
      <c r="U1421" s="4">
        <f t="shared" si="113"/>
        <v>7.5358851674641056E-2</v>
      </c>
      <c r="V1421" s="5">
        <f t="shared" si="114"/>
        <v>36.999872000000003</v>
      </c>
    </row>
    <row r="1422" spans="1:22" x14ac:dyDescent="0.25">
      <c r="A1422" s="2" t="s">
        <v>1456</v>
      </c>
      <c r="B1422" s="2" t="s">
        <v>32</v>
      </c>
      <c r="C1422" s="2" t="s">
        <v>19</v>
      </c>
      <c r="D1422" s="2" t="s">
        <v>28</v>
      </c>
      <c r="E1422" s="2">
        <v>600.17999999999995</v>
      </c>
      <c r="F1422" s="2">
        <v>12.03</v>
      </c>
      <c r="G1422" s="2">
        <v>31.87</v>
      </c>
      <c r="H1422" s="2">
        <v>3.6</v>
      </c>
      <c r="I1422" s="2">
        <v>0.6</v>
      </c>
      <c r="J1422" s="2">
        <v>24</v>
      </c>
      <c r="K1422" s="2" t="s">
        <v>34</v>
      </c>
      <c r="L1422" s="2">
        <v>1.59</v>
      </c>
      <c r="M1422" s="2" t="s">
        <v>37</v>
      </c>
      <c r="N1422" s="2">
        <v>60.77</v>
      </c>
      <c r="O1422" s="2" t="s">
        <v>30</v>
      </c>
      <c r="P1422" s="2">
        <v>3.07</v>
      </c>
      <c r="Q1422" s="2">
        <v>11.36</v>
      </c>
      <c r="R1422" s="3">
        <f t="shared" si="110"/>
        <v>1842.5525999999998</v>
      </c>
      <c r="S1422" s="3">
        <f t="shared" si="111"/>
        <v>6818.0447999999988</v>
      </c>
      <c r="T1422" s="3">
        <f t="shared" si="112"/>
        <v>4975.4921999999988</v>
      </c>
      <c r="U1422" s="4">
        <f t="shared" si="113"/>
        <v>0.72975352112676051</v>
      </c>
      <c r="V1422" s="5">
        <f t="shared" si="114"/>
        <v>9.5428619999999995</v>
      </c>
    </row>
    <row r="1423" spans="1:22" x14ac:dyDescent="0.25">
      <c r="A1423" s="2" t="s">
        <v>1457</v>
      </c>
      <c r="B1423" s="2" t="s">
        <v>32</v>
      </c>
      <c r="C1423" s="2" t="s">
        <v>19</v>
      </c>
      <c r="D1423" s="2" t="s">
        <v>28</v>
      </c>
      <c r="E1423" s="2">
        <v>450.24</v>
      </c>
      <c r="F1423" s="2">
        <v>14.49</v>
      </c>
      <c r="G1423" s="2">
        <v>23.28</v>
      </c>
      <c r="H1423" s="2">
        <v>1.1000000000000001</v>
      </c>
      <c r="I1423" s="2">
        <v>0.7</v>
      </c>
      <c r="J1423" s="2">
        <v>27</v>
      </c>
      <c r="K1423" s="2" t="s">
        <v>29</v>
      </c>
      <c r="L1423" s="2">
        <v>8.44</v>
      </c>
      <c r="M1423" s="2" t="s">
        <v>40</v>
      </c>
      <c r="N1423" s="2">
        <v>75.62</v>
      </c>
      <c r="O1423" s="2" t="s">
        <v>23</v>
      </c>
      <c r="P1423" s="2">
        <v>5</v>
      </c>
      <c r="Q1423" s="2">
        <v>6.63</v>
      </c>
      <c r="R1423" s="3">
        <f t="shared" si="110"/>
        <v>2251.1999999999998</v>
      </c>
      <c r="S1423" s="3">
        <f t="shared" si="111"/>
        <v>2985.0911999999998</v>
      </c>
      <c r="T1423" s="3">
        <f t="shared" si="112"/>
        <v>733.89120000000003</v>
      </c>
      <c r="U1423" s="4">
        <f t="shared" si="113"/>
        <v>0.24585218702865763</v>
      </c>
      <c r="V1423" s="5">
        <f t="shared" si="114"/>
        <v>38.000256</v>
      </c>
    </row>
    <row r="1424" spans="1:22" x14ac:dyDescent="0.25">
      <c r="A1424" s="2" t="s">
        <v>1458</v>
      </c>
      <c r="B1424" s="2" t="s">
        <v>18</v>
      </c>
      <c r="C1424" s="2" t="s">
        <v>19</v>
      </c>
      <c r="D1424" s="2" t="s">
        <v>20</v>
      </c>
      <c r="E1424" s="2">
        <v>421.8</v>
      </c>
      <c r="F1424" s="2">
        <v>14.98</v>
      </c>
      <c r="G1424" s="2">
        <v>22.47</v>
      </c>
      <c r="H1424" s="2">
        <v>1.7</v>
      </c>
      <c r="I1424" s="2">
        <v>1</v>
      </c>
      <c r="J1424" s="2">
        <v>15</v>
      </c>
      <c r="K1424" s="2" t="s">
        <v>29</v>
      </c>
      <c r="L1424" s="2">
        <v>6.58</v>
      </c>
      <c r="M1424" s="2" t="s">
        <v>40</v>
      </c>
      <c r="N1424" s="2">
        <v>53.18</v>
      </c>
      <c r="O1424" s="2" t="s">
        <v>23</v>
      </c>
      <c r="P1424" s="2">
        <v>4.32</v>
      </c>
      <c r="Q1424" s="2">
        <v>12.67</v>
      </c>
      <c r="R1424" s="3">
        <f t="shared" si="110"/>
        <v>1822.1760000000002</v>
      </c>
      <c r="S1424" s="3">
        <f t="shared" si="111"/>
        <v>5344.2060000000001</v>
      </c>
      <c r="T1424" s="3">
        <f t="shared" si="112"/>
        <v>3522.0299999999997</v>
      </c>
      <c r="U1424" s="4">
        <f t="shared" si="113"/>
        <v>0.65903709550118383</v>
      </c>
      <c r="V1424" s="5">
        <f t="shared" si="114"/>
        <v>27.754439999999999</v>
      </c>
    </row>
    <row r="1425" spans="1:22" x14ac:dyDescent="0.25">
      <c r="A1425" s="2" t="s">
        <v>1459</v>
      </c>
      <c r="B1425" s="2" t="s">
        <v>18</v>
      </c>
      <c r="C1425" s="2" t="s">
        <v>43</v>
      </c>
      <c r="D1425" s="2" t="s">
        <v>28</v>
      </c>
      <c r="E1425" s="2">
        <v>424.03</v>
      </c>
      <c r="F1425" s="2">
        <v>14.38</v>
      </c>
      <c r="G1425" s="2">
        <v>39.6</v>
      </c>
      <c r="H1425" s="2">
        <v>4.0999999999999996</v>
      </c>
      <c r="I1425" s="2">
        <v>1.6</v>
      </c>
      <c r="J1425" s="2">
        <v>17</v>
      </c>
      <c r="K1425" s="2" t="s">
        <v>29</v>
      </c>
      <c r="L1425" s="2">
        <v>3.75</v>
      </c>
      <c r="M1425" s="2" t="s">
        <v>22</v>
      </c>
      <c r="N1425" s="2">
        <v>94.75</v>
      </c>
      <c r="O1425" s="2" t="s">
        <v>24</v>
      </c>
      <c r="P1425" s="2">
        <v>4.17</v>
      </c>
      <c r="Q1425" s="2">
        <v>10.82</v>
      </c>
      <c r="R1425" s="3">
        <f t="shared" si="110"/>
        <v>1768.2050999999999</v>
      </c>
      <c r="S1425" s="3">
        <f t="shared" si="111"/>
        <v>4588.0046000000002</v>
      </c>
      <c r="T1425" s="3">
        <f t="shared" si="112"/>
        <v>2819.7995000000001</v>
      </c>
      <c r="U1425" s="4">
        <f t="shared" si="113"/>
        <v>0.61460258780036969</v>
      </c>
      <c r="V1425" s="5">
        <f t="shared" si="114"/>
        <v>15.901125</v>
      </c>
    </row>
    <row r="1426" spans="1:22" x14ac:dyDescent="0.25">
      <c r="A1426" s="2" t="s">
        <v>1460</v>
      </c>
      <c r="B1426" s="2" t="s">
        <v>26</v>
      </c>
      <c r="C1426" s="2" t="s">
        <v>19</v>
      </c>
      <c r="D1426" s="2" t="s">
        <v>20</v>
      </c>
      <c r="E1426" s="2">
        <v>322.89</v>
      </c>
      <c r="F1426" s="2">
        <v>11.21</v>
      </c>
      <c r="G1426" s="2">
        <v>27.87</v>
      </c>
      <c r="H1426" s="2">
        <v>4</v>
      </c>
      <c r="I1426" s="2">
        <v>0.6</v>
      </c>
      <c r="J1426" s="2">
        <v>13</v>
      </c>
      <c r="K1426" s="2" t="s">
        <v>21</v>
      </c>
      <c r="L1426" s="2">
        <v>1.62</v>
      </c>
      <c r="M1426" s="2" t="s">
        <v>37</v>
      </c>
      <c r="N1426" s="2">
        <v>99</v>
      </c>
      <c r="O1426" s="2" t="s">
        <v>24</v>
      </c>
      <c r="P1426" s="2">
        <v>8.1</v>
      </c>
      <c r="Q1426" s="2">
        <v>14.15</v>
      </c>
      <c r="R1426" s="3">
        <f t="shared" si="110"/>
        <v>2615.4089999999997</v>
      </c>
      <c r="S1426" s="3">
        <f t="shared" si="111"/>
        <v>4568.8935000000001</v>
      </c>
      <c r="T1426" s="3">
        <f t="shared" si="112"/>
        <v>1953.4845000000005</v>
      </c>
      <c r="U1426" s="4">
        <f t="shared" si="113"/>
        <v>0.42756183745583048</v>
      </c>
      <c r="V1426" s="5">
        <f t="shared" si="114"/>
        <v>5.2308180000000002</v>
      </c>
    </row>
    <row r="1427" spans="1:22" x14ac:dyDescent="0.25">
      <c r="A1427" s="2" t="s">
        <v>1461</v>
      </c>
      <c r="B1427" s="2" t="s">
        <v>45</v>
      </c>
      <c r="C1427" s="2" t="s">
        <v>33</v>
      </c>
      <c r="D1427" s="2" t="s">
        <v>28</v>
      </c>
      <c r="E1427" s="2">
        <v>547.15</v>
      </c>
      <c r="F1427" s="2">
        <v>8.94</v>
      </c>
      <c r="G1427" s="2">
        <v>24.55</v>
      </c>
      <c r="H1427" s="2">
        <v>0.9</v>
      </c>
      <c r="I1427" s="2">
        <v>1.7</v>
      </c>
      <c r="J1427" s="2">
        <v>7</v>
      </c>
      <c r="K1427" s="2" t="s">
        <v>34</v>
      </c>
      <c r="L1427" s="2">
        <v>1.37</v>
      </c>
      <c r="M1427" s="2" t="s">
        <v>40</v>
      </c>
      <c r="N1427" s="2">
        <v>57.31</v>
      </c>
      <c r="O1427" s="2" t="s">
        <v>24</v>
      </c>
      <c r="P1427" s="2">
        <v>4.68</v>
      </c>
      <c r="Q1427" s="2">
        <v>8.65</v>
      </c>
      <c r="R1427" s="3">
        <f t="shared" si="110"/>
        <v>2560.6619999999998</v>
      </c>
      <c r="S1427" s="3">
        <f t="shared" si="111"/>
        <v>4732.8474999999999</v>
      </c>
      <c r="T1427" s="3">
        <f t="shared" si="112"/>
        <v>2172.1855</v>
      </c>
      <c r="U1427" s="4">
        <f t="shared" si="113"/>
        <v>0.45895953757225438</v>
      </c>
      <c r="V1427" s="5">
        <f t="shared" si="114"/>
        <v>7.4959550000000004</v>
      </c>
    </row>
    <row r="1428" spans="1:22" x14ac:dyDescent="0.25">
      <c r="A1428" s="2" t="s">
        <v>1462</v>
      </c>
      <c r="B1428" s="2" t="s">
        <v>18</v>
      </c>
      <c r="C1428" s="2" t="s">
        <v>33</v>
      </c>
      <c r="D1428" s="2" t="s">
        <v>20</v>
      </c>
      <c r="E1428" s="2">
        <v>316.89</v>
      </c>
      <c r="F1428" s="2">
        <v>12.27</v>
      </c>
      <c r="G1428" s="2">
        <v>23.43</v>
      </c>
      <c r="H1428" s="2">
        <v>0.5</v>
      </c>
      <c r="I1428" s="2">
        <v>0.8</v>
      </c>
      <c r="J1428" s="2">
        <v>9</v>
      </c>
      <c r="K1428" s="2" t="s">
        <v>21</v>
      </c>
      <c r="L1428" s="2">
        <v>3.69</v>
      </c>
      <c r="M1428" s="2" t="s">
        <v>40</v>
      </c>
      <c r="N1428" s="2">
        <v>64.790000000000006</v>
      </c>
      <c r="O1428" s="2" t="s">
        <v>23</v>
      </c>
      <c r="P1428" s="2">
        <v>6.32</v>
      </c>
      <c r="Q1428" s="2">
        <v>14.83</v>
      </c>
      <c r="R1428" s="3">
        <f t="shared" si="110"/>
        <v>2002.7447999999999</v>
      </c>
      <c r="S1428" s="3">
        <f t="shared" si="111"/>
        <v>4699.4786999999997</v>
      </c>
      <c r="T1428" s="3">
        <f t="shared" si="112"/>
        <v>2696.7338999999997</v>
      </c>
      <c r="U1428" s="4">
        <f t="shared" si="113"/>
        <v>0.57383681726230606</v>
      </c>
      <c r="V1428" s="5">
        <f t="shared" si="114"/>
        <v>11.693241</v>
      </c>
    </row>
    <row r="1429" spans="1:22" x14ac:dyDescent="0.25">
      <c r="A1429" s="2" t="s">
        <v>1463</v>
      </c>
      <c r="B1429" s="2" t="s">
        <v>18</v>
      </c>
      <c r="C1429" s="2" t="s">
        <v>43</v>
      </c>
      <c r="D1429" s="2" t="s">
        <v>20</v>
      </c>
      <c r="E1429" s="2">
        <v>377.16</v>
      </c>
      <c r="F1429" s="2">
        <v>9.2899999999999991</v>
      </c>
      <c r="G1429" s="2">
        <v>33.35</v>
      </c>
      <c r="H1429" s="2">
        <v>3</v>
      </c>
      <c r="I1429" s="2">
        <v>0.4</v>
      </c>
      <c r="J1429" s="2">
        <v>12</v>
      </c>
      <c r="K1429" s="2" t="s">
        <v>21</v>
      </c>
      <c r="L1429" s="2">
        <v>1.83</v>
      </c>
      <c r="M1429" s="2" t="s">
        <v>40</v>
      </c>
      <c r="N1429" s="2">
        <v>50.79</v>
      </c>
      <c r="O1429" s="2" t="s">
        <v>24</v>
      </c>
      <c r="P1429" s="2">
        <v>4.7300000000000004</v>
      </c>
      <c r="Q1429" s="2">
        <v>10.76</v>
      </c>
      <c r="R1429" s="3">
        <f t="shared" si="110"/>
        <v>1783.9668000000004</v>
      </c>
      <c r="S1429" s="3">
        <f t="shared" si="111"/>
        <v>4058.2416000000003</v>
      </c>
      <c r="T1429" s="3">
        <f t="shared" si="112"/>
        <v>2274.2748000000001</v>
      </c>
      <c r="U1429" s="4">
        <f t="shared" si="113"/>
        <v>0.56040892193308545</v>
      </c>
      <c r="V1429" s="5">
        <f t="shared" si="114"/>
        <v>6.9020280000000005</v>
      </c>
    </row>
    <row r="1430" spans="1:22" x14ac:dyDescent="0.25">
      <c r="A1430" s="2" t="s">
        <v>1464</v>
      </c>
      <c r="B1430" s="2" t="s">
        <v>45</v>
      </c>
      <c r="C1430" s="2" t="s">
        <v>33</v>
      </c>
      <c r="D1430" s="2" t="s">
        <v>20</v>
      </c>
      <c r="E1430" s="2">
        <v>292.44</v>
      </c>
      <c r="F1430" s="2">
        <v>17.48</v>
      </c>
      <c r="G1430" s="2">
        <v>32.19</v>
      </c>
      <c r="H1430" s="2">
        <v>1.1000000000000001</v>
      </c>
      <c r="I1430" s="2">
        <v>1.1000000000000001</v>
      </c>
      <c r="J1430" s="2">
        <v>3</v>
      </c>
      <c r="K1430" s="2" t="s">
        <v>29</v>
      </c>
      <c r="L1430" s="2">
        <v>3.04</v>
      </c>
      <c r="M1430" s="2" t="s">
        <v>22</v>
      </c>
      <c r="N1430" s="2">
        <v>89.35</v>
      </c>
      <c r="O1430" s="2" t="s">
        <v>24</v>
      </c>
      <c r="P1430" s="2">
        <v>7.06</v>
      </c>
      <c r="Q1430" s="2">
        <v>14.73</v>
      </c>
      <c r="R1430" s="3">
        <f t="shared" si="110"/>
        <v>2064.6263999999996</v>
      </c>
      <c r="S1430" s="3">
        <f t="shared" si="111"/>
        <v>4307.6412</v>
      </c>
      <c r="T1430" s="3">
        <f t="shared" si="112"/>
        <v>2243.0148000000004</v>
      </c>
      <c r="U1430" s="4">
        <f t="shared" si="113"/>
        <v>0.52070604209097093</v>
      </c>
      <c r="V1430" s="5">
        <f t="shared" si="114"/>
        <v>8.8901760000000003</v>
      </c>
    </row>
    <row r="1431" spans="1:22" x14ac:dyDescent="0.25">
      <c r="A1431" s="2" t="s">
        <v>1465</v>
      </c>
      <c r="B1431" s="2" t="s">
        <v>18</v>
      </c>
      <c r="C1431" s="2" t="s">
        <v>33</v>
      </c>
      <c r="D1431" s="2" t="s">
        <v>20</v>
      </c>
      <c r="E1431" s="2">
        <v>491.39</v>
      </c>
      <c r="F1431" s="2">
        <v>12.75</v>
      </c>
      <c r="G1431" s="2">
        <v>32.869999999999997</v>
      </c>
      <c r="H1431" s="2">
        <v>0.4</v>
      </c>
      <c r="I1431" s="2">
        <v>1.3</v>
      </c>
      <c r="J1431" s="2">
        <v>23</v>
      </c>
      <c r="K1431" s="2" t="s">
        <v>34</v>
      </c>
      <c r="L1431" s="2">
        <v>1</v>
      </c>
      <c r="M1431" s="2" t="s">
        <v>40</v>
      </c>
      <c r="N1431" s="2">
        <v>65.569999999999993</v>
      </c>
      <c r="O1431" s="2" t="s">
        <v>23</v>
      </c>
      <c r="P1431" s="2">
        <v>8.0399999999999991</v>
      </c>
      <c r="Q1431" s="2">
        <v>5.27</v>
      </c>
      <c r="R1431" s="3">
        <f t="shared" si="110"/>
        <v>3950.7755999999995</v>
      </c>
      <c r="S1431" s="3">
        <f t="shared" si="111"/>
        <v>2589.6252999999997</v>
      </c>
      <c r="T1431" s="3">
        <f t="shared" si="112"/>
        <v>-1361.1502999999998</v>
      </c>
      <c r="U1431" s="4">
        <f t="shared" si="113"/>
        <v>-0.52561669829222013</v>
      </c>
      <c r="V1431" s="5">
        <f t="shared" si="114"/>
        <v>4.9138999999999999</v>
      </c>
    </row>
    <row r="1432" spans="1:22" x14ac:dyDescent="0.25">
      <c r="A1432" s="2" t="s">
        <v>1466</v>
      </c>
      <c r="B1432" s="2" t="s">
        <v>32</v>
      </c>
      <c r="C1432" s="2" t="s">
        <v>19</v>
      </c>
      <c r="D1432" s="2" t="s">
        <v>28</v>
      </c>
      <c r="E1432" s="2">
        <v>484.97</v>
      </c>
      <c r="F1432" s="2">
        <v>11.17</v>
      </c>
      <c r="G1432" s="2">
        <v>21.76</v>
      </c>
      <c r="H1432" s="2">
        <v>4.7</v>
      </c>
      <c r="I1432" s="2">
        <v>0.8</v>
      </c>
      <c r="J1432" s="2">
        <v>22</v>
      </c>
      <c r="K1432" s="2" t="s">
        <v>29</v>
      </c>
      <c r="L1432" s="2">
        <v>6.15</v>
      </c>
      <c r="M1432" s="2" t="s">
        <v>37</v>
      </c>
      <c r="N1432" s="2">
        <v>79.44</v>
      </c>
      <c r="O1432" s="2" t="s">
        <v>24</v>
      </c>
      <c r="P1432" s="2">
        <v>5.32</v>
      </c>
      <c r="Q1432" s="2">
        <v>12.28</v>
      </c>
      <c r="R1432" s="3">
        <f t="shared" si="110"/>
        <v>2580.0404000000003</v>
      </c>
      <c r="S1432" s="3">
        <f t="shared" si="111"/>
        <v>5955.4315999999999</v>
      </c>
      <c r="T1432" s="3">
        <f t="shared" si="112"/>
        <v>3375.3911999999996</v>
      </c>
      <c r="U1432" s="4">
        <f t="shared" si="113"/>
        <v>0.56677524429967419</v>
      </c>
      <c r="V1432" s="5">
        <f t="shared" si="114"/>
        <v>29.825655000000001</v>
      </c>
    </row>
    <row r="1433" spans="1:22" x14ac:dyDescent="0.25">
      <c r="A1433" s="2" t="s">
        <v>1467</v>
      </c>
      <c r="B1433" s="2" t="s">
        <v>32</v>
      </c>
      <c r="C1433" s="2" t="s">
        <v>33</v>
      </c>
      <c r="D1433" s="2" t="s">
        <v>28</v>
      </c>
      <c r="E1433" s="2">
        <v>467.33</v>
      </c>
      <c r="F1433" s="2">
        <v>15.66</v>
      </c>
      <c r="G1433" s="2">
        <v>37.869999999999997</v>
      </c>
      <c r="H1433" s="2">
        <v>0.4</v>
      </c>
      <c r="I1433" s="2">
        <v>0.1</v>
      </c>
      <c r="J1433" s="2">
        <v>15</v>
      </c>
      <c r="K1433" s="2" t="s">
        <v>21</v>
      </c>
      <c r="L1433" s="2">
        <v>1.88</v>
      </c>
      <c r="M1433" s="2" t="s">
        <v>40</v>
      </c>
      <c r="N1433" s="2">
        <v>51.96</v>
      </c>
      <c r="O1433" s="2" t="s">
        <v>30</v>
      </c>
      <c r="P1433" s="2">
        <v>7.22</v>
      </c>
      <c r="Q1433" s="2">
        <v>13.17</v>
      </c>
      <c r="R1433" s="3">
        <f t="shared" si="110"/>
        <v>3374.1225999999997</v>
      </c>
      <c r="S1433" s="3">
        <f t="shared" si="111"/>
        <v>6154.7361000000001</v>
      </c>
      <c r="T1433" s="3">
        <f t="shared" si="112"/>
        <v>2780.6135000000004</v>
      </c>
      <c r="U1433" s="4">
        <f t="shared" si="113"/>
        <v>0.45178435839028097</v>
      </c>
      <c r="V1433" s="5">
        <f t="shared" si="114"/>
        <v>8.7858039999999988</v>
      </c>
    </row>
    <row r="1434" spans="1:22" x14ac:dyDescent="0.25">
      <c r="A1434" s="2" t="s">
        <v>1468</v>
      </c>
      <c r="B1434" s="2" t="s">
        <v>45</v>
      </c>
      <c r="C1434" s="2" t="s">
        <v>43</v>
      </c>
      <c r="D1434" s="2" t="s">
        <v>20</v>
      </c>
      <c r="E1434" s="2">
        <v>395.74</v>
      </c>
      <c r="F1434" s="2">
        <v>12.98</v>
      </c>
      <c r="G1434" s="2">
        <v>27.79</v>
      </c>
      <c r="H1434" s="2">
        <v>0.1</v>
      </c>
      <c r="I1434" s="2">
        <v>0.2</v>
      </c>
      <c r="J1434" s="2">
        <v>7</v>
      </c>
      <c r="K1434" s="2" t="s">
        <v>21</v>
      </c>
      <c r="L1434" s="2">
        <v>7.69</v>
      </c>
      <c r="M1434" s="2" t="s">
        <v>40</v>
      </c>
      <c r="N1434" s="2">
        <v>85.77</v>
      </c>
      <c r="O1434" s="2" t="s">
        <v>30</v>
      </c>
      <c r="P1434" s="2">
        <v>8.77</v>
      </c>
      <c r="Q1434" s="2">
        <v>5.53</v>
      </c>
      <c r="R1434" s="3">
        <f t="shared" si="110"/>
        <v>3470.6397999999999</v>
      </c>
      <c r="S1434" s="3">
        <f t="shared" si="111"/>
        <v>2188.4422</v>
      </c>
      <c r="T1434" s="3">
        <f t="shared" si="112"/>
        <v>-1282.1976</v>
      </c>
      <c r="U1434" s="4">
        <f t="shared" si="113"/>
        <v>-0.58589511754068713</v>
      </c>
      <c r="V1434" s="5">
        <f t="shared" si="114"/>
        <v>30.432406</v>
      </c>
    </row>
    <row r="1435" spans="1:22" x14ac:dyDescent="0.25">
      <c r="A1435" s="2" t="s">
        <v>1469</v>
      </c>
      <c r="B1435" s="2" t="s">
        <v>26</v>
      </c>
      <c r="C1435" s="2" t="s">
        <v>19</v>
      </c>
      <c r="D1435" s="2" t="s">
        <v>28</v>
      </c>
      <c r="E1435" s="2">
        <v>382.78</v>
      </c>
      <c r="F1435" s="2">
        <v>11.1</v>
      </c>
      <c r="G1435" s="2">
        <v>26.27</v>
      </c>
      <c r="H1435" s="2">
        <v>0</v>
      </c>
      <c r="I1435" s="2">
        <v>0.3</v>
      </c>
      <c r="J1435" s="2">
        <v>23</v>
      </c>
      <c r="K1435" s="2" t="s">
        <v>34</v>
      </c>
      <c r="L1435" s="2">
        <v>2.57</v>
      </c>
      <c r="M1435" s="2" t="s">
        <v>22</v>
      </c>
      <c r="N1435" s="2">
        <v>76.47</v>
      </c>
      <c r="O1435" s="2" t="s">
        <v>24</v>
      </c>
      <c r="P1435" s="2">
        <v>3.66</v>
      </c>
      <c r="Q1435" s="2">
        <v>10.79</v>
      </c>
      <c r="R1435" s="3">
        <f t="shared" si="110"/>
        <v>1400.9748</v>
      </c>
      <c r="S1435" s="3">
        <f t="shared" si="111"/>
        <v>4130.1961999999994</v>
      </c>
      <c r="T1435" s="3">
        <f t="shared" si="112"/>
        <v>2729.2213999999994</v>
      </c>
      <c r="U1435" s="4">
        <f t="shared" si="113"/>
        <v>0.66079703429101011</v>
      </c>
      <c r="V1435" s="5">
        <f t="shared" si="114"/>
        <v>9.8374459999999981</v>
      </c>
    </row>
    <row r="1436" spans="1:22" x14ac:dyDescent="0.25">
      <c r="A1436" s="2" t="s">
        <v>1470</v>
      </c>
      <c r="B1436" s="2" t="s">
        <v>26</v>
      </c>
      <c r="C1436" s="2" t="s">
        <v>27</v>
      </c>
      <c r="D1436" s="2" t="s">
        <v>28</v>
      </c>
      <c r="E1436" s="2">
        <v>546.44000000000005</v>
      </c>
      <c r="F1436" s="2">
        <v>16.12</v>
      </c>
      <c r="G1436" s="2">
        <v>29.25</v>
      </c>
      <c r="H1436" s="2">
        <v>1.9</v>
      </c>
      <c r="I1436" s="2">
        <v>0.3</v>
      </c>
      <c r="J1436" s="2">
        <v>26</v>
      </c>
      <c r="K1436" s="2" t="s">
        <v>21</v>
      </c>
      <c r="L1436" s="2">
        <v>8.08</v>
      </c>
      <c r="M1436" s="2" t="s">
        <v>37</v>
      </c>
      <c r="N1436" s="2">
        <v>86.25</v>
      </c>
      <c r="O1436" s="2" t="s">
        <v>24</v>
      </c>
      <c r="P1436" s="2">
        <v>7.97</v>
      </c>
      <c r="Q1436" s="2">
        <v>13.02</v>
      </c>
      <c r="R1436" s="3">
        <f t="shared" si="110"/>
        <v>4355.1268</v>
      </c>
      <c r="S1436" s="3">
        <f t="shared" si="111"/>
        <v>7114.6488000000008</v>
      </c>
      <c r="T1436" s="3">
        <f t="shared" si="112"/>
        <v>2759.5220000000008</v>
      </c>
      <c r="U1436" s="4">
        <f t="shared" si="113"/>
        <v>0.38786482334869438</v>
      </c>
      <c r="V1436" s="5">
        <f t="shared" si="114"/>
        <v>44.152352</v>
      </c>
    </row>
    <row r="1437" spans="1:22" x14ac:dyDescent="0.25">
      <c r="A1437" s="2" t="s">
        <v>1471</v>
      </c>
      <c r="B1437" s="2" t="s">
        <v>45</v>
      </c>
      <c r="C1437" s="2" t="s">
        <v>19</v>
      </c>
      <c r="D1437" s="2" t="s">
        <v>20</v>
      </c>
      <c r="E1437" s="2">
        <v>444.94</v>
      </c>
      <c r="F1437" s="2">
        <v>16.670000000000002</v>
      </c>
      <c r="G1437" s="2">
        <v>27.8</v>
      </c>
      <c r="H1437" s="2">
        <v>2.2000000000000002</v>
      </c>
      <c r="I1437" s="2">
        <v>1.1000000000000001</v>
      </c>
      <c r="J1437" s="2">
        <v>1</v>
      </c>
      <c r="K1437" s="2" t="s">
        <v>21</v>
      </c>
      <c r="L1437" s="2">
        <v>2.2999999999999998</v>
      </c>
      <c r="M1437" s="2" t="s">
        <v>40</v>
      </c>
      <c r="N1437" s="2">
        <v>89.48</v>
      </c>
      <c r="O1437" s="2" t="s">
        <v>24</v>
      </c>
      <c r="P1437" s="2">
        <v>5.26</v>
      </c>
      <c r="Q1437" s="2">
        <v>10.61</v>
      </c>
      <c r="R1437" s="3">
        <f t="shared" si="110"/>
        <v>2340.3843999999999</v>
      </c>
      <c r="S1437" s="3">
        <f t="shared" si="111"/>
        <v>4720.8134</v>
      </c>
      <c r="T1437" s="3">
        <f t="shared" si="112"/>
        <v>2380.4290000000001</v>
      </c>
      <c r="U1437" s="4">
        <f t="shared" si="113"/>
        <v>0.50424128180961358</v>
      </c>
      <c r="V1437" s="5">
        <f t="shared" si="114"/>
        <v>10.23362</v>
      </c>
    </row>
    <row r="1438" spans="1:22" x14ac:dyDescent="0.25">
      <c r="A1438" s="2" t="s">
        <v>1472</v>
      </c>
      <c r="B1438" s="2" t="s">
        <v>45</v>
      </c>
      <c r="C1438" s="2" t="s">
        <v>43</v>
      </c>
      <c r="D1438" s="2" t="s">
        <v>28</v>
      </c>
      <c r="E1438" s="2">
        <v>531.64</v>
      </c>
      <c r="F1438" s="2">
        <v>14.73</v>
      </c>
      <c r="G1438" s="2">
        <v>37.270000000000003</v>
      </c>
      <c r="H1438" s="2">
        <v>0.7</v>
      </c>
      <c r="I1438" s="2">
        <v>0</v>
      </c>
      <c r="J1438" s="2">
        <v>14</v>
      </c>
      <c r="K1438" s="2" t="s">
        <v>34</v>
      </c>
      <c r="L1438" s="2">
        <v>7.35</v>
      </c>
      <c r="M1438" s="2" t="s">
        <v>37</v>
      </c>
      <c r="N1438" s="2">
        <v>54.46</v>
      </c>
      <c r="O1438" s="2" t="s">
        <v>23</v>
      </c>
      <c r="P1438" s="2">
        <v>3.86</v>
      </c>
      <c r="Q1438" s="2">
        <v>5.64</v>
      </c>
      <c r="R1438" s="3">
        <f t="shared" si="110"/>
        <v>2052.1304</v>
      </c>
      <c r="S1438" s="3">
        <f t="shared" si="111"/>
        <v>2998.4495999999999</v>
      </c>
      <c r="T1438" s="3">
        <f t="shared" si="112"/>
        <v>946.31919999999991</v>
      </c>
      <c r="U1438" s="4">
        <f t="shared" si="113"/>
        <v>0.31560283687943258</v>
      </c>
      <c r="V1438" s="5">
        <f t="shared" si="114"/>
        <v>39.075539999999997</v>
      </c>
    </row>
    <row r="1439" spans="1:22" x14ac:dyDescent="0.25">
      <c r="A1439" s="2" t="s">
        <v>1473</v>
      </c>
      <c r="B1439" s="2" t="s">
        <v>32</v>
      </c>
      <c r="C1439" s="2" t="s">
        <v>19</v>
      </c>
      <c r="D1439" s="2" t="s">
        <v>28</v>
      </c>
      <c r="E1439" s="2">
        <v>411.48</v>
      </c>
      <c r="F1439" s="2">
        <v>8.4700000000000006</v>
      </c>
      <c r="G1439" s="2">
        <v>38.590000000000003</v>
      </c>
      <c r="H1439" s="2">
        <v>0.8</v>
      </c>
      <c r="I1439" s="2">
        <v>1.4</v>
      </c>
      <c r="J1439" s="2">
        <v>19</v>
      </c>
      <c r="K1439" s="2" t="s">
        <v>29</v>
      </c>
      <c r="L1439" s="2">
        <v>3.66</v>
      </c>
      <c r="M1439" s="2" t="s">
        <v>37</v>
      </c>
      <c r="N1439" s="2">
        <v>78.900000000000006</v>
      </c>
      <c r="O1439" s="2" t="s">
        <v>30</v>
      </c>
      <c r="P1439" s="2">
        <v>6.82</v>
      </c>
      <c r="Q1439" s="2">
        <v>11.93</v>
      </c>
      <c r="R1439" s="3">
        <f t="shared" si="110"/>
        <v>2806.2936000000004</v>
      </c>
      <c r="S1439" s="3">
        <f t="shared" si="111"/>
        <v>4908.9564</v>
      </c>
      <c r="T1439" s="3">
        <f t="shared" si="112"/>
        <v>2102.6627999999996</v>
      </c>
      <c r="U1439" s="4">
        <f t="shared" si="113"/>
        <v>0.42833193629505439</v>
      </c>
      <c r="V1439" s="5">
        <f t="shared" si="114"/>
        <v>15.060168000000001</v>
      </c>
    </row>
    <row r="1440" spans="1:22" x14ac:dyDescent="0.25">
      <c r="A1440" s="2" t="s">
        <v>1474</v>
      </c>
      <c r="B1440" s="2" t="s">
        <v>26</v>
      </c>
      <c r="C1440" s="2" t="s">
        <v>19</v>
      </c>
      <c r="D1440" s="2" t="s">
        <v>28</v>
      </c>
      <c r="E1440" s="2">
        <v>518.11</v>
      </c>
      <c r="F1440" s="2">
        <v>13.66</v>
      </c>
      <c r="G1440" s="2">
        <v>26.07</v>
      </c>
      <c r="H1440" s="2">
        <v>0.8</v>
      </c>
      <c r="I1440" s="2">
        <v>0.3</v>
      </c>
      <c r="J1440" s="2">
        <v>16</v>
      </c>
      <c r="K1440" s="2" t="s">
        <v>34</v>
      </c>
      <c r="L1440" s="2">
        <v>6.04</v>
      </c>
      <c r="M1440" s="2" t="s">
        <v>40</v>
      </c>
      <c r="N1440" s="2">
        <v>82.5</v>
      </c>
      <c r="O1440" s="2" t="s">
        <v>30</v>
      </c>
      <c r="P1440" s="2">
        <v>4.58</v>
      </c>
      <c r="Q1440" s="2">
        <v>5.61</v>
      </c>
      <c r="R1440" s="3">
        <f t="shared" si="110"/>
        <v>2372.9438</v>
      </c>
      <c r="S1440" s="3">
        <f t="shared" si="111"/>
        <v>2906.5971000000004</v>
      </c>
      <c r="T1440" s="3">
        <f t="shared" si="112"/>
        <v>533.6533000000004</v>
      </c>
      <c r="U1440" s="4">
        <f t="shared" si="113"/>
        <v>0.18360071301247782</v>
      </c>
      <c r="V1440" s="5">
        <f t="shared" si="114"/>
        <v>31.293844</v>
      </c>
    </row>
    <row r="1441" spans="1:22" x14ac:dyDescent="0.25">
      <c r="A1441" s="2" t="s">
        <v>1475</v>
      </c>
      <c r="B1441" s="2" t="s">
        <v>18</v>
      </c>
      <c r="C1441" s="2" t="s">
        <v>43</v>
      </c>
      <c r="D1441" s="2" t="s">
        <v>20</v>
      </c>
      <c r="E1441" s="2">
        <v>630.33000000000004</v>
      </c>
      <c r="F1441" s="2">
        <v>15.63</v>
      </c>
      <c r="G1441" s="2">
        <v>37.28</v>
      </c>
      <c r="H1441" s="2">
        <v>2.2999999999999998</v>
      </c>
      <c r="I1441" s="2">
        <v>0.4</v>
      </c>
      <c r="J1441" s="2">
        <v>10</v>
      </c>
      <c r="K1441" s="2" t="s">
        <v>21</v>
      </c>
      <c r="L1441" s="2">
        <v>0.87</v>
      </c>
      <c r="M1441" s="2" t="s">
        <v>22</v>
      </c>
      <c r="N1441" s="2">
        <v>75.84</v>
      </c>
      <c r="O1441" s="2" t="s">
        <v>24</v>
      </c>
      <c r="P1441" s="2">
        <v>8.75</v>
      </c>
      <c r="Q1441" s="2">
        <v>13.17</v>
      </c>
      <c r="R1441" s="3">
        <f t="shared" si="110"/>
        <v>5515.3875000000007</v>
      </c>
      <c r="S1441" s="3">
        <f t="shared" si="111"/>
        <v>8301.446100000001</v>
      </c>
      <c r="T1441" s="3">
        <f t="shared" si="112"/>
        <v>2786.0586000000003</v>
      </c>
      <c r="U1441" s="4">
        <f t="shared" si="113"/>
        <v>0.33561123766135154</v>
      </c>
      <c r="V1441" s="5">
        <f t="shared" si="114"/>
        <v>5.4838710000000006</v>
      </c>
    </row>
    <row r="1442" spans="1:22" x14ac:dyDescent="0.25">
      <c r="A1442" s="2" t="s">
        <v>1476</v>
      </c>
      <c r="B1442" s="2" t="s">
        <v>32</v>
      </c>
      <c r="C1442" s="2" t="s">
        <v>19</v>
      </c>
      <c r="D1442" s="2" t="s">
        <v>28</v>
      </c>
      <c r="E1442" s="2">
        <v>558.62</v>
      </c>
      <c r="F1442" s="2">
        <v>9.3699999999999992</v>
      </c>
      <c r="G1442" s="2">
        <v>35.630000000000003</v>
      </c>
      <c r="H1442" s="2">
        <v>0.1</v>
      </c>
      <c r="I1442" s="2">
        <v>0.8</v>
      </c>
      <c r="J1442" s="2">
        <v>1</v>
      </c>
      <c r="K1442" s="2" t="s">
        <v>34</v>
      </c>
      <c r="L1442" s="2">
        <v>5.2</v>
      </c>
      <c r="M1442" s="2" t="s">
        <v>37</v>
      </c>
      <c r="N1442" s="2">
        <v>59.12</v>
      </c>
      <c r="O1442" s="2" t="s">
        <v>24</v>
      </c>
      <c r="P1442" s="2">
        <v>3.3</v>
      </c>
      <c r="Q1442" s="2">
        <v>5.43</v>
      </c>
      <c r="R1442" s="3">
        <f t="shared" si="110"/>
        <v>1843.4459999999999</v>
      </c>
      <c r="S1442" s="3">
        <f t="shared" si="111"/>
        <v>3033.3065999999999</v>
      </c>
      <c r="T1442" s="3">
        <f t="shared" si="112"/>
        <v>1189.8606</v>
      </c>
      <c r="U1442" s="4">
        <f t="shared" si="113"/>
        <v>0.39226519337016574</v>
      </c>
      <c r="V1442" s="5">
        <f t="shared" si="114"/>
        <v>29.04824</v>
      </c>
    </row>
    <row r="1443" spans="1:22" x14ac:dyDescent="0.25">
      <c r="A1443" s="2" t="s">
        <v>1477</v>
      </c>
      <c r="B1443" s="2" t="s">
        <v>45</v>
      </c>
      <c r="C1443" s="2" t="s">
        <v>43</v>
      </c>
      <c r="D1443" s="2" t="s">
        <v>20</v>
      </c>
      <c r="E1443" s="2">
        <v>458.76</v>
      </c>
      <c r="F1443" s="2">
        <v>10.29</v>
      </c>
      <c r="G1443" s="2">
        <v>38.619999999999997</v>
      </c>
      <c r="H1443" s="2">
        <v>5.3</v>
      </c>
      <c r="I1443" s="2">
        <v>0.2</v>
      </c>
      <c r="J1443" s="2">
        <v>5</v>
      </c>
      <c r="K1443" s="2" t="s">
        <v>29</v>
      </c>
      <c r="L1443" s="2">
        <v>1.91</v>
      </c>
      <c r="M1443" s="2" t="s">
        <v>40</v>
      </c>
      <c r="N1443" s="2">
        <v>89.78</v>
      </c>
      <c r="O1443" s="2" t="s">
        <v>23</v>
      </c>
      <c r="P1443" s="2">
        <v>3.69</v>
      </c>
      <c r="Q1443" s="2">
        <v>6.37</v>
      </c>
      <c r="R1443" s="3">
        <f t="shared" si="110"/>
        <v>1692.8244</v>
      </c>
      <c r="S1443" s="3">
        <f t="shared" si="111"/>
        <v>2922.3011999999999</v>
      </c>
      <c r="T1443" s="3">
        <f t="shared" si="112"/>
        <v>1229.4767999999999</v>
      </c>
      <c r="U1443" s="4">
        <f t="shared" si="113"/>
        <v>0.42072213500784927</v>
      </c>
      <c r="V1443" s="5">
        <f t="shared" si="114"/>
        <v>8.7623160000000002</v>
      </c>
    </row>
    <row r="1444" spans="1:22" x14ac:dyDescent="0.25">
      <c r="A1444" s="2" t="s">
        <v>1478</v>
      </c>
      <c r="B1444" s="2" t="s">
        <v>26</v>
      </c>
      <c r="C1444" s="2" t="s">
        <v>43</v>
      </c>
      <c r="D1444" s="2" t="s">
        <v>28</v>
      </c>
      <c r="E1444" s="2">
        <v>525.72</v>
      </c>
      <c r="F1444" s="2">
        <v>16.82</v>
      </c>
      <c r="G1444" s="2">
        <v>24.92</v>
      </c>
      <c r="H1444" s="2">
        <v>0.5</v>
      </c>
      <c r="I1444" s="2">
        <v>2.2000000000000002</v>
      </c>
      <c r="J1444" s="2">
        <v>3</v>
      </c>
      <c r="K1444" s="2" t="s">
        <v>21</v>
      </c>
      <c r="L1444" s="2">
        <v>5.12</v>
      </c>
      <c r="M1444" s="2" t="s">
        <v>37</v>
      </c>
      <c r="N1444" s="2">
        <v>99.87</v>
      </c>
      <c r="O1444" s="2" t="s">
        <v>23</v>
      </c>
      <c r="P1444" s="2">
        <v>6.65</v>
      </c>
      <c r="Q1444" s="2">
        <v>7.75</v>
      </c>
      <c r="R1444" s="3">
        <f t="shared" si="110"/>
        <v>3496.0380000000005</v>
      </c>
      <c r="S1444" s="3">
        <f t="shared" si="111"/>
        <v>4074.3300000000004</v>
      </c>
      <c r="T1444" s="3">
        <f t="shared" si="112"/>
        <v>578.29199999999992</v>
      </c>
      <c r="U1444" s="4">
        <f t="shared" si="113"/>
        <v>0.14193548387096772</v>
      </c>
      <c r="V1444" s="5">
        <f t="shared" si="114"/>
        <v>26.916864</v>
      </c>
    </row>
    <row r="1445" spans="1:22" x14ac:dyDescent="0.25">
      <c r="A1445" s="2" t="s">
        <v>1479</v>
      </c>
      <c r="B1445" s="2" t="s">
        <v>18</v>
      </c>
      <c r="C1445" s="2" t="s">
        <v>27</v>
      </c>
      <c r="D1445" s="2" t="s">
        <v>28</v>
      </c>
      <c r="E1445" s="2">
        <v>475.93</v>
      </c>
      <c r="F1445" s="2">
        <v>8.1999999999999993</v>
      </c>
      <c r="G1445" s="2">
        <v>31.54</v>
      </c>
      <c r="H1445" s="2">
        <v>16.100000000000001</v>
      </c>
      <c r="I1445" s="2">
        <v>0.1</v>
      </c>
      <c r="J1445" s="2">
        <v>17</v>
      </c>
      <c r="K1445" s="2" t="s">
        <v>29</v>
      </c>
      <c r="L1445" s="2">
        <v>1.84</v>
      </c>
      <c r="M1445" s="2" t="s">
        <v>37</v>
      </c>
      <c r="N1445" s="2">
        <v>98.46</v>
      </c>
      <c r="O1445" s="2" t="s">
        <v>30</v>
      </c>
      <c r="P1445" s="2">
        <v>7.12</v>
      </c>
      <c r="Q1445" s="2">
        <v>11.33</v>
      </c>
      <c r="R1445" s="3">
        <f t="shared" si="110"/>
        <v>3388.6215999999999</v>
      </c>
      <c r="S1445" s="3">
        <f t="shared" si="111"/>
        <v>5392.2869000000001</v>
      </c>
      <c r="T1445" s="3">
        <f t="shared" si="112"/>
        <v>2003.6653000000001</v>
      </c>
      <c r="U1445" s="4">
        <f t="shared" si="113"/>
        <v>0.37157987643424539</v>
      </c>
      <c r="V1445" s="5">
        <f t="shared" si="114"/>
        <v>8.7571120000000011</v>
      </c>
    </row>
    <row r="1446" spans="1:22" x14ac:dyDescent="0.25">
      <c r="A1446" s="2" t="s">
        <v>1480</v>
      </c>
      <c r="B1446" s="2" t="s">
        <v>18</v>
      </c>
      <c r="C1446" s="2" t="s">
        <v>33</v>
      </c>
      <c r="D1446" s="2" t="s">
        <v>28</v>
      </c>
      <c r="E1446" s="2">
        <v>500.79</v>
      </c>
      <c r="F1446" s="2">
        <v>15.53</v>
      </c>
      <c r="G1446" s="2">
        <v>25.49</v>
      </c>
      <c r="H1446" s="2">
        <v>0.4</v>
      </c>
      <c r="I1446" s="2">
        <v>0.6</v>
      </c>
      <c r="J1446" s="2">
        <v>18</v>
      </c>
      <c r="K1446" s="2" t="s">
        <v>29</v>
      </c>
      <c r="L1446" s="2">
        <v>4.6500000000000004</v>
      </c>
      <c r="M1446" s="2" t="s">
        <v>37</v>
      </c>
      <c r="N1446" s="2">
        <v>88.88</v>
      </c>
      <c r="O1446" s="2" t="s">
        <v>23</v>
      </c>
      <c r="P1446" s="2">
        <v>8.11</v>
      </c>
      <c r="Q1446" s="2">
        <v>14.76</v>
      </c>
      <c r="R1446" s="3">
        <f t="shared" si="110"/>
        <v>4061.4069</v>
      </c>
      <c r="S1446" s="3">
        <f t="shared" si="111"/>
        <v>7391.6603999999998</v>
      </c>
      <c r="T1446" s="3">
        <f t="shared" si="112"/>
        <v>3330.2534999999998</v>
      </c>
      <c r="U1446" s="4">
        <f t="shared" si="113"/>
        <v>0.45054200542005418</v>
      </c>
      <c r="V1446" s="5">
        <f t="shared" si="114"/>
        <v>23.286735000000004</v>
      </c>
    </row>
    <row r="1447" spans="1:22" x14ac:dyDescent="0.25">
      <c r="A1447" s="2" t="s">
        <v>1481</v>
      </c>
      <c r="B1447" s="2" t="s">
        <v>32</v>
      </c>
      <c r="C1447" s="2" t="s">
        <v>33</v>
      </c>
      <c r="D1447" s="2" t="s">
        <v>20</v>
      </c>
      <c r="E1447" s="2">
        <v>467.44</v>
      </c>
      <c r="F1447" s="2">
        <v>12.74</v>
      </c>
      <c r="G1447" s="2">
        <v>36.479999999999997</v>
      </c>
      <c r="H1447" s="2">
        <v>3</v>
      </c>
      <c r="I1447" s="2">
        <v>1.9</v>
      </c>
      <c r="J1447" s="2">
        <v>26</v>
      </c>
      <c r="K1447" s="2" t="s">
        <v>34</v>
      </c>
      <c r="L1447" s="2">
        <v>1.55</v>
      </c>
      <c r="M1447" s="2" t="s">
        <v>40</v>
      </c>
      <c r="N1447" s="2">
        <v>70.91</v>
      </c>
      <c r="O1447" s="2" t="s">
        <v>30</v>
      </c>
      <c r="P1447" s="2">
        <v>4.8099999999999996</v>
      </c>
      <c r="Q1447" s="2">
        <v>6.18</v>
      </c>
      <c r="R1447" s="3">
        <f t="shared" si="110"/>
        <v>2248.3863999999999</v>
      </c>
      <c r="S1447" s="3">
        <f t="shared" si="111"/>
        <v>2888.7791999999999</v>
      </c>
      <c r="T1447" s="3">
        <f t="shared" si="112"/>
        <v>640.39280000000008</v>
      </c>
      <c r="U1447" s="4">
        <f t="shared" si="113"/>
        <v>0.22168284789644016</v>
      </c>
      <c r="V1447" s="5">
        <f t="shared" si="114"/>
        <v>7.2453200000000004</v>
      </c>
    </row>
    <row r="1448" spans="1:22" x14ac:dyDescent="0.25">
      <c r="A1448" s="2" t="s">
        <v>1482</v>
      </c>
      <c r="B1448" s="2" t="s">
        <v>26</v>
      </c>
      <c r="C1448" s="2" t="s">
        <v>19</v>
      </c>
      <c r="D1448" s="2" t="s">
        <v>20</v>
      </c>
      <c r="E1448" s="2">
        <v>483.57</v>
      </c>
      <c r="F1448" s="2">
        <v>12.47</v>
      </c>
      <c r="G1448" s="2">
        <v>20.11</v>
      </c>
      <c r="H1448" s="2">
        <v>0.5</v>
      </c>
      <c r="I1448" s="2">
        <v>1</v>
      </c>
      <c r="J1448" s="2">
        <v>21</v>
      </c>
      <c r="K1448" s="2" t="s">
        <v>29</v>
      </c>
      <c r="L1448" s="2">
        <v>2.59</v>
      </c>
      <c r="M1448" s="2" t="s">
        <v>37</v>
      </c>
      <c r="N1448" s="2">
        <v>66.87</v>
      </c>
      <c r="O1448" s="2" t="s">
        <v>24</v>
      </c>
      <c r="P1448" s="2">
        <v>8.89</v>
      </c>
      <c r="Q1448" s="2">
        <v>6.43</v>
      </c>
      <c r="R1448" s="3">
        <f t="shared" si="110"/>
        <v>4298.9373000000005</v>
      </c>
      <c r="S1448" s="3">
        <f t="shared" si="111"/>
        <v>3109.3550999999998</v>
      </c>
      <c r="T1448" s="3">
        <f t="shared" si="112"/>
        <v>-1189.5822000000007</v>
      </c>
      <c r="U1448" s="4">
        <f t="shared" si="113"/>
        <v>-0.38258164852255083</v>
      </c>
      <c r="V1448" s="5">
        <f t="shared" si="114"/>
        <v>12.524462999999999</v>
      </c>
    </row>
    <row r="1449" spans="1:22" x14ac:dyDescent="0.25">
      <c r="A1449" s="2" t="s">
        <v>1483</v>
      </c>
      <c r="B1449" s="2" t="s">
        <v>26</v>
      </c>
      <c r="C1449" s="2" t="s">
        <v>19</v>
      </c>
      <c r="D1449" s="2" t="s">
        <v>28</v>
      </c>
      <c r="E1449" s="2">
        <v>521.21</v>
      </c>
      <c r="F1449" s="2">
        <v>8.07</v>
      </c>
      <c r="G1449" s="2">
        <v>31.3</v>
      </c>
      <c r="H1449" s="2">
        <v>0.2</v>
      </c>
      <c r="I1449" s="2">
        <v>0.3</v>
      </c>
      <c r="J1449" s="2">
        <v>27</v>
      </c>
      <c r="K1449" s="2" t="s">
        <v>34</v>
      </c>
      <c r="L1449" s="2">
        <v>6.15</v>
      </c>
      <c r="M1449" s="2" t="s">
        <v>37</v>
      </c>
      <c r="N1449" s="2">
        <v>53.43</v>
      </c>
      <c r="O1449" s="2" t="s">
        <v>24</v>
      </c>
      <c r="P1449" s="2">
        <v>9.67</v>
      </c>
      <c r="Q1449" s="2">
        <v>8.69</v>
      </c>
      <c r="R1449" s="3">
        <f t="shared" si="110"/>
        <v>5040.1007</v>
      </c>
      <c r="S1449" s="3">
        <f t="shared" si="111"/>
        <v>4529.3149000000003</v>
      </c>
      <c r="T1449" s="3">
        <f t="shared" si="112"/>
        <v>-510.78579999999965</v>
      </c>
      <c r="U1449" s="4">
        <f t="shared" si="113"/>
        <v>-0.11277330264672028</v>
      </c>
      <c r="V1449" s="5">
        <f t="shared" si="114"/>
        <v>32.054415000000006</v>
      </c>
    </row>
    <row r="1450" spans="1:22" x14ac:dyDescent="0.25">
      <c r="A1450" s="2" t="s">
        <v>1484</v>
      </c>
      <c r="B1450" s="2" t="s">
        <v>45</v>
      </c>
      <c r="C1450" s="2" t="s">
        <v>27</v>
      </c>
      <c r="D1450" s="2" t="s">
        <v>20</v>
      </c>
      <c r="E1450" s="2">
        <v>400.66</v>
      </c>
      <c r="F1450" s="2">
        <v>16.190000000000001</v>
      </c>
      <c r="G1450" s="2">
        <v>26.78</v>
      </c>
      <c r="H1450" s="2">
        <v>4.2</v>
      </c>
      <c r="I1450" s="2">
        <v>0.5</v>
      </c>
      <c r="J1450" s="2">
        <v>19</v>
      </c>
      <c r="K1450" s="2" t="s">
        <v>34</v>
      </c>
      <c r="L1450" s="2">
        <v>9.7799999999999994</v>
      </c>
      <c r="M1450" s="2" t="s">
        <v>22</v>
      </c>
      <c r="N1450" s="2">
        <v>70.81</v>
      </c>
      <c r="O1450" s="2" t="s">
        <v>30</v>
      </c>
      <c r="P1450" s="2">
        <v>6.49</v>
      </c>
      <c r="Q1450" s="2">
        <v>13.36</v>
      </c>
      <c r="R1450" s="3">
        <f t="shared" si="110"/>
        <v>2600.2834000000003</v>
      </c>
      <c r="S1450" s="3">
        <f t="shared" si="111"/>
        <v>5352.8176000000003</v>
      </c>
      <c r="T1450" s="3">
        <f t="shared" si="112"/>
        <v>2752.5342000000001</v>
      </c>
      <c r="U1450" s="4">
        <f t="shared" si="113"/>
        <v>0.5142215568862275</v>
      </c>
      <c r="V1450" s="5">
        <f t="shared" si="114"/>
        <v>39.184547999999999</v>
      </c>
    </row>
    <row r="1451" spans="1:22" x14ac:dyDescent="0.25">
      <c r="A1451" s="2" t="s">
        <v>1485</v>
      </c>
      <c r="B1451" s="2" t="s">
        <v>26</v>
      </c>
      <c r="C1451" s="2" t="s">
        <v>27</v>
      </c>
      <c r="D1451" s="2" t="s">
        <v>28</v>
      </c>
      <c r="E1451" s="2">
        <v>398.41</v>
      </c>
      <c r="F1451" s="2">
        <v>11.6</v>
      </c>
      <c r="G1451" s="2">
        <v>26.45</v>
      </c>
      <c r="H1451" s="2">
        <v>3.9</v>
      </c>
      <c r="I1451" s="2">
        <v>1.2</v>
      </c>
      <c r="J1451" s="2">
        <v>22</v>
      </c>
      <c r="K1451" s="2" t="s">
        <v>29</v>
      </c>
      <c r="L1451" s="2">
        <v>4.7699999999999996</v>
      </c>
      <c r="M1451" s="2" t="s">
        <v>40</v>
      </c>
      <c r="N1451" s="2">
        <v>57.8</v>
      </c>
      <c r="O1451" s="2" t="s">
        <v>24</v>
      </c>
      <c r="P1451" s="2">
        <v>8.32</v>
      </c>
      <c r="Q1451" s="2">
        <v>9.67</v>
      </c>
      <c r="R1451" s="3">
        <f t="shared" si="110"/>
        <v>3314.7712000000001</v>
      </c>
      <c r="S1451" s="3">
        <f t="shared" si="111"/>
        <v>3852.6247000000003</v>
      </c>
      <c r="T1451" s="3">
        <f t="shared" si="112"/>
        <v>537.85350000000017</v>
      </c>
      <c r="U1451" s="4">
        <f t="shared" si="113"/>
        <v>0.13960703205791108</v>
      </c>
      <c r="V1451" s="5">
        <f t="shared" si="114"/>
        <v>19.004156999999999</v>
      </c>
    </row>
    <row r="1452" spans="1:22" x14ac:dyDescent="0.25">
      <c r="A1452" s="2" t="s">
        <v>1486</v>
      </c>
      <c r="B1452" s="2" t="s">
        <v>26</v>
      </c>
      <c r="C1452" s="2" t="s">
        <v>27</v>
      </c>
      <c r="D1452" s="2" t="s">
        <v>20</v>
      </c>
      <c r="E1452" s="2">
        <v>361.15</v>
      </c>
      <c r="F1452" s="2">
        <v>13.41</v>
      </c>
      <c r="G1452" s="2">
        <v>32.9</v>
      </c>
      <c r="H1452" s="2">
        <v>1</v>
      </c>
      <c r="I1452" s="2">
        <v>3.6</v>
      </c>
      <c r="J1452" s="2">
        <v>25</v>
      </c>
      <c r="K1452" s="2" t="s">
        <v>34</v>
      </c>
      <c r="L1452" s="2">
        <v>7.03</v>
      </c>
      <c r="M1452" s="2" t="s">
        <v>40</v>
      </c>
      <c r="N1452" s="2">
        <v>62.72</v>
      </c>
      <c r="O1452" s="2" t="s">
        <v>23</v>
      </c>
      <c r="P1452" s="2">
        <v>6.67</v>
      </c>
      <c r="Q1452" s="2">
        <v>8.2200000000000006</v>
      </c>
      <c r="R1452" s="3">
        <f t="shared" si="110"/>
        <v>2408.8705</v>
      </c>
      <c r="S1452" s="3">
        <f t="shared" si="111"/>
        <v>2968.6530000000002</v>
      </c>
      <c r="T1452" s="3">
        <f t="shared" si="112"/>
        <v>559.78250000000025</v>
      </c>
      <c r="U1452" s="4">
        <f t="shared" si="113"/>
        <v>0.18856447688564484</v>
      </c>
      <c r="V1452" s="5">
        <f t="shared" si="114"/>
        <v>25.388845</v>
      </c>
    </row>
    <row r="1453" spans="1:22" x14ac:dyDescent="0.25">
      <c r="A1453" s="2" t="s">
        <v>1487</v>
      </c>
      <c r="B1453" s="2" t="s">
        <v>32</v>
      </c>
      <c r="C1453" s="2" t="s">
        <v>43</v>
      </c>
      <c r="D1453" s="2" t="s">
        <v>20</v>
      </c>
      <c r="E1453" s="2">
        <v>339.97</v>
      </c>
      <c r="F1453" s="2">
        <v>14.77</v>
      </c>
      <c r="G1453" s="2">
        <v>37.03</v>
      </c>
      <c r="H1453" s="2">
        <v>2.4</v>
      </c>
      <c r="I1453" s="2">
        <v>2.2000000000000002</v>
      </c>
      <c r="J1453" s="2">
        <v>22</v>
      </c>
      <c r="K1453" s="2" t="s">
        <v>34</v>
      </c>
      <c r="L1453" s="2">
        <v>5.62</v>
      </c>
      <c r="M1453" s="2" t="s">
        <v>37</v>
      </c>
      <c r="N1453" s="2">
        <v>94.59</v>
      </c>
      <c r="O1453" s="2" t="s">
        <v>24</v>
      </c>
      <c r="P1453" s="2">
        <v>3.49</v>
      </c>
      <c r="Q1453" s="2">
        <v>10.61</v>
      </c>
      <c r="R1453" s="3">
        <f t="shared" si="110"/>
        <v>1186.4953000000003</v>
      </c>
      <c r="S1453" s="3">
        <f t="shared" si="111"/>
        <v>3607.0817000000002</v>
      </c>
      <c r="T1453" s="3">
        <f t="shared" si="112"/>
        <v>2420.5864000000001</v>
      </c>
      <c r="U1453" s="4">
        <f t="shared" si="113"/>
        <v>0.67106503298774745</v>
      </c>
      <c r="V1453" s="5">
        <f t="shared" si="114"/>
        <v>19.106314000000001</v>
      </c>
    </row>
    <row r="1454" spans="1:22" x14ac:dyDescent="0.25">
      <c r="A1454" s="2" t="s">
        <v>1488</v>
      </c>
      <c r="B1454" s="2" t="s">
        <v>26</v>
      </c>
      <c r="C1454" s="2" t="s">
        <v>27</v>
      </c>
      <c r="D1454" s="2" t="s">
        <v>28</v>
      </c>
      <c r="E1454" s="2">
        <v>378.27</v>
      </c>
      <c r="F1454" s="2">
        <v>15.03</v>
      </c>
      <c r="G1454" s="2">
        <v>32.18</v>
      </c>
      <c r="H1454" s="2">
        <v>1.6</v>
      </c>
      <c r="I1454" s="2">
        <v>0.4</v>
      </c>
      <c r="J1454" s="2">
        <v>18</v>
      </c>
      <c r="K1454" s="2" t="s">
        <v>29</v>
      </c>
      <c r="L1454" s="2">
        <v>5.23</v>
      </c>
      <c r="M1454" s="2" t="s">
        <v>22</v>
      </c>
      <c r="N1454" s="2">
        <v>98.43</v>
      </c>
      <c r="O1454" s="2" t="s">
        <v>24</v>
      </c>
      <c r="P1454" s="2">
        <v>5.28</v>
      </c>
      <c r="Q1454" s="2">
        <v>7.61</v>
      </c>
      <c r="R1454" s="3">
        <f t="shared" si="110"/>
        <v>1997.2655999999999</v>
      </c>
      <c r="S1454" s="3">
        <f t="shared" si="111"/>
        <v>2878.6347000000001</v>
      </c>
      <c r="T1454" s="3">
        <f t="shared" si="112"/>
        <v>881.36910000000012</v>
      </c>
      <c r="U1454" s="4">
        <f t="shared" si="113"/>
        <v>0.30617608409986863</v>
      </c>
      <c r="V1454" s="5">
        <f t="shared" si="114"/>
        <v>19.783521</v>
      </c>
    </row>
    <row r="1455" spans="1:22" x14ac:dyDescent="0.25">
      <c r="A1455" s="2" t="s">
        <v>1489</v>
      </c>
      <c r="B1455" s="2" t="s">
        <v>18</v>
      </c>
      <c r="C1455" s="2" t="s">
        <v>27</v>
      </c>
      <c r="D1455" s="2" t="s">
        <v>28</v>
      </c>
      <c r="E1455" s="2">
        <v>515.95000000000005</v>
      </c>
      <c r="F1455" s="2">
        <v>17.559999999999999</v>
      </c>
      <c r="G1455" s="2">
        <v>37.06</v>
      </c>
      <c r="H1455" s="2">
        <v>3.8</v>
      </c>
      <c r="I1455" s="2">
        <v>6.3</v>
      </c>
      <c r="J1455" s="2">
        <v>16</v>
      </c>
      <c r="K1455" s="2" t="s">
        <v>21</v>
      </c>
      <c r="L1455" s="2">
        <v>1.1100000000000001</v>
      </c>
      <c r="M1455" s="2" t="s">
        <v>37</v>
      </c>
      <c r="N1455" s="2">
        <v>97.43</v>
      </c>
      <c r="O1455" s="2" t="s">
        <v>30</v>
      </c>
      <c r="P1455" s="2">
        <v>3.61</v>
      </c>
      <c r="Q1455" s="2">
        <v>9.01</v>
      </c>
      <c r="R1455" s="3">
        <f t="shared" si="110"/>
        <v>1862.5795000000001</v>
      </c>
      <c r="S1455" s="3">
        <f t="shared" si="111"/>
        <v>4648.7094999999999</v>
      </c>
      <c r="T1455" s="3">
        <f t="shared" si="112"/>
        <v>2786.13</v>
      </c>
      <c r="U1455" s="4">
        <f t="shared" si="113"/>
        <v>0.59933407325194232</v>
      </c>
      <c r="V1455" s="5">
        <f t="shared" si="114"/>
        <v>5.7270450000000004</v>
      </c>
    </row>
    <row r="1456" spans="1:22" x14ac:dyDescent="0.25">
      <c r="A1456" s="2" t="s">
        <v>1490</v>
      </c>
      <c r="B1456" s="2" t="s">
        <v>32</v>
      </c>
      <c r="C1456" s="2" t="s">
        <v>19</v>
      </c>
      <c r="D1456" s="2" t="s">
        <v>28</v>
      </c>
      <c r="E1456" s="2">
        <v>410.72</v>
      </c>
      <c r="F1456" s="2">
        <v>13.31</v>
      </c>
      <c r="G1456" s="2">
        <v>25.29</v>
      </c>
      <c r="H1456" s="2">
        <v>0.8</v>
      </c>
      <c r="I1456" s="2">
        <v>0</v>
      </c>
      <c r="J1456" s="2">
        <v>2</v>
      </c>
      <c r="K1456" s="2" t="s">
        <v>34</v>
      </c>
      <c r="L1456" s="2">
        <v>1.87</v>
      </c>
      <c r="M1456" s="2" t="s">
        <v>37</v>
      </c>
      <c r="N1456" s="2">
        <v>59.67</v>
      </c>
      <c r="O1456" s="2" t="s">
        <v>23</v>
      </c>
      <c r="P1456" s="2">
        <v>9.92</v>
      </c>
      <c r="Q1456" s="2">
        <v>8.33</v>
      </c>
      <c r="R1456" s="3">
        <f t="shared" si="110"/>
        <v>4074.3424000000005</v>
      </c>
      <c r="S1456" s="3">
        <f t="shared" si="111"/>
        <v>3421.2976000000003</v>
      </c>
      <c r="T1456" s="3">
        <f t="shared" si="112"/>
        <v>-653.04480000000012</v>
      </c>
      <c r="U1456" s="4">
        <f t="shared" si="113"/>
        <v>-0.19087635054021609</v>
      </c>
      <c r="V1456" s="5">
        <f t="shared" si="114"/>
        <v>7.6804640000000006</v>
      </c>
    </row>
    <row r="1457" spans="1:22" x14ac:dyDescent="0.25">
      <c r="A1457" s="2" t="s">
        <v>1491</v>
      </c>
      <c r="B1457" s="2" t="s">
        <v>32</v>
      </c>
      <c r="C1457" s="2" t="s">
        <v>27</v>
      </c>
      <c r="D1457" s="2" t="s">
        <v>28</v>
      </c>
      <c r="E1457" s="2">
        <v>551.36</v>
      </c>
      <c r="F1457" s="2">
        <v>12</v>
      </c>
      <c r="G1457" s="2">
        <v>30.39</v>
      </c>
      <c r="H1457" s="2">
        <v>1.5</v>
      </c>
      <c r="I1457" s="2">
        <v>0</v>
      </c>
      <c r="J1457" s="2">
        <v>15</v>
      </c>
      <c r="K1457" s="2" t="s">
        <v>34</v>
      </c>
      <c r="L1457" s="2">
        <v>8.89</v>
      </c>
      <c r="M1457" s="2" t="s">
        <v>40</v>
      </c>
      <c r="N1457" s="2">
        <v>95.04</v>
      </c>
      <c r="O1457" s="2" t="s">
        <v>23</v>
      </c>
      <c r="P1457" s="2">
        <v>4.5999999999999996</v>
      </c>
      <c r="Q1457" s="2">
        <v>13.04</v>
      </c>
      <c r="R1457" s="3">
        <f t="shared" si="110"/>
        <v>2536.2559999999999</v>
      </c>
      <c r="S1457" s="3">
        <f t="shared" si="111"/>
        <v>7189.7343999999994</v>
      </c>
      <c r="T1457" s="3">
        <f t="shared" si="112"/>
        <v>4653.4784</v>
      </c>
      <c r="U1457" s="4">
        <f t="shared" si="113"/>
        <v>0.64723926380368102</v>
      </c>
      <c r="V1457" s="5">
        <f t="shared" si="114"/>
        <v>49.015903999999999</v>
      </c>
    </row>
    <row r="1458" spans="1:22" x14ac:dyDescent="0.25">
      <c r="A1458" s="2" t="s">
        <v>1492</v>
      </c>
      <c r="B1458" s="2" t="s">
        <v>45</v>
      </c>
      <c r="C1458" s="2" t="s">
        <v>43</v>
      </c>
      <c r="D1458" s="2" t="s">
        <v>20</v>
      </c>
      <c r="E1458" s="2">
        <v>503.47</v>
      </c>
      <c r="F1458" s="2">
        <v>17.54</v>
      </c>
      <c r="G1458" s="2">
        <v>29.01</v>
      </c>
      <c r="H1458" s="2">
        <v>1.3</v>
      </c>
      <c r="I1458" s="2">
        <v>1.7</v>
      </c>
      <c r="J1458" s="2">
        <v>13</v>
      </c>
      <c r="K1458" s="2" t="s">
        <v>29</v>
      </c>
      <c r="L1458" s="2">
        <v>4.4000000000000004</v>
      </c>
      <c r="M1458" s="2" t="s">
        <v>22</v>
      </c>
      <c r="N1458" s="2">
        <v>57.08</v>
      </c>
      <c r="O1458" s="2" t="s">
        <v>24</v>
      </c>
      <c r="P1458" s="2">
        <v>7.45</v>
      </c>
      <c r="Q1458" s="2">
        <v>14.24</v>
      </c>
      <c r="R1458" s="3">
        <f t="shared" si="110"/>
        <v>3750.8515000000002</v>
      </c>
      <c r="S1458" s="3">
        <f t="shared" si="111"/>
        <v>7169.4128000000001</v>
      </c>
      <c r="T1458" s="3">
        <f t="shared" si="112"/>
        <v>3418.5612999999998</v>
      </c>
      <c r="U1458" s="4">
        <f t="shared" si="113"/>
        <v>0.4768258426966292</v>
      </c>
      <c r="V1458" s="5">
        <f t="shared" si="114"/>
        <v>22.152680000000004</v>
      </c>
    </row>
    <row r="1459" spans="1:22" x14ac:dyDescent="0.25">
      <c r="A1459" s="2" t="s">
        <v>1493</v>
      </c>
      <c r="B1459" s="2" t="s">
        <v>26</v>
      </c>
      <c r="C1459" s="2" t="s">
        <v>43</v>
      </c>
      <c r="D1459" s="2" t="s">
        <v>20</v>
      </c>
      <c r="E1459" s="2">
        <v>303.14999999999998</v>
      </c>
      <c r="F1459" s="2">
        <v>14.42</v>
      </c>
      <c r="G1459" s="2">
        <v>20.23</v>
      </c>
      <c r="H1459" s="2">
        <v>0.9</v>
      </c>
      <c r="I1459" s="2">
        <v>0.2</v>
      </c>
      <c r="J1459" s="2">
        <v>13</v>
      </c>
      <c r="K1459" s="2" t="s">
        <v>34</v>
      </c>
      <c r="L1459" s="2">
        <v>6.34</v>
      </c>
      <c r="M1459" s="2" t="s">
        <v>37</v>
      </c>
      <c r="N1459" s="2">
        <v>75.38</v>
      </c>
      <c r="O1459" s="2" t="s">
        <v>24</v>
      </c>
      <c r="P1459" s="2">
        <v>4.99</v>
      </c>
      <c r="Q1459" s="2">
        <v>12.6</v>
      </c>
      <c r="R1459" s="3">
        <f t="shared" si="110"/>
        <v>1512.7184999999999</v>
      </c>
      <c r="S1459" s="3">
        <f t="shared" si="111"/>
        <v>3819.6899999999996</v>
      </c>
      <c r="T1459" s="3">
        <f t="shared" si="112"/>
        <v>2306.9714999999997</v>
      </c>
      <c r="U1459" s="4">
        <f t="shared" si="113"/>
        <v>0.60396825396825393</v>
      </c>
      <c r="V1459" s="5">
        <f t="shared" si="114"/>
        <v>19.219709999999999</v>
      </c>
    </row>
    <row r="1460" spans="1:22" x14ac:dyDescent="0.25">
      <c r="A1460" s="2" t="s">
        <v>1494</v>
      </c>
      <c r="B1460" s="2" t="s">
        <v>45</v>
      </c>
      <c r="C1460" s="2" t="s">
        <v>19</v>
      </c>
      <c r="D1460" s="2" t="s">
        <v>20</v>
      </c>
      <c r="E1460" s="2">
        <v>565.5</v>
      </c>
      <c r="F1460" s="2">
        <v>10.98</v>
      </c>
      <c r="G1460" s="2">
        <v>31.14</v>
      </c>
      <c r="H1460" s="2">
        <v>4.4000000000000004</v>
      </c>
      <c r="I1460" s="2">
        <v>0.1</v>
      </c>
      <c r="J1460" s="2">
        <v>16</v>
      </c>
      <c r="K1460" s="2" t="s">
        <v>29</v>
      </c>
      <c r="L1460" s="2">
        <v>5.52</v>
      </c>
      <c r="M1460" s="2" t="s">
        <v>40</v>
      </c>
      <c r="N1460" s="2">
        <v>82.18</v>
      </c>
      <c r="O1460" s="2" t="s">
        <v>23</v>
      </c>
      <c r="P1460" s="2">
        <v>7.57</v>
      </c>
      <c r="Q1460" s="2">
        <v>9.39</v>
      </c>
      <c r="R1460" s="3">
        <f t="shared" si="110"/>
        <v>4280.835</v>
      </c>
      <c r="S1460" s="3">
        <f t="shared" si="111"/>
        <v>5310.0450000000001</v>
      </c>
      <c r="T1460" s="3">
        <f t="shared" si="112"/>
        <v>1029.21</v>
      </c>
      <c r="U1460" s="4">
        <f t="shared" si="113"/>
        <v>0.19382321618743345</v>
      </c>
      <c r="V1460" s="5">
        <f t="shared" si="114"/>
        <v>31.215599999999998</v>
      </c>
    </row>
    <row r="1461" spans="1:22" x14ac:dyDescent="0.25">
      <c r="A1461" s="2" t="s">
        <v>1495</v>
      </c>
      <c r="B1461" s="2" t="s">
        <v>18</v>
      </c>
      <c r="C1461" s="2" t="s">
        <v>27</v>
      </c>
      <c r="D1461" s="2" t="s">
        <v>28</v>
      </c>
      <c r="E1461" s="2">
        <v>581.08000000000004</v>
      </c>
      <c r="F1461" s="2">
        <v>9.26</v>
      </c>
      <c r="G1461" s="2">
        <v>33.229999999999997</v>
      </c>
      <c r="H1461" s="2">
        <v>0.4</v>
      </c>
      <c r="I1461" s="2">
        <v>0.3</v>
      </c>
      <c r="J1461" s="2">
        <v>8</v>
      </c>
      <c r="K1461" s="2" t="s">
        <v>21</v>
      </c>
      <c r="L1461" s="2">
        <v>4.0999999999999996</v>
      </c>
      <c r="M1461" s="2" t="s">
        <v>37</v>
      </c>
      <c r="N1461" s="2">
        <v>73.12</v>
      </c>
      <c r="O1461" s="2" t="s">
        <v>23</v>
      </c>
      <c r="P1461" s="2">
        <v>4.47</v>
      </c>
      <c r="Q1461" s="2">
        <v>10.039999999999999</v>
      </c>
      <c r="R1461" s="3">
        <f t="shared" si="110"/>
        <v>2597.4276</v>
      </c>
      <c r="S1461" s="3">
        <f t="shared" si="111"/>
        <v>5834.0432000000001</v>
      </c>
      <c r="T1461" s="3">
        <f t="shared" si="112"/>
        <v>3236.6156000000001</v>
      </c>
      <c r="U1461" s="4">
        <f t="shared" si="113"/>
        <v>0.55478087649402397</v>
      </c>
      <c r="V1461" s="5">
        <f t="shared" si="114"/>
        <v>23.824279999999998</v>
      </c>
    </row>
    <row r="1462" spans="1:22" x14ac:dyDescent="0.25">
      <c r="A1462" s="2" t="s">
        <v>1496</v>
      </c>
      <c r="B1462" s="2" t="s">
        <v>32</v>
      </c>
      <c r="C1462" s="2" t="s">
        <v>27</v>
      </c>
      <c r="D1462" s="2" t="s">
        <v>28</v>
      </c>
      <c r="E1462" s="2">
        <v>400.61</v>
      </c>
      <c r="F1462" s="2">
        <v>16.43</v>
      </c>
      <c r="G1462" s="2">
        <v>31.84</v>
      </c>
      <c r="H1462" s="2">
        <v>0.3</v>
      </c>
      <c r="I1462" s="2">
        <v>0.6</v>
      </c>
      <c r="J1462" s="2">
        <v>11</v>
      </c>
      <c r="K1462" s="2" t="s">
        <v>21</v>
      </c>
      <c r="L1462" s="2">
        <v>4.18</v>
      </c>
      <c r="M1462" s="2" t="s">
        <v>37</v>
      </c>
      <c r="N1462" s="2">
        <v>97.59</v>
      </c>
      <c r="O1462" s="2" t="s">
        <v>30</v>
      </c>
      <c r="P1462" s="2">
        <v>8.5</v>
      </c>
      <c r="Q1462" s="2">
        <v>6.25</v>
      </c>
      <c r="R1462" s="3">
        <f t="shared" si="110"/>
        <v>3405.1849999999999</v>
      </c>
      <c r="S1462" s="3">
        <f t="shared" si="111"/>
        <v>2503.8125</v>
      </c>
      <c r="T1462" s="3">
        <f t="shared" si="112"/>
        <v>-901.37249999999995</v>
      </c>
      <c r="U1462" s="4">
        <f t="shared" si="113"/>
        <v>-0.36</v>
      </c>
      <c r="V1462" s="5">
        <f t="shared" si="114"/>
        <v>16.745498000000001</v>
      </c>
    </row>
    <row r="1463" spans="1:22" x14ac:dyDescent="0.25">
      <c r="A1463" s="2" t="s">
        <v>1497</v>
      </c>
      <c r="B1463" s="2" t="s">
        <v>32</v>
      </c>
      <c r="C1463" s="2" t="s">
        <v>43</v>
      </c>
      <c r="D1463" s="2" t="s">
        <v>20</v>
      </c>
      <c r="E1463" s="2">
        <v>542.02</v>
      </c>
      <c r="F1463" s="2">
        <v>11.62</v>
      </c>
      <c r="G1463" s="2">
        <v>34.729999999999997</v>
      </c>
      <c r="H1463" s="2">
        <v>1.7</v>
      </c>
      <c r="I1463" s="2">
        <v>1.3</v>
      </c>
      <c r="J1463" s="2">
        <v>8</v>
      </c>
      <c r="K1463" s="2" t="s">
        <v>29</v>
      </c>
      <c r="L1463" s="2">
        <v>5.78</v>
      </c>
      <c r="M1463" s="2" t="s">
        <v>22</v>
      </c>
      <c r="N1463" s="2">
        <v>66.66</v>
      </c>
      <c r="O1463" s="2" t="s">
        <v>24</v>
      </c>
      <c r="P1463" s="2">
        <v>3.78</v>
      </c>
      <c r="Q1463" s="2">
        <v>12.47</v>
      </c>
      <c r="R1463" s="3">
        <f t="shared" si="110"/>
        <v>2048.8355999999999</v>
      </c>
      <c r="S1463" s="3">
        <f t="shared" si="111"/>
        <v>6758.9894000000004</v>
      </c>
      <c r="T1463" s="3">
        <f t="shared" si="112"/>
        <v>4710.1538</v>
      </c>
      <c r="U1463" s="4">
        <f t="shared" si="113"/>
        <v>0.69687249398556528</v>
      </c>
      <c r="V1463" s="5">
        <f t="shared" si="114"/>
        <v>31.328755999999998</v>
      </c>
    </row>
    <row r="1464" spans="1:22" x14ac:dyDescent="0.25">
      <c r="A1464" s="2" t="s">
        <v>1498</v>
      </c>
      <c r="B1464" s="2" t="s">
        <v>32</v>
      </c>
      <c r="C1464" s="2" t="s">
        <v>27</v>
      </c>
      <c r="D1464" s="2" t="s">
        <v>28</v>
      </c>
      <c r="E1464" s="2">
        <v>414.35</v>
      </c>
      <c r="F1464" s="2">
        <v>14.6</v>
      </c>
      <c r="G1464" s="2">
        <v>31.43</v>
      </c>
      <c r="H1464" s="2">
        <v>2.1</v>
      </c>
      <c r="I1464" s="2">
        <v>1</v>
      </c>
      <c r="J1464" s="2">
        <v>22</v>
      </c>
      <c r="K1464" s="2" t="s">
        <v>21</v>
      </c>
      <c r="L1464" s="2">
        <v>1.84</v>
      </c>
      <c r="M1464" s="2" t="s">
        <v>22</v>
      </c>
      <c r="N1464" s="2">
        <v>76.37</v>
      </c>
      <c r="O1464" s="2" t="s">
        <v>24</v>
      </c>
      <c r="P1464" s="2">
        <v>9.27</v>
      </c>
      <c r="Q1464" s="2">
        <v>10.96</v>
      </c>
      <c r="R1464" s="3">
        <f t="shared" si="110"/>
        <v>3841.0245</v>
      </c>
      <c r="S1464" s="3">
        <f t="shared" si="111"/>
        <v>4541.2760000000007</v>
      </c>
      <c r="T1464" s="3">
        <f t="shared" si="112"/>
        <v>700.25150000000076</v>
      </c>
      <c r="U1464" s="4">
        <f t="shared" si="113"/>
        <v>0.15419708029197093</v>
      </c>
      <c r="V1464" s="5">
        <f t="shared" si="114"/>
        <v>7.6240400000000008</v>
      </c>
    </row>
    <row r="1465" spans="1:22" x14ac:dyDescent="0.25">
      <c r="A1465" s="2" t="s">
        <v>1499</v>
      </c>
      <c r="B1465" s="2" t="s">
        <v>18</v>
      </c>
      <c r="C1465" s="2" t="s">
        <v>27</v>
      </c>
      <c r="D1465" s="2" t="s">
        <v>20</v>
      </c>
      <c r="E1465" s="2">
        <v>509.77</v>
      </c>
      <c r="F1465" s="2">
        <v>12.71</v>
      </c>
      <c r="G1465" s="2">
        <v>21.34</v>
      </c>
      <c r="H1465" s="2">
        <v>0.4</v>
      </c>
      <c r="I1465" s="2">
        <v>0.3</v>
      </c>
      <c r="J1465" s="2">
        <v>10</v>
      </c>
      <c r="K1465" s="2" t="s">
        <v>29</v>
      </c>
      <c r="L1465" s="2">
        <v>4.18</v>
      </c>
      <c r="M1465" s="2" t="s">
        <v>22</v>
      </c>
      <c r="N1465" s="2">
        <v>53.77</v>
      </c>
      <c r="O1465" s="2" t="s">
        <v>23</v>
      </c>
      <c r="P1465" s="2">
        <v>8.8800000000000008</v>
      </c>
      <c r="Q1465" s="2">
        <v>14.02</v>
      </c>
      <c r="R1465" s="3">
        <f t="shared" si="110"/>
        <v>4526.7575999999999</v>
      </c>
      <c r="S1465" s="3">
        <f t="shared" si="111"/>
        <v>7146.9753999999994</v>
      </c>
      <c r="T1465" s="3">
        <f t="shared" si="112"/>
        <v>2620.2177999999994</v>
      </c>
      <c r="U1465" s="4">
        <f t="shared" si="113"/>
        <v>0.36661911554921534</v>
      </c>
      <c r="V1465" s="5">
        <f t="shared" si="114"/>
        <v>21.308385999999995</v>
      </c>
    </row>
    <row r="1466" spans="1:22" x14ac:dyDescent="0.25">
      <c r="A1466" s="2" t="s">
        <v>1500</v>
      </c>
      <c r="B1466" s="2" t="s">
        <v>18</v>
      </c>
      <c r="C1466" s="2" t="s">
        <v>27</v>
      </c>
      <c r="D1466" s="2" t="s">
        <v>20</v>
      </c>
      <c r="E1466" s="2">
        <v>373.55</v>
      </c>
      <c r="F1466" s="2">
        <v>9.99</v>
      </c>
      <c r="G1466" s="2">
        <v>22.33</v>
      </c>
      <c r="H1466" s="2">
        <v>1</v>
      </c>
      <c r="I1466" s="2">
        <v>0.7</v>
      </c>
      <c r="J1466" s="2">
        <v>23</v>
      </c>
      <c r="K1466" s="2" t="s">
        <v>34</v>
      </c>
      <c r="L1466" s="2">
        <v>4.75</v>
      </c>
      <c r="M1466" s="2" t="s">
        <v>37</v>
      </c>
      <c r="N1466" s="2">
        <v>92.61</v>
      </c>
      <c r="O1466" s="2" t="s">
        <v>30</v>
      </c>
      <c r="P1466" s="2">
        <v>7.75</v>
      </c>
      <c r="Q1466" s="2">
        <v>7.01</v>
      </c>
      <c r="R1466" s="3">
        <f t="shared" si="110"/>
        <v>2895.0125000000003</v>
      </c>
      <c r="S1466" s="3">
        <f t="shared" si="111"/>
        <v>2618.5855000000001</v>
      </c>
      <c r="T1466" s="3">
        <f t="shared" si="112"/>
        <v>-276.42700000000013</v>
      </c>
      <c r="U1466" s="4">
        <f t="shared" si="113"/>
        <v>-0.10556348074179747</v>
      </c>
      <c r="V1466" s="5">
        <f t="shared" si="114"/>
        <v>17.743624999999998</v>
      </c>
    </row>
    <row r="1467" spans="1:22" x14ac:dyDescent="0.25">
      <c r="A1467" s="2" t="s">
        <v>1501</v>
      </c>
      <c r="B1467" s="2" t="s">
        <v>45</v>
      </c>
      <c r="C1467" s="2" t="s">
        <v>33</v>
      </c>
      <c r="D1467" s="2" t="s">
        <v>20</v>
      </c>
      <c r="E1467" s="2">
        <v>320.69</v>
      </c>
      <c r="F1467" s="2">
        <v>14.02</v>
      </c>
      <c r="G1467" s="2">
        <v>31.93</v>
      </c>
      <c r="H1467" s="2">
        <v>5.9</v>
      </c>
      <c r="I1467" s="2">
        <v>2.6</v>
      </c>
      <c r="J1467" s="2">
        <v>1</v>
      </c>
      <c r="K1467" s="2" t="s">
        <v>21</v>
      </c>
      <c r="L1467" s="2">
        <v>9.86</v>
      </c>
      <c r="M1467" s="2" t="s">
        <v>22</v>
      </c>
      <c r="N1467" s="2">
        <v>70.67</v>
      </c>
      <c r="O1467" s="2" t="s">
        <v>23</v>
      </c>
      <c r="P1467" s="2">
        <v>3.47</v>
      </c>
      <c r="Q1467" s="2">
        <v>12.6</v>
      </c>
      <c r="R1467" s="3">
        <f t="shared" si="110"/>
        <v>1112.7943</v>
      </c>
      <c r="S1467" s="3">
        <f t="shared" si="111"/>
        <v>4040.694</v>
      </c>
      <c r="T1467" s="3">
        <f t="shared" si="112"/>
        <v>2927.8996999999999</v>
      </c>
      <c r="U1467" s="4">
        <f t="shared" si="113"/>
        <v>0.72460317460317458</v>
      </c>
      <c r="V1467" s="5">
        <f t="shared" si="114"/>
        <v>31.620033999999997</v>
      </c>
    </row>
    <row r="1468" spans="1:22" x14ac:dyDescent="0.25">
      <c r="A1468" s="2" t="s">
        <v>1502</v>
      </c>
      <c r="B1468" s="2" t="s">
        <v>45</v>
      </c>
      <c r="C1468" s="2" t="s">
        <v>19</v>
      </c>
      <c r="D1468" s="2" t="s">
        <v>20</v>
      </c>
      <c r="E1468" s="2">
        <v>461.72</v>
      </c>
      <c r="F1468" s="2">
        <v>8.61</v>
      </c>
      <c r="G1468" s="2">
        <v>25.5</v>
      </c>
      <c r="H1468" s="2">
        <v>0.6</v>
      </c>
      <c r="I1468" s="2">
        <v>1.7</v>
      </c>
      <c r="J1468" s="2">
        <v>12</v>
      </c>
      <c r="K1468" s="2" t="s">
        <v>34</v>
      </c>
      <c r="L1468" s="2">
        <v>3.84</v>
      </c>
      <c r="M1468" s="2" t="s">
        <v>40</v>
      </c>
      <c r="N1468" s="2">
        <v>85.03</v>
      </c>
      <c r="O1468" s="2" t="s">
        <v>24</v>
      </c>
      <c r="P1468" s="2">
        <v>4.46</v>
      </c>
      <c r="Q1468" s="2">
        <v>11.85</v>
      </c>
      <c r="R1468" s="3">
        <f t="shared" si="110"/>
        <v>2059.2712000000001</v>
      </c>
      <c r="S1468" s="3">
        <f t="shared" si="111"/>
        <v>5471.3820000000005</v>
      </c>
      <c r="T1468" s="3">
        <f t="shared" si="112"/>
        <v>3412.1108000000004</v>
      </c>
      <c r="U1468" s="4">
        <f t="shared" si="113"/>
        <v>0.62362869198312232</v>
      </c>
      <c r="V1468" s="5">
        <f t="shared" si="114"/>
        <v>17.730048</v>
      </c>
    </row>
    <row r="1469" spans="1:22" x14ac:dyDescent="0.25">
      <c r="A1469" s="2" t="s">
        <v>1503</v>
      </c>
      <c r="B1469" s="2" t="s">
        <v>45</v>
      </c>
      <c r="C1469" s="2" t="s">
        <v>33</v>
      </c>
      <c r="D1469" s="2" t="s">
        <v>20</v>
      </c>
      <c r="E1469" s="2">
        <v>487.63</v>
      </c>
      <c r="F1469" s="2">
        <v>12.13</v>
      </c>
      <c r="G1469" s="2">
        <v>21.59</v>
      </c>
      <c r="H1469" s="2">
        <v>2.2000000000000002</v>
      </c>
      <c r="I1469" s="2">
        <v>0.4</v>
      </c>
      <c r="J1469" s="2">
        <v>9</v>
      </c>
      <c r="K1469" s="2" t="s">
        <v>34</v>
      </c>
      <c r="L1469" s="2">
        <v>6.62</v>
      </c>
      <c r="M1469" s="2" t="s">
        <v>37</v>
      </c>
      <c r="N1469" s="2">
        <v>84.11</v>
      </c>
      <c r="O1469" s="2" t="s">
        <v>24</v>
      </c>
      <c r="P1469" s="2">
        <v>9.02</v>
      </c>
      <c r="Q1469" s="2">
        <v>7.66</v>
      </c>
      <c r="R1469" s="3">
        <f t="shared" si="110"/>
        <v>4398.4225999999999</v>
      </c>
      <c r="S1469" s="3">
        <f t="shared" si="111"/>
        <v>3735.2458000000001</v>
      </c>
      <c r="T1469" s="3">
        <f t="shared" si="112"/>
        <v>-663.17679999999973</v>
      </c>
      <c r="U1469" s="4">
        <f t="shared" si="113"/>
        <v>-0.17754569190600514</v>
      </c>
      <c r="V1469" s="5">
        <f t="shared" si="114"/>
        <v>32.281106000000001</v>
      </c>
    </row>
    <row r="1470" spans="1:22" x14ac:dyDescent="0.25">
      <c r="A1470" s="2" t="s">
        <v>1504</v>
      </c>
      <c r="B1470" s="2" t="s">
        <v>26</v>
      </c>
      <c r="C1470" s="2" t="s">
        <v>19</v>
      </c>
      <c r="D1470" s="2" t="s">
        <v>28</v>
      </c>
      <c r="E1470" s="2">
        <v>460.23</v>
      </c>
      <c r="F1470" s="2">
        <v>13.47</v>
      </c>
      <c r="G1470" s="2">
        <v>28.59</v>
      </c>
      <c r="H1470" s="2">
        <v>2.7</v>
      </c>
      <c r="I1470" s="2">
        <v>4</v>
      </c>
      <c r="J1470" s="2">
        <v>5</v>
      </c>
      <c r="K1470" s="2" t="s">
        <v>29</v>
      </c>
      <c r="L1470" s="2">
        <v>1.81</v>
      </c>
      <c r="M1470" s="2" t="s">
        <v>22</v>
      </c>
      <c r="N1470" s="2">
        <v>83.81</v>
      </c>
      <c r="O1470" s="2" t="s">
        <v>24</v>
      </c>
      <c r="P1470" s="2">
        <v>3.85</v>
      </c>
      <c r="Q1470" s="2">
        <v>11.67</v>
      </c>
      <c r="R1470" s="3">
        <f t="shared" si="110"/>
        <v>1771.8855000000001</v>
      </c>
      <c r="S1470" s="3">
        <f t="shared" si="111"/>
        <v>5370.8841000000002</v>
      </c>
      <c r="T1470" s="3">
        <f t="shared" si="112"/>
        <v>3598.9985999999999</v>
      </c>
      <c r="U1470" s="4">
        <f t="shared" si="113"/>
        <v>0.67009425878320472</v>
      </c>
      <c r="V1470" s="5">
        <f t="shared" si="114"/>
        <v>8.3301630000000007</v>
      </c>
    </row>
    <row r="1471" spans="1:22" x14ac:dyDescent="0.25">
      <c r="A1471" s="2" t="s">
        <v>1505</v>
      </c>
      <c r="B1471" s="2" t="s">
        <v>32</v>
      </c>
      <c r="C1471" s="2" t="s">
        <v>43</v>
      </c>
      <c r="D1471" s="2" t="s">
        <v>28</v>
      </c>
      <c r="E1471" s="2">
        <v>381.6</v>
      </c>
      <c r="F1471" s="2">
        <v>12.36</v>
      </c>
      <c r="G1471" s="2">
        <v>31.09</v>
      </c>
      <c r="H1471" s="2">
        <v>1.2</v>
      </c>
      <c r="I1471" s="2">
        <v>1.2</v>
      </c>
      <c r="J1471" s="2">
        <v>9</v>
      </c>
      <c r="K1471" s="2" t="s">
        <v>21</v>
      </c>
      <c r="L1471" s="2">
        <v>1.1200000000000001</v>
      </c>
      <c r="M1471" s="2" t="s">
        <v>37</v>
      </c>
      <c r="N1471" s="2">
        <v>75.349999999999994</v>
      </c>
      <c r="O1471" s="2" t="s">
        <v>24</v>
      </c>
      <c r="P1471" s="2">
        <v>4.09</v>
      </c>
      <c r="Q1471" s="2">
        <v>14.24</v>
      </c>
      <c r="R1471" s="3">
        <f t="shared" si="110"/>
        <v>1560.7440000000001</v>
      </c>
      <c r="S1471" s="3">
        <f t="shared" si="111"/>
        <v>5433.9840000000004</v>
      </c>
      <c r="T1471" s="3">
        <f t="shared" si="112"/>
        <v>3873.2400000000002</v>
      </c>
      <c r="U1471" s="4">
        <f t="shared" si="113"/>
        <v>0.7127808988764045</v>
      </c>
      <c r="V1471" s="5">
        <f t="shared" si="114"/>
        <v>4.2739200000000004</v>
      </c>
    </row>
    <row r="1472" spans="1:22" x14ac:dyDescent="0.25">
      <c r="A1472" s="2" t="s">
        <v>1506</v>
      </c>
      <c r="B1472" s="2" t="s">
        <v>32</v>
      </c>
      <c r="C1472" s="2" t="s">
        <v>27</v>
      </c>
      <c r="D1472" s="2" t="s">
        <v>28</v>
      </c>
      <c r="E1472" s="2">
        <v>460.01</v>
      </c>
      <c r="F1472" s="2">
        <v>15.49</v>
      </c>
      <c r="G1472" s="2">
        <v>26.57</v>
      </c>
      <c r="H1472" s="2">
        <v>5.5</v>
      </c>
      <c r="I1472" s="2">
        <v>0.1</v>
      </c>
      <c r="J1472" s="2">
        <v>16</v>
      </c>
      <c r="K1472" s="2" t="s">
        <v>21</v>
      </c>
      <c r="L1472" s="2">
        <v>8.7799999999999994</v>
      </c>
      <c r="M1472" s="2" t="s">
        <v>37</v>
      </c>
      <c r="N1472" s="2">
        <v>63.88</v>
      </c>
      <c r="O1472" s="2" t="s">
        <v>30</v>
      </c>
      <c r="P1472" s="2">
        <v>6.81</v>
      </c>
      <c r="Q1472" s="2">
        <v>14.18</v>
      </c>
      <c r="R1472" s="3">
        <f t="shared" si="110"/>
        <v>3132.6680999999999</v>
      </c>
      <c r="S1472" s="3">
        <f t="shared" si="111"/>
        <v>6522.9417999999996</v>
      </c>
      <c r="T1472" s="3">
        <f t="shared" si="112"/>
        <v>3390.2736999999997</v>
      </c>
      <c r="U1472" s="4">
        <f t="shared" si="113"/>
        <v>0.51974612129760223</v>
      </c>
      <c r="V1472" s="5">
        <f t="shared" si="114"/>
        <v>40.388877999999998</v>
      </c>
    </row>
    <row r="1473" spans="1:22" x14ac:dyDescent="0.25">
      <c r="A1473" s="2" t="s">
        <v>1507</v>
      </c>
      <c r="B1473" s="2" t="s">
        <v>45</v>
      </c>
      <c r="C1473" s="2" t="s">
        <v>19</v>
      </c>
      <c r="D1473" s="2" t="s">
        <v>20</v>
      </c>
      <c r="E1473" s="2">
        <v>526.92999999999995</v>
      </c>
      <c r="F1473" s="2">
        <v>16.28</v>
      </c>
      <c r="G1473" s="2">
        <v>34.409999999999997</v>
      </c>
      <c r="H1473" s="2">
        <v>2.7</v>
      </c>
      <c r="I1473" s="2">
        <v>0</v>
      </c>
      <c r="J1473" s="2">
        <v>18</v>
      </c>
      <c r="K1473" s="2" t="s">
        <v>34</v>
      </c>
      <c r="L1473" s="2">
        <v>7.44</v>
      </c>
      <c r="M1473" s="2" t="s">
        <v>40</v>
      </c>
      <c r="N1473" s="2">
        <v>81.25</v>
      </c>
      <c r="O1473" s="2" t="s">
        <v>24</v>
      </c>
      <c r="P1473" s="2">
        <v>4.92</v>
      </c>
      <c r="Q1473" s="2">
        <v>12.2</v>
      </c>
      <c r="R1473" s="3">
        <f t="shared" si="110"/>
        <v>2592.4955999999997</v>
      </c>
      <c r="S1473" s="3">
        <f t="shared" si="111"/>
        <v>6428.5459999999994</v>
      </c>
      <c r="T1473" s="3">
        <f t="shared" si="112"/>
        <v>3836.0503999999996</v>
      </c>
      <c r="U1473" s="4">
        <f t="shared" si="113"/>
        <v>0.59672131147540985</v>
      </c>
      <c r="V1473" s="5">
        <f t="shared" si="114"/>
        <v>39.203592</v>
      </c>
    </row>
    <row r="1474" spans="1:22" x14ac:dyDescent="0.25">
      <c r="A1474" s="2" t="s">
        <v>1508</v>
      </c>
      <c r="B1474" s="2" t="s">
        <v>32</v>
      </c>
      <c r="C1474" s="2" t="s">
        <v>33</v>
      </c>
      <c r="D1474" s="2" t="s">
        <v>20</v>
      </c>
      <c r="E1474" s="2">
        <v>495.51</v>
      </c>
      <c r="F1474" s="2">
        <v>15.71</v>
      </c>
      <c r="G1474" s="2">
        <v>32.880000000000003</v>
      </c>
      <c r="H1474" s="2">
        <v>1.2</v>
      </c>
      <c r="I1474" s="2">
        <v>0.2</v>
      </c>
      <c r="J1474" s="2">
        <v>8</v>
      </c>
      <c r="K1474" s="2" t="s">
        <v>34</v>
      </c>
      <c r="L1474" s="2">
        <v>3.52</v>
      </c>
      <c r="M1474" s="2" t="s">
        <v>40</v>
      </c>
      <c r="N1474" s="2">
        <v>98.09</v>
      </c>
      <c r="O1474" s="2" t="s">
        <v>23</v>
      </c>
      <c r="P1474" s="2">
        <v>4.55</v>
      </c>
      <c r="Q1474" s="2">
        <v>5.48</v>
      </c>
      <c r="R1474" s="3">
        <f t="shared" si="110"/>
        <v>2254.5704999999998</v>
      </c>
      <c r="S1474" s="3">
        <f t="shared" si="111"/>
        <v>2715.3948</v>
      </c>
      <c r="T1474" s="3">
        <f t="shared" si="112"/>
        <v>460.82430000000022</v>
      </c>
      <c r="U1474" s="4">
        <f t="shared" si="113"/>
        <v>0.16970802919708036</v>
      </c>
      <c r="V1474" s="5">
        <f t="shared" si="114"/>
        <v>17.441952000000001</v>
      </c>
    </row>
    <row r="1475" spans="1:22" x14ac:dyDescent="0.25">
      <c r="A1475" s="2" t="s">
        <v>1509</v>
      </c>
      <c r="B1475" s="2" t="s">
        <v>45</v>
      </c>
      <c r="C1475" s="2" t="s">
        <v>27</v>
      </c>
      <c r="D1475" s="2" t="s">
        <v>20</v>
      </c>
      <c r="E1475" s="2">
        <v>518.25</v>
      </c>
      <c r="F1475" s="2">
        <v>8.39</v>
      </c>
      <c r="G1475" s="2">
        <v>26.66</v>
      </c>
      <c r="H1475" s="2">
        <v>1.7</v>
      </c>
      <c r="I1475" s="2">
        <v>1.3</v>
      </c>
      <c r="J1475" s="2">
        <v>23</v>
      </c>
      <c r="K1475" s="2" t="s">
        <v>29</v>
      </c>
      <c r="L1475" s="2">
        <v>5.29</v>
      </c>
      <c r="M1475" s="2" t="s">
        <v>40</v>
      </c>
      <c r="N1475" s="2">
        <v>91.7</v>
      </c>
      <c r="O1475" s="2" t="s">
        <v>30</v>
      </c>
      <c r="P1475" s="2">
        <v>7.03</v>
      </c>
      <c r="Q1475" s="2">
        <v>13.72</v>
      </c>
      <c r="R1475" s="3">
        <f t="shared" ref="R1475:R1538" si="115">E1475*P1475</f>
        <v>3643.2975000000001</v>
      </c>
      <c r="S1475" s="3">
        <f t="shared" ref="S1475:S1538" si="116">E1475*Q1475</f>
        <v>7110.39</v>
      </c>
      <c r="T1475" s="3">
        <f t="shared" ref="T1475:T1538" si="117">S1475-R1475</f>
        <v>3467.0925000000002</v>
      </c>
      <c r="U1475" s="4">
        <f t="shared" ref="U1475:U1538" si="118">T1475/S1475</f>
        <v>0.48760932944606417</v>
      </c>
      <c r="V1475" s="5">
        <f t="shared" ref="V1475:V1538" si="119">E1475*L1475/100</f>
        <v>27.415424999999999</v>
      </c>
    </row>
    <row r="1476" spans="1:22" x14ac:dyDescent="0.25">
      <c r="A1476" s="2" t="s">
        <v>1510</v>
      </c>
      <c r="B1476" s="2" t="s">
        <v>26</v>
      </c>
      <c r="C1476" s="2" t="s">
        <v>43</v>
      </c>
      <c r="D1476" s="2" t="s">
        <v>20</v>
      </c>
      <c r="E1476" s="2">
        <v>432.99</v>
      </c>
      <c r="F1476" s="2">
        <v>9.94</v>
      </c>
      <c r="G1476" s="2">
        <v>35.1</v>
      </c>
      <c r="H1476" s="2">
        <v>2.4</v>
      </c>
      <c r="I1476" s="2">
        <v>0.2</v>
      </c>
      <c r="J1476" s="2">
        <v>11</v>
      </c>
      <c r="K1476" s="2" t="s">
        <v>21</v>
      </c>
      <c r="L1476" s="2">
        <v>1.79</v>
      </c>
      <c r="M1476" s="2" t="s">
        <v>37</v>
      </c>
      <c r="N1476" s="2">
        <v>55.44</v>
      </c>
      <c r="O1476" s="2" t="s">
        <v>30</v>
      </c>
      <c r="P1476" s="2">
        <v>5.61</v>
      </c>
      <c r="Q1476" s="2">
        <v>11.58</v>
      </c>
      <c r="R1476" s="3">
        <f t="shared" si="115"/>
        <v>2429.0739000000003</v>
      </c>
      <c r="S1476" s="3">
        <f t="shared" si="116"/>
        <v>5014.0241999999998</v>
      </c>
      <c r="T1476" s="3">
        <f t="shared" si="117"/>
        <v>2584.9502999999995</v>
      </c>
      <c r="U1476" s="4">
        <f t="shared" si="118"/>
        <v>0.51554404145077715</v>
      </c>
      <c r="V1476" s="5">
        <f t="shared" si="119"/>
        <v>7.750521</v>
      </c>
    </row>
    <row r="1477" spans="1:22" x14ac:dyDescent="0.25">
      <c r="A1477" s="2" t="s">
        <v>1511</v>
      </c>
      <c r="B1477" s="2" t="s">
        <v>26</v>
      </c>
      <c r="C1477" s="2" t="s">
        <v>19</v>
      </c>
      <c r="D1477" s="2" t="s">
        <v>28</v>
      </c>
      <c r="E1477" s="2">
        <v>617.16999999999996</v>
      </c>
      <c r="F1477" s="2">
        <v>13.37</v>
      </c>
      <c r="G1477" s="2">
        <v>32.97</v>
      </c>
      <c r="H1477" s="2">
        <v>1.8</v>
      </c>
      <c r="I1477" s="2">
        <v>0.7</v>
      </c>
      <c r="J1477" s="2">
        <v>20</v>
      </c>
      <c r="K1477" s="2" t="s">
        <v>29</v>
      </c>
      <c r="L1477" s="2">
        <v>7.22</v>
      </c>
      <c r="M1477" s="2" t="s">
        <v>37</v>
      </c>
      <c r="N1477" s="2">
        <v>51.16</v>
      </c>
      <c r="O1477" s="2" t="s">
        <v>24</v>
      </c>
      <c r="P1477" s="2">
        <v>3.98</v>
      </c>
      <c r="Q1477" s="2">
        <v>8.1</v>
      </c>
      <c r="R1477" s="3">
        <f t="shared" si="115"/>
        <v>2456.3365999999996</v>
      </c>
      <c r="S1477" s="3">
        <f t="shared" si="116"/>
        <v>4999.0769999999993</v>
      </c>
      <c r="T1477" s="3">
        <f t="shared" si="117"/>
        <v>2542.7403999999997</v>
      </c>
      <c r="U1477" s="4">
        <f t="shared" si="118"/>
        <v>0.50864197530864197</v>
      </c>
      <c r="V1477" s="5">
        <f t="shared" si="119"/>
        <v>44.559673999999994</v>
      </c>
    </row>
    <row r="1478" spans="1:22" x14ac:dyDescent="0.25">
      <c r="A1478" s="2" t="s">
        <v>1512</v>
      </c>
      <c r="B1478" s="2" t="s">
        <v>18</v>
      </c>
      <c r="C1478" s="2" t="s">
        <v>19</v>
      </c>
      <c r="D1478" s="2" t="s">
        <v>28</v>
      </c>
      <c r="E1478" s="2">
        <v>382.38</v>
      </c>
      <c r="F1478" s="2">
        <v>17.350000000000001</v>
      </c>
      <c r="G1478" s="2">
        <v>32.75</v>
      </c>
      <c r="H1478" s="2">
        <v>4.2</v>
      </c>
      <c r="I1478" s="2">
        <v>0.1</v>
      </c>
      <c r="J1478" s="2">
        <v>19</v>
      </c>
      <c r="K1478" s="2" t="s">
        <v>29</v>
      </c>
      <c r="L1478" s="2">
        <v>1.17</v>
      </c>
      <c r="M1478" s="2" t="s">
        <v>40</v>
      </c>
      <c r="N1478" s="2">
        <v>74.95</v>
      </c>
      <c r="O1478" s="2" t="s">
        <v>30</v>
      </c>
      <c r="P1478" s="2">
        <v>6.74</v>
      </c>
      <c r="Q1478" s="2">
        <v>6.87</v>
      </c>
      <c r="R1478" s="3">
        <f t="shared" si="115"/>
        <v>2577.2411999999999</v>
      </c>
      <c r="S1478" s="3">
        <f t="shared" si="116"/>
        <v>2626.9506000000001</v>
      </c>
      <c r="T1478" s="3">
        <f t="shared" si="117"/>
        <v>49.709400000000187</v>
      </c>
      <c r="U1478" s="4">
        <f t="shared" si="118"/>
        <v>1.8922852983988426E-2</v>
      </c>
      <c r="V1478" s="5">
        <f t="shared" si="119"/>
        <v>4.473846</v>
      </c>
    </row>
    <row r="1479" spans="1:22" x14ac:dyDescent="0.25">
      <c r="A1479" s="2" t="s">
        <v>1513</v>
      </c>
      <c r="B1479" s="2" t="s">
        <v>26</v>
      </c>
      <c r="C1479" s="2" t="s">
        <v>19</v>
      </c>
      <c r="D1479" s="2" t="s">
        <v>20</v>
      </c>
      <c r="E1479" s="2">
        <v>548.76</v>
      </c>
      <c r="F1479" s="2">
        <v>16.350000000000001</v>
      </c>
      <c r="G1479" s="2">
        <v>31.07</v>
      </c>
      <c r="H1479" s="2">
        <v>0.9</v>
      </c>
      <c r="I1479" s="2">
        <v>2.5</v>
      </c>
      <c r="J1479" s="2">
        <v>4</v>
      </c>
      <c r="K1479" s="2" t="s">
        <v>29</v>
      </c>
      <c r="L1479" s="2">
        <v>7.69</v>
      </c>
      <c r="M1479" s="2" t="s">
        <v>37</v>
      </c>
      <c r="N1479" s="2">
        <v>88.79</v>
      </c>
      <c r="O1479" s="2" t="s">
        <v>24</v>
      </c>
      <c r="P1479" s="2">
        <v>5.71</v>
      </c>
      <c r="Q1479" s="2">
        <v>6.16</v>
      </c>
      <c r="R1479" s="3">
        <f t="shared" si="115"/>
        <v>3133.4195999999997</v>
      </c>
      <c r="S1479" s="3">
        <f t="shared" si="116"/>
        <v>3380.3616000000002</v>
      </c>
      <c r="T1479" s="3">
        <f t="shared" si="117"/>
        <v>246.94200000000046</v>
      </c>
      <c r="U1479" s="4">
        <f t="shared" si="118"/>
        <v>7.3051948051948187E-2</v>
      </c>
      <c r="V1479" s="5">
        <f t="shared" si="119"/>
        <v>42.199643999999999</v>
      </c>
    </row>
    <row r="1480" spans="1:22" x14ac:dyDescent="0.25">
      <c r="A1480" s="2" t="s">
        <v>1514</v>
      </c>
      <c r="B1480" s="2" t="s">
        <v>45</v>
      </c>
      <c r="C1480" s="2" t="s">
        <v>27</v>
      </c>
      <c r="D1480" s="2" t="s">
        <v>20</v>
      </c>
      <c r="E1480" s="2">
        <v>618.19000000000005</v>
      </c>
      <c r="F1480" s="2">
        <v>16.43</v>
      </c>
      <c r="G1480" s="2">
        <v>20.23</v>
      </c>
      <c r="H1480" s="2">
        <v>0.7</v>
      </c>
      <c r="I1480" s="2">
        <v>0.4</v>
      </c>
      <c r="J1480" s="2">
        <v>20</v>
      </c>
      <c r="K1480" s="2" t="s">
        <v>21</v>
      </c>
      <c r="L1480" s="2">
        <v>5.69</v>
      </c>
      <c r="M1480" s="2" t="s">
        <v>40</v>
      </c>
      <c r="N1480" s="2">
        <v>65.7</v>
      </c>
      <c r="O1480" s="2" t="s">
        <v>30</v>
      </c>
      <c r="P1480" s="2">
        <v>8.14</v>
      </c>
      <c r="Q1480" s="2">
        <v>5.5</v>
      </c>
      <c r="R1480" s="3">
        <f t="shared" si="115"/>
        <v>5032.066600000001</v>
      </c>
      <c r="S1480" s="3">
        <f t="shared" si="116"/>
        <v>3400.0450000000001</v>
      </c>
      <c r="T1480" s="3">
        <f t="shared" si="117"/>
        <v>-1632.0216000000009</v>
      </c>
      <c r="U1480" s="4">
        <f t="shared" si="118"/>
        <v>-0.48000000000000026</v>
      </c>
      <c r="V1480" s="5">
        <f t="shared" si="119"/>
        <v>35.175011000000005</v>
      </c>
    </row>
    <row r="1481" spans="1:22" x14ac:dyDescent="0.25">
      <c r="A1481" s="2" t="s">
        <v>1515</v>
      </c>
      <c r="B1481" s="2" t="s">
        <v>26</v>
      </c>
      <c r="C1481" s="2" t="s">
        <v>33</v>
      </c>
      <c r="D1481" s="2" t="s">
        <v>20</v>
      </c>
      <c r="E1481" s="2">
        <v>548.09</v>
      </c>
      <c r="F1481" s="2">
        <v>11.03</v>
      </c>
      <c r="G1481" s="2">
        <v>33.93</v>
      </c>
      <c r="H1481" s="2">
        <v>0.5</v>
      </c>
      <c r="I1481" s="2">
        <v>2.4</v>
      </c>
      <c r="J1481" s="2">
        <v>26</v>
      </c>
      <c r="K1481" s="2" t="s">
        <v>29</v>
      </c>
      <c r="L1481" s="2">
        <v>3.15</v>
      </c>
      <c r="M1481" s="2" t="s">
        <v>40</v>
      </c>
      <c r="N1481" s="2">
        <v>85.06</v>
      </c>
      <c r="O1481" s="2" t="s">
        <v>30</v>
      </c>
      <c r="P1481" s="2">
        <v>3.72</v>
      </c>
      <c r="Q1481" s="2">
        <v>12.54</v>
      </c>
      <c r="R1481" s="3">
        <f t="shared" si="115"/>
        <v>2038.8948000000003</v>
      </c>
      <c r="S1481" s="3">
        <f t="shared" si="116"/>
        <v>6873.0486000000001</v>
      </c>
      <c r="T1481" s="3">
        <f t="shared" si="117"/>
        <v>4834.1538</v>
      </c>
      <c r="U1481" s="4">
        <f t="shared" si="118"/>
        <v>0.70334928229665072</v>
      </c>
      <c r="V1481" s="5">
        <f t="shared" si="119"/>
        <v>17.264835000000001</v>
      </c>
    </row>
    <row r="1482" spans="1:22" x14ac:dyDescent="0.25">
      <c r="A1482" s="2" t="s">
        <v>1516</v>
      </c>
      <c r="B1482" s="2" t="s">
        <v>18</v>
      </c>
      <c r="C1482" s="2" t="s">
        <v>33</v>
      </c>
      <c r="D1482" s="2" t="s">
        <v>28</v>
      </c>
      <c r="E1482" s="2">
        <v>479.75</v>
      </c>
      <c r="F1482" s="2">
        <v>12.29</v>
      </c>
      <c r="G1482" s="2">
        <v>27.52</v>
      </c>
      <c r="H1482" s="2">
        <v>0.1</v>
      </c>
      <c r="I1482" s="2">
        <v>2.9</v>
      </c>
      <c r="J1482" s="2">
        <v>10</v>
      </c>
      <c r="K1482" s="2" t="s">
        <v>21</v>
      </c>
      <c r="L1482" s="2">
        <v>8.69</v>
      </c>
      <c r="M1482" s="2" t="s">
        <v>22</v>
      </c>
      <c r="N1482" s="2">
        <v>96.6</v>
      </c>
      <c r="O1482" s="2" t="s">
        <v>23</v>
      </c>
      <c r="P1482" s="2">
        <v>7.34</v>
      </c>
      <c r="Q1482" s="2">
        <v>7.36</v>
      </c>
      <c r="R1482" s="3">
        <f t="shared" si="115"/>
        <v>3521.3649999999998</v>
      </c>
      <c r="S1482" s="3">
        <f t="shared" si="116"/>
        <v>3530.96</v>
      </c>
      <c r="T1482" s="3">
        <f t="shared" si="117"/>
        <v>9.5950000000002547</v>
      </c>
      <c r="U1482" s="4">
        <f t="shared" si="118"/>
        <v>2.717391304347898E-3</v>
      </c>
      <c r="V1482" s="5">
        <f t="shared" si="119"/>
        <v>41.690275</v>
      </c>
    </row>
    <row r="1483" spans="1:22" x14ac:dyDescent="0.25">
      <c r="A1483" s="2" t="s">
        <v>1517</v>
      </c>
      <c r="B1483" s="2" t="s">
        <v>32</v>
      </c>
      <c r="C1483" s="2" t="s">
        <v>19</v>
      </c>
      <c r="D1483" s="2" t="s">
        <v>28</v>
      </c>
      <c r="E1483" s="2">
        <v>447.17</v>
      </c>
      <c r="F1483" s="2">
        <v>12.71</v>
      </c>
      <c r="G1483" s="2">
        <v>38.85</v>
      </c>
      <c r="H1483" s="2">
        <v>0.1</v>
      </c>
      <c r="I1483" s="2">
        <v>0</v>
      </c>
      <c r="J1483" s="2">
        <v>24</v>
      </c>
      <c r="K1483" s="2" t="s">
        <v>29</v>
      </c>
      <c r="L1483" s="2">
        <v>9.8699999999999992</v>
      </c>
      <c r="M1483" s="2" t="s">
        <v>40</v>
      </c>
      <c r="N1483" s="2">
        <v>72.95</v>
      </c>
      <c r="O1483" s="2" t="s">
        <v>23</v>
      </c>
      <c r="P1483" s="2">
        <v>6.06</v>
      </c>
      <c r="Q1483" s="2">
        <v>5.24</v>
      </c>
      <c r="R1483" s="3">
        <f t="shared" si="115"/>
        <v>2709.8501999999999</v>
      </c>
      <c r="S1483" s="3">
        <f t="shared" si="116"/>
        <v>2343.1708000000003</v>
      </c>
      <c r="T1483" s="3">
        <f t="shared" si="117"/>
        <v>-366.67939999999953</v>
      </c>
      <c r="U1483" s="4">
        <f t="shared" si="118"/>
        <v>-0.1564885496183204</v>
      </c>
      <c r="V1483" s="5">
        <f t="shared" si="119"/>
        <v>44.135679000000003</v>
      </c>
    </row>
    <row r="1484" spans="1:22" x14ac:dyDescent="0.25">
      <c r="A1484" s="2" t="s">
        <v>1518</v>
      </c>
      <c r="B1484" s="2" t="s">
        <v>45</v>
      </c>
      <c r="C1484" s="2" t="s">
        <v>43</v>
      </c>
      <c r="D1484" s="2" t="s">
        <v>28</v>
      </c>
      <c r="E1484" s="2">
        <v>603.61</v>
      </c>
      <c r="F1484" s="2">
        <v>9.57</v>
      </c>
      <c r="G1484" s="2">
        <v>36.36</v>
      </c>
      <c r="H1484" s="2">
        <v>4.0999999999999996</v>
      </c>
      <c r="I1484" s="2">
        <v>0.6</v>
      </c>
      <c r="J1484" s="2">
        <v>13</v>
      </c>
      <c r="K1484" s="2" t="s">
        <v>34</v>
      </c>
      <c r="L1484" s="2">
        <v>2.92</v>
      </c>
      <c r="M1484" s="2" t="s">
        <v>22</v>
      </c>
      <c r="N1484" s="2">
        <v>62.21</v>
      </c>
      <c r="O1484" s="2" t="s">
        <v>23</v>
      </c>
      <c r="P1484" s="2">
        <v>5.84</v>
      </c>
      <c r="Q1484" s="2">
        <v>8.9700000000000006</v>
      </c>
      <c r="R1484" s="3">
        <f t="shared" si="115"/>
        <v>3525.0823999999998</v>
      </c>
      <c r="S1484" s="3">
        <f t="shared" si="116"/>
        <v>5414.3817000000008</v>
      </c>
      <c r="T1484" s="3">
        <f t="shared" si="117"/>
        <v>1889.299300000001</v>
      </c>
      <c r="U1484" s="4">
        <f t="shared" si="118"/>
        <v>0.34894091415830558</v>
      </c>
      <c r="V1484" s="5">
        <f t="shared" si="119"/>
        <v>17.625411999999997</v>
      </c>
    </row>
    <row r="1485" spans="1:22" x14ac:dyDescent="0.25">
      <c r="A1485" s="2" t="s">
        <v>1519</v>
      </c>
      <c r="B1485" s="2" t="s">
        <v>32</v>
      </c>
      <c r="C1485" s="2" t="s">
        <v>43</v>
      </c>
      <c r="D1485" s="2" t="s">
        <v>20</v>
      </c>
      <c r="E1485" s="2">
        <v>357.7</v>
      </c>
      <c r="F1485" s="2">
        <v>8.31</v>
      </c>
      <c r="G1485" s="2">
        <v>31.75</v>
      </c>
      <c r="H1485" s="2">
        <v>2.2999999999999998</v>
      </c>
      <c r="I1485" s="2">
        <v>0</v>
      </c>
      <c r="J1485" s="2">
        <v>29</v>
      </c>
      <c r="K1485" s="2" t="s">
        <v>29</v>
      </c>
      <c r="L1485" s="2">
        <v>8.16</v>
      </c>
      <c r="M1485" s="2" t="s">
        <v>40</v>
      </c>
      <c r="N1485" s="2">
        <v>95.89</v>
      </c>
      <c r="O1485" s="2" t="s">
        <v>30</v>
      </c>
      <c r="P1485" s="2">
        <v>4.63</v>
      </c>
      <c r="Q1485" s="2">
        <v>9.83</v>
      </c>
      <c r="R1485" s="3">
        <f t="shared" si="115"/>
        <v>1656.1509999999998</v>
      </c>
      <c r="S1485" s="3">
        <f t="shared" si="116"/>
        <v>3516.1909999999998</v>
      </c>
      <c r="T1485" s="3">
        <f t="shared" si="117"/>
        <v>1860.04</v>
      </c>
      <c r="U1485" s="4">
        <f t="shared" si="118"/>
        <v>0.5289928789420143</v>
      </c>
      <c r="V1485" s="5">
        <f t="shared" si="119"/>
        <v>29.188319999999997</v>
      </c>
    </row>
    <row r="1486" spans="1:22" x14ac:dyDescent="0.25">
      <c r="A1486" s="2" t="s">
        <v>1520</v>
      </c>
      <c r="B1486" s="2" t="s">
        <v>18</v>
      </c>
      <c r="C1486" s="2" t="s">
        <v>33</v>
      </c>
      <c r="D1486" s="2" t="s">
        <v>20</v>
      </c>
      <c r="E1486" s="2">
        <v>402.99</v>
      </c>
      <c r="F1486" s="2">
        <v>17.47</v>
      </c>
      <c r="G1486" s="2">
        <v>25.04</v>
      </c>
      <c r="H1486" s="2">
        <v>2.2000000000000002</v>
      </c>
      <c r="I1486" s="2">
        <v>2.4</v>
      </c>
      <c r="J1486" s="2">
        <v>20</v>
      </c>
      <c r="K1486" s="2" t="s">
        <v>29</v>
      </c>
      <c r="L1486" s="2">
        <v>7.63</v>
      </c>
      <c r="M1486" s="2" t="s">
        <v>37</v>
      </c>
      <c r="N1486" s="2">
        <v>73.61</v>
      </c>
      <c r="O1486" s="2" t="s">
        <v>23</v>
      </c>
      <c r="P1486" s="2">
        <v>3.21</v>
      </c>
      <c r="Q1486" s="2">
        <v>6.69</v>
      </c>
      <c r="R1486" s="3">
        <f t="shared" si="115"/>
        <v>1293.5979</v>
      </c>
      <c r="S1486" s="3">
        <f t="shared" si="116"/>
        <v>2696.0031000000004</v>
      </c>
      <c r="T1486" s="3">
        <f t="shared" si="117"/>
        <v>1402.4052000000004</v>
      </c>
      <c r="U1486" s="4">
        <f t="shared" si="118"/>
        <v>0.52017937219730948</v>
      </c>
      <c r="V1486" s="5">
        <f t="shared" si="119"/>
        <v>30.748137</v>
      </c>
    </row>
    <row r="1487" spans="1:22" x14ac:dyDescent="0.25">
      <c r="A1487" s="2" t="s">
        <v>1521</v>
      </c>
      <c r="B1487" s="2" t="s">
        <v>18</v>
      </c>
      <c r="C1487" s="2" t="s">
        <v>43</v>
      </c>
      <c r="D1487" s="2" t="s">
        <v>28</v>
      </c>
      <c r="E1487" s="2">
        <v>460.24</v>
      </c>
      <c r="F1487" s="2">
        <v>10.41</v>
      </c>
      <c r="G1487" s="2">
        <v>24.07</v>
      </c>
      <c r="H1487" s="2">
        <v>1.9</v>
      </c>
      <c r="I1487" s="2">
        <v>0.7</v>
      </c>
      <c r="J1487" s="2">
        <v>14</v>
      </c>
      <c r="K1487" s="2" t="s">
        <v>21</v>
      </c>
      <c r="L1487" s="2">
        <v>7.6</v>
      </c>
      <c r="M1487" s="2" t="s">
        <v>22</v>
      </c>
      <c r="N1487" s="2">
        <v>70.39</v>
      </c>
      <c r="O1487" s="2" t="s">
        <v>23</v>
      </c>
      <c r="P1487" s="2">
        <v>8.93</v>
      </c>
      <c r="Q1487" s="2">
        <v>5.44</v>
      </c>
      <c r="R1487" s="3">
        <f t="shared" si="115"/>
        <v>4109.9431999999997</v>
      </c>
      <c r="S1487" s="3">
        <f t="shared" si="116"/>
        <v>2503.7056000000002</v>
      </c>
      <c r="T1487" s="3">
        <f t="shared" si="117"/>
        <v>-1606.2375999999995</v>
      </c>
      <c r="U1487" s="4">
        <f t="shared" si="118"/>
        <v>-0.64154411764705854</v>
      </c>
      <c r="V1487" s="5">
        <f t="shared" si="119"/>
        <v>34.97824</v>
      </c>
    </row>
    <row r="1488" spans="1:22" x14ac:dyDescent="0.25">
      <c r="A1488" s="2" t="s">
        <v>1522</v>
      </c>
      <c r="B1488" s="2" t="s">
        <v>18</v>
      </c>
      <c r="C1488" s="2" t="s">
        <v>33</v>
      </c>
      <c r="D1488" s="2" t="s">
        <v>20</v>
      </c>
      <c r="E1488" s="2">
        <v>623.77</v>
      </c>
      <c r="F1488" s="2">
        <v>10.4</v>
      </c>
      <c r="G1488" s="2">
        <v>26.81</v>
      </c>
      <c r="H1488" s="2">
        <v>3.8</v>
      </c>
      <c r="I1488" s="2">
        <v>0.1</v>
      </c>
      <c r="J1488" s="2">
        <v>21</v>
      </c>
      <c r="K1488" s="2" t="s">
        <v>34</v>
      </c>
      <c r="L1488" s="2">
        <v>9.59</v>
      </c>
      <c r="M1488" s="2" t="s">
        <v>37</v>
      </c>
      <c r="N1488" s="2">
        <v>67.67</v>
      </c>
      <c r="O1488" s="2" t="s">
        <v>23</v>
      </c>
      <c r="P1488" s="2">
        <v>5.28</v>
      </c>
      <c r="Q1488" s="2">
        <v>6.89</v>
      </c>
      <c r="R1488" s="3">
        <f t="shared" si="115"/>
        <v>3293.5056</v>
      </c>
      <c r="S1488" s="3">
        <f t="shared" si="116"/>
        <v>4297.7752999999993</v>
      </c>
      <c r="T1488" s="3">
        <f t="shared" si="117"/>
        <v>1004.2696999999994</v>
      </c>
      <c r="U1488" s="4">
        <f t="shared" si="118"/>
        <v>0.23367198838896941</v>
      </c>
      <c r="V1488" s="5">
        <f t="shared" si="119"/>
        <v>59.819542999999996</v>
      </c>
    </row>
    <row r="1489" spans="1:22" x14ac:dyDescent="0.25">
      <c r="A1489" s="2" t="s">
        <v>1523</v>
      </c>
      <c r="B1489" s="2" t="s">
        <v>32</v>
      </c>
      <c r="C1489" s="2" t="s">
        <v>19</v>
      </c>
      <c r="D1489" s="2" t="s">
        <v>28</v>
      </c>
      <c r="E1489" s="2">
        <v>537.98</v>
      </c>
      <c r="F1489" s="2">
        <v>8.83</v>
      </c>
      <c r="G1489" s="2">
        <v>29.53</v>
      </c>
      <c r="H1489" s="2">
        <v>1.3</v>
      </c>
      <c r="I1489" s="2">
        <v>0.1</v>
      </c>
      <c r="J1489" s="2">
        <v>2</v>
      </c>
      <c r="K1489" s="2" t="s">
        <v>34</v>
      </c>
      <c r="L1489" s="2">
        <v>5.12</v>
      </c>
      <c r="M1489" s="2" t="s">
        <v>37</v>
      </c>
      <c r="N1489" s="2">
        <v>71.150000000000006</v>
      </c>
      <c r="O1489" s="2" t="s">
        <v>30</v>
      </c>
      <c r="P1489" s="2">
        <v>7.77</v>
      </c>
      <c r="Q1489" s="2">
        <v>11.79</v>
      </c>
      <c r="R1489" s="3">
        <f t="shared" si="115"/>
        <v>4180.1045999999997</v>
      </c>
      <c r="S1489" s="3">
        <f t="shared" si="116"/>
        <v>6342.7842000000001</v>
      </c>
      <c r="T1489" s="3">
        <f t="shared" si="117"/>
        <v>2162.6796000000004</v>
      </c>
      <c r="U1489" s="4">
        <f t="shared" si="118"/>
        <v>0.34096692111959293</v>
      </c>
      <c r="V1489" s="5">
        <f t="shared" si="119"/>
        <v>27.544576000000003</v>
      </c>
    </row>
    <row r="1490" spans="1:22" x14ac:dyDescent="0.25">
      <c r="A1490" s="2" t="s">
        <v>1524</v>
      </c>
      <c r="B1490" s="2" t="s">
        <v>32</v>
      </c>
      <c r="C1490" s="2" t="s">
        <v>33</v>
      </c>
      <c r="D1490" s="2" t="s">
        <v>20</v>
      </c>
      <c r="E1490" s="2">
        <v>403.2</v>
      </c>
      <c r="F1490" s="2">
        <v>17.29</v>
      </c>
      <c r="G1490" s="2">
        <v>25.92</v>
      </c>
      <c r="H1490" s="2">
        <v>4.0999999999999996</v>
      </c>
      <c r="I1490" s="2">
        <v>0.5</v>
      </c>
      <c r="J1490" s="2">
        <v>29</v>
      </c>
      <c r="K1490" s="2" t="s">
        <v>21</v>
      </c>
      <c r="L1490" s="2">
        <v>6.9</v>
      </c>
      <c r="M1490" s="2" t="s">
        <v>40</v>
      </c>
      <c r="N1490" s="2">
        <v>83.68</v>
      </c>
      <c r="O1490" s="2" t="s">
        <v>24</v>
      </c>
      <c r="P1490" s="2">
        <v>9.6300000000000008</v>
      </c>
      <c r="Q1490" s="2">
        <v>5.82</v>
      </c>
      <c r="R1490" s="3">
        <f t="shared" si="115"/>
        <v>3882.8160000000003</v>
      </c>
      <c r="S1490" s="3">
        <f t="shared" si="116"/>
        <v>2346.6240000000003</v>
      </c>
      <c r="T1490" s="3">
        <f t="shared" si="117"/>
        <v>-1536.192</v>
      </c>
      <c r="U1490" s="4">
        <f t="shared" si="118"/>
        <v>-0.65463917525773185</v>
      </c>
      <c r="V1490" s="5">
        <f t="shared" si="119"/>
        <v>27.820799999999998</v>
      </c>
    </row>
    <row r="1491" spans="1:22" x14ac:dyDescent="0.25">
      <c r="A1491" s="2" t="s">
        <v>1525</v>
      </c>
      <c r="B1491" s="2" t="s">
        <v>32</v>
      </c>
      <c r="C1491" s="2" t="s">
        <v>33</v>
      </c>
      <c r="D1491" s="2" t="s">
        <v>28</v>
      </c>
      <c r="E1491" s="2">
        <v>468.97</v>
      </c>
      <c r="F1491" s="2">
        <v>13.8</v>
      </c>
      <c r="G1491" s="2">
        <v>30.3</v>
      </c>
      <c r="H1491" s="2">
        <v>0.9</v>
      </c>
      <c r="I1491" s="2">
        <v>2.8</v>
      </c>
      <c r="J1491" s="2">
        <v>4</v>
      </c>
      <c r="K1491" s="2" t="s">
        <v>21</v>
      </c>
      <c r="L1491" s="2">
        <v>8.33</v>
      </c>
      <c r="M1491" s="2" t="s">
        <v>40</v>
      </c>
      <c r="N1491" s="2">
        <v>71.69</v>
      </c>
      <c r="O1491" s="2" t="s">
        <v>23</v>
      </c>
      <c r="P1491" s="2">
        <v>6.95</v>
      </c>
      <c r="Q1491" s="2">
        <v>10.55</v>
      </c>
      <c r="R1491" s="3">
        <f t="shared" si="115"/>
        <v>3259.3415000000005</v>
      </c>
      <c r="S1491" s="3">
        <f t="shared" si="116"/>
        <v>4947.6335000000008</v>
      </c>
      <c r="T1491" s="3">
        <f t="shared" si="117"/>
        <v>1688.2920000000004</v>
      </c>
      <c r="U1491" s="4">
        <f t="shared" si="118"/>
        <v>0.34123222748815168</v>
      </c>
      <c r="V1491" s="5">
        <f t="shared" si="119"/>
        <v>39.065201000000002</v>
      </c>
    </row>
    <row r="1492" spans="1:22" x14ac:dyDescent="0.25">
      <c r="A1492" s="2" t="s">
        <v>1526</v>
      </c>
      <c r="B1492" s="2" t="s">
        <v>32</v>
      </c>
      <c r="C1492" s="2" t="s">
        <v>19</v>
      </c>
      <c r="D1492" s="2" t="s">
        <v>20</v>
      </c>
      <c r="E1492" s="2">
        <v>438.57</v>
      </c>
      <c r="F1492" s="2">
        <v>14.67</v>
      </c>
      <c r="G1492" s="2">
        <v>23.31</v>
      </c>
      <c r="H1492" s="2">
        <v>5.2</v>
      </c>
      <c r="I1492" s="2">
        <v>1.2</v>
      </c>
      <c r="J1492" s="2">
        <v>7</v>
      </c>
      <c r="K1492" s="2" t="s">
        <v>34</v>
      </c>
      <c r="L1492" s="2">
        <v>5.0599999999999996</v>
      </c>
      <c r="M1492" s="2" t="s">
        <v>37</v>
      </c>
      <c r="N1492" s="2">
        <v>66.209999999999994</v>
      </c>
      <c r="O1492" s="2" t="s">
        <v>30</v>
      </c>
      <c r="P1492" s="2">
        <v>5.78</v>
      </c>
      <c r="Q1492" s="2">
        <v>6.46</v>
      </c>
      <c r="R1492" s="3">
        <f t="shared" si="115"/>
        <v>2534.9346</v>
      </c>
      <c r="S1492" s="3">
        <f t="shared" si="116"/>
        <v>2833.1621999999998</v>
      </c>
      <c r="T1492" s="3">
        <f t="shared" si="117"/>
        <v>298.22759999999971</v>
      </c>
      <c r="U1492" s="4">
        <f t="shared" si="118"/>
        <v>0.10526315789473675</v>
      </c>
      <c r="V1492" s="5">
        <f t="shared" si="119"/>
        <v>22.191641999999998</v>
      </c>
    </row>
    <row r="1493" spans="1:22" x14ac:dyDescent="0.25">
      <c r="A1493" s="2" t="s">
        <v>1527</v>
      </c>
      <c r="B1493" s="2" t="s">
        <v>18</v>
      </c>
      <c r="C1493" s="2" t="s">
        <v>43</v>
      </c>
      <c r="D1493" s="2" t="s">
        <v>28</v>
      </c>
      <c r="E1493" s="2">
        <v>429.02</v>
      </c>
      <c r="F1493" s="2">
        <v>17.12</v>
      </c>
      <c r="G1493" s="2">
        <v>39.549999999999997</v>
      </c>
      <c r="H1493" s="2">
        <v>2.4</v>
      </c>
      <c r="I1493" s="2">
        <v>2</v>
      </c>
      <c r="J1493" s="2">
        <v>19</v>
      </c>
      <c r="K1493" s="2" t="s">
        <v>21</v>
      </c>
      <c r="L1493" s="2">
        <v>5.07</v>
      </c>
      <c r="M1493" s="2" t="s">
        <v>40</v>
      </c>
      <c r="N1493" s="2">
        <v>87.18</v>
      </c>
      <c r="O1493" s="2" t="s">
        <v>30</v>
      </c>
      <c r="P1493" s="2">
        <v>4.88</v>
      </c>
      <c r="Q1493" s="2">
        <v>6.96</v>
      </c>
      <c r="R1493" s="3">
        <f t="shared" si="115"/>
        <v>2093.6176</v>
      </c>
      <c r="S1493" s="3">
        <f t="shared" si="116"/>
        <v>2985.9791999999998</v>
      </c>
      <c r="T1493" s="3">
        <f t="shared" si="117"/>
        <v>892.36159999999973</v>
      </c>
      <c r="U1493" s="4">
        <f t="shared" si="118"/>
        <v>0.29885057471264359</v>
      </c>
      <c r="V1493" s="5">
        <f t="shared" si="119"/>
        <v>21.751314000000001</v>
      </c>
    </row>
    <row r="1494" spans="1:22" x14ac:dyDescent="0.25">
      <c r="A1494" s="2" t="s">
        <v>1528</v>
      </c>
      <c r="B1494" s="2" t="s">
        <v>18</v>
      </c>
      <c r="C1494" s="2" t="s">
        <v>33</v>
      </c>
      <c r="D1494" s="2" t="s">
        <v>28</v>
      </c>
      <c r="E1494" s="2">
        <v>597.89</v>
      </c>
      <c r="F1494" s="2">
        <v>11.46</v>
      </c>
      <c r="G1494" s="2">
        <v>22.16</v>
      </c>
      <c r="H1494" s="2">
        <v>0.6</v>
      </c>
      <c r="I1494" s="2">
        <v>0.5</v>
      </c>
      <c r="J1494" s="2">
        <v>17</v>
      </c>
      <c r="K1494" s="2" t="s">
        <v>34</v>
      </c>
      <c r="L1494" s="2">
        <v>3.53</v>
      </c>
      <c r="M1494" s="2" t="s">
        <v>40</v>
      </c>
      <c r="N1494" s="2">
        <v>60.15</v>
      </c>
      <c r="O1494" s="2" t="s">
        <v>24</v>
      </c>
      <c r="P1494" s="2">
        <v>9.5399999999999991</v>
      </c>
      <c r="Q1494" s="2">
        <v>8.93</v>
      </c>
      <c r="R1494" s="3">
        <f t="shared" si="115"/>
        <v>5703.8705999999993</v>
      </c>
      <c r="S1494" s="3">
        <f t="shared" si="116"/>
        <v>5339.1576999999997</v>
      </c>
      <c r="T1494" s="3">
        <f t="shared" si="117"/>
        <v>-364.71289999999954</v>
      </c>
      <c r="U1494" s="4">
        <f t="shared" si="118"/>
        <v>-6.8309070548712117E-2</v>
      </c>
      <c r="V1494" s="5">
        <f t="shared" si="119"/>
        <v>21.105516999999999</v>
      </c>
    </row>
    <row r="1495" spans="1:22" x14ac:dyDescent="0.25">
      <c r="A1495" s="2" t="s">
        <v>1529</v>
      </c>
      <c r="B1495" s="2" t="s">
        <v>45</v>
      </c>
      <c r="C1495" s="2" t="s">
        <v>33</v>
      </c>
      <c r="D1495" s="2" t="s">
        <v>28</v>
      </c>
      <c r="E1495" s="2">
        <v>362.83</v>
      </c>
      <c r="F1495" s="2">
        <v>14.22</v>
      </c>
      <c r="G1495" s="2">
        <v>38.64</v>
      </c>
      <c r="H1495" s="2">
        <v>1.7</v>
      </c>
      <c r="I1495" s="2">
        <v>0</v>
      </c>
      <c r="J1495" s="2">
        <v>16</v>
      </c>
      <c r="K1495" s="2" t="s">
        <v>29</v>
      </c>
      <c r="L1495" s="2">
        <v>7.92</v>
      </c>
      <c r="M1495" s="2" t="s">
        <v>40</v>
      </c>
      <c r="N1495" s="2">
        <v>60.1</v>
      </c>
      <c r="O1495" s="2" t="s">
        <v>23</v>
      </c>
      <c r="P1495" s="2">
        <v>7.77</v>
      </c>
      <c r="Q1495" s="2">
        <v>6.01</v>
      </c>
      <c r="R1495" s="3">
        <f t="shared" si="115"/>
        <v>2819.1890999999996</v>
      </c>
      <c r="S1495" s="3">
        <f t="shared" si="116"/>
        <v>2180.6082999999999</v>
      </c>
      <c r="T1495" s="3">
        <f t="shared" si="117"/>
        <v>-638.58079999999973</v>
      </c>
      <c r="U1495" s="4">
        <f t="shared" si="118"/>
        <v>-0.29284525790349408</v>
      </c>
      <c r="V1495" s="5">
        <f t="shared" si="119"/>
        <v>28.736135999999998</v>
      </c>
    </row>
    <row r="1496" spans="1:22" x14ac:dyDescent="0.25">
      <c r="A1496" s="2" t="s">
        <v>1530</v>
      </c>
      <c r="B1496" s="2" t="s">
        <v>45</v>
      </c>
      <c r="C1496" s="2" t="s">
        <v>19</v>
      </c>
      <c r="D1496" s="2" t="s">
        <v>28</v>
      </c>
      <c r="E1496" s="2">
        <v>660.88</v>
      </c>
      <c r="F1496" s="2">
        <v>8.39</v>
      </c>
      <c r="G1496" s="2">
        <v>38.270000000000003</v>
      </c>
      <c r="H1496" s="2">
        <v>1.5</v>
      </c>
      <c r="I1496" s="2">
        <v>3.7</v>
      </c>
      <c r="J1496" s="2">
        <v>13</v>
      </c>
      <c r="K1496" s="2" t="s">
        <v>29</v>
      </c>
      <c r="L1496" s="2">
        <v>7.02</v>
      </c>
      <c r="M1496" s="2" t="s">
        <v>37</v>
      </c>
      <c r="N1496" s="2">
        <v>84.82</v>
      </c>
      <c r="O1496" s="2" t="s">
        <v>30</v>
      </c>
      <c r="P1496" s="2">
        <v>7.66</v>
      </c>
      <c r="Q1496" s="2">
        <v>6.73</v>
      </c>
      <c r="R1496" s="3">
        <f t="shared" si="115"/>
        <v>5062.3407999999999</v>
      </c>
      <c r="S1496" s="3">
        <f t="shared" si="116"/>
        <v>4447.7224000000006</v>
      </c>
      <c r="T1496" s="3">
        <f t="shared" si="117"/>
        <v>-614.61839999999938</v>
      </c>
      <c r="U1496" s="4">
        <f t="shared" si="118"/>
        <v>-0.1381872213967309</v>
      </c>
      <c r="V1496" s="5">
        <f t="shared" si="119"/>
        <v>46.393775999999995</v>
      </c>
    </row>
    <row r="1497" spans="1:22" x14ac:dyDescent="0.25">
      <c r="A1497" s="2" t="s">
        <v>1531</v>
      </c>
      <c r="B1497" s="2" t="s">
        <v>32</v>
      </c>
      <c r="C1497" s="2" t="s">
        <v>43</v>
      </c>
      <c r="D1497" s="2" t="s">
        <v>28</v>
      </c>
      <c r="E1497" s="2">
        <v>582.82000000000005</v>
      </c>
      <c r="F1497" s="2">
        <v>9.8699999999999992</v>
      </c>
      <c r="G1497" s="2">
        <v>30.51</v>
      </c>
      <c r="H1497" s="2">
        <v>0.3</v>
      </c>
      <c r="I1497" s="2">
        <v>0</v>
      </c>
      <c r="J1497" s="2">
        <v>24</v>
      </c>
      <c r="K1497" s="2" t="s">
        <v>34</v>
      </c>
      <c r="L1497" s="2">
        <v>4.79</v>
      </c>
      <c r="M1497" s="2" t="s">
        <v>22</v>
      </c>
      <c r="N1497" s="2">
        <v>93.34</v>
      </c>
      <c r="O1497" s="2" t="s">
        <v>30</v>
      </c>
      <c r="P1497" s="2">
        <v>5.98</v>
      </c>
      <c r="Q1497" s="2">
        <v>8.49</v>
      </c>
      <c r="R1497" s="3">
        <f t="shared" si="115"/>
        <v>3485.2636000000007</v>
      </c>
      <c r="S1497" s="3">
        <f t="shared" si="116"/>
        <v>4948.1418000000003</v>
      </c>
      <c r="T1497" s="3">
        <f t="shared" si="117"/>
        <v>1462.8781999999997</v>
      </c>
      <c r="U1497" s="4">
        <f t="shared" si="118"/>
        <v>0.29564193168433445</v>
      </c>
      <c r="V1497" s="5">
        <f t="shared" si="119"/>
        <v>27.917078</v>
      </c>
    </row>
    <row r="1498" spans="1:22" x14ac:dyDescent="0.25">
      <c r="A1498" s="2" t="s">
        <v>1532</v>
      </c>
      <c r="B1498" s="2" t="s">
        <v>26</v>
      </c>
      <c r="C1498" s="2" t="s">
        <v>33</v>
      </c>
      <c r="D1498" s="2" t="s">
        <v>28</v>
      </c>
      <c r="E1498" s="2">
        <v>609.09</v>
      </c>
      <c r="F1498" s="2">
        <v>16.309999999999999</v>
      </c>
      <c r="G1498" s="2">
        <v>34.5</v>
      </c>
      <c r="H1498" s="2">
        <v>1.8</v>
      </c>
      <c r="I1498" s="2">
        <v>2.9</v>
      </c>
      <c r="J1498" s="2">
        <v>24</v>
      </c>
      <c r="K1498" s="2" t="s">
        <v>34</v>
      </c>
      <c r="L1498" s="2">
        <v>4.4800000000000004</v>
      </c>
      <c r="M1498" s="2" t="s">
        <v>22</v>
      </c>
      <c r="N1498" s="2">
        <v>62.06</v>
      </c>
      <c r="O1498" s="2" t="s">
        <v>30</v>
      </c>
      <c r="P1498" s="2">
        <v>8.92</v>
      </c>
      <c r="Q1498" s="2">
        <v>8.3000000000000007</v>
      </c>
      <c r="R1498" s="3">
        <f t="shared" si="115"/>
        <v>5433.0828000000001</v>
      </c>
      <c r="S1498" s="3">
        <f t="shared" si="116"/>
        <v>5055.447000000001</v>
      </c>
      <c r="T1498" s="3">
        <f t="shared" si="117"/>
        <v>-377.63579999999911</v>
      </c>
      <c r="U1498" s="4">
        <f t="shared" si="118"/>
        <v>-7.4698795180722699E-2</v>
      </c>
      <c r="V1498" s="5">
        <f t="shared" si="119"/>
        <v>27.287232000000003</v>
      </c>
    </row>
    <row r="1499" spans="1:22" x14ac:dyDescent="0.25">
      <c r="A1499" s="2" t="s">
        <v>1533</v>
      </c>
      <c r="B1499" s="2" t="s">
        <v>26</v>
      </c>
      <c r="C1499" s="2" t="s">
        <v>19</v>
      </c>
      <c r="D1499" s="2" t="s">
        <v>20</v>
      </c>
      <c r="E1499" s="2">
        <v>453.71</v>
      </c>
      <c r="F1499" s="2">
        <v>15.67</v>
      </c>
      <c r="G1499" s="2">
        <v>28.72</v>
      </c>
      <c r="H1499" s="2">
        <v>0.8</v>
      </c>
      <c r="I1499" s="2">
        <v>0.5</v>
      </c>
      <c r="J1499" s="2">
        <v>22</v>
      </c>
      <c r="K1499" s="2" t="s">
        <v>29</v>
      </c>
      <c r="L1499" s="2">
        <v>1.19</v>
      </c>
      <c r="M1499" s="2" t="s">
        <v>37</v>
      </c>
      <c r="N1499" s="2">
        <v>59.56</v>
      </c>
      <c r="O1499" s="2" t="s">
        <v>24</v>
      </c>
      <c r="P1499" s="2">
        <v>8</v>
      </c>
      <c r="Q1499" s="2">
        <v>12.49</v>
      </c>
      <c r="R1499" s="3">
        <f t="shared" si="115"/>
        <v>3629.68</v>
      </c>
      <c r="S1499" s="3">
        <f t="shared" si="116"/>
        <v>5666.8378999999995</v>
      </c>
      <c r="T1499" s="3">
        <f t="shared" si="117"/>
        <v>2037.1578999999997</v>
      </c>
      <c r="U1499" s="4">
        <f t="shared" si="118"/>
        <v>0.35948759007205761</v>
      </c>
      <c r="V1499" s="5">
        <f t="shared" si="119"/>
        <v>5.3991489999999995</v>
      </c>
    </row>
    <row r="1500" spans="1:22" x14ac:dyDescent="0.25">
      <c r="A1500" s="2" t="s">
        <v>1534</v>
      </c>
      <c r="B1500" s="2" t="s">
        <v>18</v>
      </c>
      <c r="C1500" s="2" t="s">
        <v>33</v>
      </c>
      <c r="D1500" s="2" t="s">
        <v>20</v>
      </c>
      <c r="E1500" s="2">
        <v>485.01</v>
      </c>
      <c r="F1500" s="2">
        <v>11.51</v>
      </c>
      <c r="G1500" s="2">
        <v>32.6</v>
      </c>
      <c r="H1500" s="2">
        <v>0.1</v>
      </c>
      <c r="I1500" s="2">
        <v>0</v>
      </c>
      <c r="J1500" s="2">
        <v>23</v>
      </c>
      <c r="K1500" s="2" t="s">
        <v>29</v>
      </c>
      <c r="L1500" s="2">
        <v>0.56000000000000005</v>
      </c>
      <c r="M1500" s="2" t="s">
        <v>40</v>
      </c>
      <c r="N1500" s="2">
        <v>83.52</v>
      </c>
      <c r="O1500" s="2" t="s">
        <v>23</v>
      </c>
      <c r="P1500" s="2">
        <v>4.9800000000000004</v>
      </c>
      <c r="Q1500" s="2">
        <v>5.75</v>
      </c>
      <c r="R1500" s="3">
        <f t="shared" si="115"/>
        <v>2415.3498</v>
      </c>
      <c r="S1500" s="3">
        <f t="shared" si="116"/>
        <v>2788.8074999999999</v>
      </c>
      <c r="T1500" s="3">
        <f t="shared" si="117"/>
        <v>373.45769999999993</v>
      </c>
      <c r="U1500" s="4">
        <f t="shared" si="118"/>
        <v>0.13391304347826086</v>
      </c>
      <c r="V1500" s="5">
        <f t="shared" si="119"/>
        <v>2.7160560000000005</v>
      </c>
    </row>
    <row r="1501" spans="1:22" x14ac:dyDescent="0.25">
      <c r="A1501" s="2" t="s">
        <v>1535</v>
      </c>
      <c r="B1501" s="2" t="s">
        <v>18</v>
      </c>
      <c r="C1501" s="2" t="s">
        <v>27</v>
      </c>
      <c r="D1501" s="2" t="s">
        <v>20</v>
      </c>
      <c r="E1501" s="2">
        <v>356.68</v>
      </c>
      <c r="F1501" s="2">
        <v>11.77</v>
      </c>
      <c r="G1501" s="2">
        <v>26.81</v>
      </c>
      <c r="H1501" s="2">
        <v>5.9</v>
      </c>
      <c r="I1501" s="2">
        <v>1.2</v>
      </c>
      <c r="J1501" s="2">
        <v>26</v>
      </c>
      <c r="K1501" s="2" t="s">
        <v>34</v>
      </c>
      <c r="L1501" s="2">
        <v>5.52</v>
      </c>
      <c r="M1501" s="2" t="s">
        <v>40</v>
      </c>
      <c r="N1501" s="2">
        <v>81.040000000000006</v>
      </c>
      <c r="O1501" s="2" t="s">
        <v>30</v>
      </c>
      <c r="P1501" s="2">
        <v>7.2</v>
      </c>
      <c r="Q1501" s="2">
        <v>13.6</v>
      </c>
      <c r="R1501" s="3">
        <f t="shared" si="115"/>
        <v>2568.096</v>
      </c>
      <c r="S1501" s="3">
        <f t="shared" si="116"/>
        <v>4850.848</v>
      </c>
      <c r="T1501" s="3">
        <f t="shared" si="117"/>
        <v>2282.752</v>
      </c>
      <c r="U1501" s="4">
        <f t="shared" si="118"/>
        <v>0.47058823529411764</v>
      </c>
      <c r="V1501" s="5">
        <f t="shared" si="119"/>
        <v>19.688735999999999</v>
      </c>
    </row>
    <row r="1502" spans="1:22" x14ac:dyDescent="0.25">
      <c r="A1502" s="2" t="s">
        <v>1536</v>
      </c>
      <c r="B1502" s="2" t="s">
        <v>18</v>
      </c>
      <c r="C1502" s="2" t="s">
        <v>19</v>
      </c>
      <c r="D1502" s="2" t="s">
        <v>28</v>
      </c>
      <c r="E1502" s="2">
        <v>447.53</v>
      </c>
      <c r="F1502" s="2">
        <v>13.34</v>
      </c>
      <c r="G1502" s="2">
        <v>26.02</v>
      </c>
      <c r="H1502" s="2">
        <v>2.1</v>
      </c>
      <c r="I1502" s="2">
        <v>3.9</v>
      </c>
      <c r="J1502" s="2">
        <v>27</v>
      </c>
      <c r="K1502" s="2" t="s">
        <v>21</v>
      </c>
      <c r="L1502" s="2">
        <v>4.47</v>
      </c>
      <c r="M1502" s="2" t="s">
        <v>22</v>
      </c>
      <c r="N1502" s="2">
        <v>72.36</v>
      </c>
      <c r="O1502" s="2" t="s">
        <v>30</v>
      </c>
      <c r="P1502" s="2">
        <v>6.01</v>
      </c>
      <c r="Q1502" s="2">
        <v>13.16</v>
      </c>
      <c r="R1502" s="3">
        <f t="shared" si="115"/>
        <v>2689.6552999999999</v>
      </c>
      <c r="S1502" s="3">
        <f t="shared" si="116"/>
        <v>5889.4947999999995</v>
      </c>
      <c r="T1502" s="3">
        <f t="shared" si="117"/>
        <v>3199.8394999999996</v>
      </c>
      <c r="U1502" s="4">
        <f t="shared" si="118"/>
        <v>0.54331306990881456</v>
      </c>
      <c r="V1502" s="5">
        <f t="shared" si="119"/>
        <v>20.004590999999998</v>
      </c>
    </row>
    <row r="1503" spans="1:22" x14ac:dyDescent="0.25">
      <c r="A1503" s="2" t="s">
        <v>1537</v>
      </c>
      <c r="B1503" s="2" t="s">
        <v>45</v>
      </c>
      <c r="C1503" s="2" t="s">
        <v>43</v>
      </c>
      <c r="D1503" s="2" t="s">
        <v>28</v>
      </c>
      <c r="E1503" s="2">
        <v>549.37</v>
      </c>
      <c r="F1503" s="2">
        <v>8</v>
      </c>
      <c r="G1503" s="2">
        <v>31.56</v>
      </c>
      <c r="H1503" s="2">
        <v>4.2</v>
      </c>
      <c r="I1503" s="2">
        <v>3.4</v>
      </c>
      <c r="J1503" s="2">
        <v>18</v>
      </c>
      <c r="K1503" s="2" t="s">
        <v>21</v>
      </c>
      <c r="L1503" s="2">
        <v>8.06</v>
      </c>
      <c r="M1503" s="2" t="s">
        <v>37</v>
      </c>
      <c r="N1503" s="2">
        <v>54.79</v>
      </c>
      <c r="O1503" s="2" t="s">
        <v>30</v>
      </c>
      <c r="P1503" s="2">
        <v>3.05</v>
      </c>
      <c r="Q1503" s="2">
        <v>12.66</v>
      </c>
      <c r="R1503" s="3">
        <f t="shared" si="115"/>
        <v>1675.5784999999998</v>
      </c>
      <c r="S1503" s="3">
        <f t="shared" si="116"/>
        <v>6955.0241999999998</v>
      </c>
      <c r="T1503" s="3">
        <f t="shared" si="117"/>
        <v>5279.4457000000002</v>
      </c>
      <c r="U1503" s="4">
        <f t="shared" si="118"/>
        <v>0.75908372827804116</v>
      </c>
      <c r="V1503" s="5">
        <f t="shared" si="119"/>
        <v>44.279221999999997</v>
      </c>
    </row>
    <row r="1504" spans="1:22" x14ac:dyDescent="0.25">
      <c r="A1504" s="2" t="s">
        <v>1538</v>
      </c>
      <c r="B1504" s="2" t="s">
        <v>45</v>
      </c>
      <c r="C1504" s="2" t="s">
        <v>43</v>
      </c>
      <c r="D1504" s="2" t="s">
        <v>20</v>
      </c>
      <c r="E1504" s="2">
        <v>629.61</v>
      </c>
      <c r="F1504" s="2">
        <v>10.41</v>
      </c>
      <c r="G1504" s="2">
        <v>29.96</v>
      </c>
      <c r="H1504" s="2">
        <v>2.2999999999999998</v>
      </c>
      <c r="I1504" s="2">
        <v>0.2</v>
      </c>
      <c r="J1504" s="2">
        <v>21</v>
      </c>
      <c r="K1504" s="2" t="s">
        <v>34</v>
      </c>
      <c r="L1504" s="2">
        <v>5.66</v>
      </c>
      <c r="M1504" s="2" t="s">
        <v>37</v>
      </c>
      <c r="N1504" s="2">
        <v>54.59</v>
      </c>
      <c r="O1504" s="2" t="s">
        <v>30</v>
      </c>
      <c r="P1504" s="2">
        <v>8.65</v>
      </c>
      <c r="Q1504" s="2">
        <v>8.09</v>
      </c>
      <c r="R1504" s="3">
        <f t="shared" si="115"/>
        <v>5446.1265000000003</v>
      </c>
      <c r="S1504" s="3">
        <f t="shared" si="116"/>
        <v>5093.5448999999999</v>
      </c>
      <c r="T1504" s="3">
        <f t="shared" si="117"/>
        <v>-352.58160000000044</v>
      </c>
      <c r="U1504" s="4">
        <f t="shared" si="118"/>
        <v>-6.9221260815822083E-2</v>
      </c>
      <c r="V1504" s="5">
        <f t="shared" si="119"/>
        <v>35.635925999999998</v>
      </c>
    </row>
    <row r="1505" spans="1:22" x14ac:dyDescent="0.25">
      <c r="A1505" s="2" t="s">
        <v>1539</v>
      </c>
      <c r="B1505" s="2" t="s">
        <v>18</v>
      </c>
      <c r="C1505" s="2" t="s">
        <v>43</v>
      </c>
      <c r="D1505" s="2" t="s">
        <v>28</v>
      </c>
      <c r="E1505" s="2">
        <v>389.28</v>
      </c>
      <c r="F1505" s="2">
        <v>10.08</v>
      </c>
      <c r="G1505" s="2">
        <v>31.59</v>
      </c>
      <c r="H1505" s="2">
        <v>0.9</v>
      </c>
      <c r="I1505" s="2">
        <v>0.2</v>
      </c>
      <c r="J1505" s="2">
        <v>12</v>
      </c>
      <c r="K1505" s="2" t="s">
        <v>21</v>
      </c>
      <c r="L1505" s="2">
        <v>9.4</v>
      </c>
      <c r="M1505" s="2" t="s">
        <v>40</v>
      </c>
      <c r="N1505" s="2">
        <v>88.87</v>
      </c>
      <c r="O1505" s="2" t="s">
        <v>23</v>
      </c>
      <c r="P1505" s="2">
        <v>3.86</v>
      </c>
      <c r="Q1505" s="2">
        <v>13.23</v>
      </c>
      <c r="R1505" s="3">
        <f t="shared" si="115"/>
        <v>1502.6207999999999</v>
      </c>
      <c r="S1505" s="3">
        <f t="shared" si="116"/>
        <v>5150.1743999999999</v>
      </c>
      <c r="T1505" s="3">
        <f t="shared" si="117"/>
        <v>3647.5536000000002</v>
      </c>
      <c r="U1505" s="4">
        <f t="shared" si="118"/>
        <v>0.70823885109599405</v>
      </c>
      <c r="V1505" s="5">
        <f t="shared" si="119"/>
        <v>36.592320000000001</v>
      </c>
    </row>
    <row r="1506" spans="1:22" x14ac:dyDescent="0.25">
      <c r="A1506" s="2" t="s">
        <v>1540</v>
      </c>
      <c r="B1506" s="2" t="s">
        <v>18</v>
      </c>
      <c r="C1506" s="2" t="s">
        <v>43</v>
      </c>
      <c r="D1506" s="2" t="s">
        <v>28</v>
      </c>
      <c r="E1506" s="2">
        <v>463.45</v>
      </c>
      <c r="F1506" s="2">
        <v>10.5</v>
      </c>
      <c r="G1506" s="2">
        <v>25.73</v>
      </c>
      <c r="H1506" s="2">
        <v>1.4</v>
      </c>
      <c r="I1506" s="2">
        <v>0.8</v>
      </c>
      <c r="J1506" s="2">
        <v>23</v>
      </c>
      <c r="K1506" s="2" t="s">
        <v>29</v>
      </c>
      <c r="L1506" s="2">
        <v>2.36</v>
      </c>
      <c r="M1506" s="2" t="s">
        <v>40</v>
      </c>
      <c r="N1506" s="2">
        <v>72.59</v>
      </c>
      <c r="O1506" s="2" t="s">
        <v>23</v>
      </c>
      <c r="P1506" s="2">
        <v>6.57</v>
      </c>
      <c r="Q1506" s="2">
        <v>6.83</v>
      </c>
      <c r="R1506" s="3">
        <f t="shared" si="115"/>
        <v>3044.8665000000001</v>
      </c>
      <c r="S1506" s="3">
        <f t="shared" si="116"/>
        <v>3165.3634999999999</v>
      </c>
      <c r="T1506" s="3">
        <f t="shared" si="117"/>
        <v>120.49699999999984</v>
      </c>
      <c r="U1506" s="4">
        <f t="shared" si="118"/>
        <v>3.806734992679351E-2</v>
      </c>
      <c r="V1506" s="5">
        <f t="shared" si="119"/>
        <v>10.937419999999999</v>
      </c>
    </row>
    <row r="1507" spans="1:22" x14ac:dyDescent="0.25">
      <c r="A1507" s="2" t="s">
        <v>1541</v>
      </c>
      <c r="B1507" s="2" t="s">
        <v>18</v>
      </c>
      <c r="C1507" s="2" t="s">
        <v>33</v>
      </c>
      <c r="D1507" s="2" t="s">
        <v>28</v>
      </c>
      <c r="E1507" s="2">
        <v>484.87</v>
      </c>
      <c r="F1507" s="2">
        <v>16.059999999999999</v>
      </c>
      <c r="G1507" s="2">
        <v>27.34</v>
      </c>
      <c r="H1507" s="2">
        <v>2.2999999999999998</v>
      </c>
      <c r="I1507" s="2">
        <v>1</v>
      </c>
      <c r="J1507" s="2">
        <v>25</v>
      </c>
      <c r="K1507" s="2" t="s">
        <v>29</v>
      </c>
      <c r="L1507" s="2">
        <v>9.91</v>
      </c>
      <c r="M1507" s="2" t="s">
        <v>40</v>
      </c>
      <c r="N1507" s="2">
        <v>92.9</v>
      </c>
      <c r="O1507" s="2" t="s">
        <v>30</v>
      </c>
      <c r="P1507" s="2">
        <v>5.35</v>
      </c>
      <c r="Q1507" s="2">
        <v>6.24</v>
      </c>
      <c r="R1507" s="3">
        <f t="shared" si="115"/>
        <v>2594.0544999999997</v>
      </c>
      <c r="S1507" s="3">
        <f t="shared" si="116"/>
        <v>3025.5888</v>
      </c>
      <c r="T1507" s="3">
        <f t="shared" si="117"/>
        <v>431.53430000000026</v>
      </c>
      <c r="U1507" s="4">
        <f t="shared" si="118"/>
        <v>0.1426282051282052</v>
      </c>
      <c r="V1507" s="5">
        <f t="shared" si="119"/>
        <v>48.050617000000003</v>
      </c>
    </row>
    <row r="1508" spans="1:22" x14ac:dyDescent="0.25">
      <c r="A1508" s="2" t="s">
        <v>1542</v>
      </c>
      <c r="B1508" s="2" t="s">
        <v>26</v>
      </c>
      <c r="C1508" s="2" t="s">
        <v>33</v>
      </c>
      <c r="D1508" s="2" t="s">
        <v>28</v>
      </c>
      <c r="E1508" s="2">
        <v>360.42</v>
      </c>
      <c r="F1508" s="2">
        <v>10.8</v>
      </c>
      <c r="G1508" s="2">
        <v>21.68</v>
      </c>
      <c r="H1508" s="2">
        <v>6.5</v>
      </c>
      <c r="I1508" s="2">
        <v>1.3</v>
      </c>
      <c r="J1508" s="2">
        <v>1</v>
      </c>
      <c r="K1508" s="2" t="s">
        <v>21</v>
      </c>
      <c r="L1508" s="2">
        <v>3.33</v>
      </c>
      <c r="M1508" s="2" t="s">
        <v>37</v>
      </c>
      <c r="N1508" s="2">
        <v>78.739999999999995</v>
      </c>
      <c r="O1508" s="2" t="s">
        <v>30</v>
      </c>
      <c r="P1508" s="2">
        <v>5.39</v>
      </c>
      <c r="Q1508" s="2">
        <v>5.45</v>
      </c>
      <c r="R1508" s="3">
        <f t="shared" si="115"/>
        <v>1942.6638</v>
      </c>
      <c r="S1508" s="3">
        <f t="shared" si="116"/>
        <v>1964.2890000000002</v>
      </c>
      <c r="T1508" s="3">
        <f t="shared" si="117"/>
        <v>21.625200000000177</v>
      </c>
      <c r="U1508" s="4">
        <f t="shared" si="118"/>
        <v>1.1009174311926695E-2</v>
      </c>
      <c r="V1508" s="5">
        <f t="shared" si="119"/>
        <v>12.001986000000002</v>
      </c>
    </row>
    <row r="1509" spans="1:22" x14ac:dyDescent="0.25">
      <c r="A1509" s="2" t="s">
        <v>1543</v>
      </c>
      <c r="B1509" s="2" t="s">
        <v>45</v>
      </c>
      <c r="C1509" s="2" t="s">
        <v>43</v>
      </c>
      <c r="D1509" s="2" t="s">
        <v>28</v>
      </c>
      <c r="E1509" s="2">
        <v>559.13</v>
      </c>
      <c r="F1509" s="2">
        <v>9.92</v>
      </c>
      <c r="G1509" s="2">
        <v>21.05</v>
      </c>
      <c r="H1509" s="2">
        <v>0.6</v>
      </c>
      <c r="I1509" s="2">
        <v>0.2</v>
      </c>
      <c r="J1509" s="2">
        <v>15</v>
      </c>
      <c r="K1509" s="2" t="s">
        <v>34</v>
      </c>
      <c r="L1509" s="2">
        <v>6.6</v>
      </c>
      <c r="M1509" s="2" t="s">
        <v>22</v>
      </c>
      <c r="N1509" s="2">
        <v>80.94</v>
      </c>
      <c r="O1509" s="2" t="s">
        <v>30</v>
      </c>
      <c r="P1509" s="2">
        <v>6.34</v>
      </c>
      <c r="Q1509" s="2">
        <v>14.39</v>
      </c>
      <c r="R1509" s="3">
        <f t="shared" si="115"/>
        <v>3544.8842</v>
      </c>
      <c r="S1509" s="3">
        <f t="shared" si="116"/>
        <v>8045.8807000000006</v>
      </c>
      <c r="T1509" s="3">
        <f t="shared" si="117"/>
        <v>4500.9965000000011</v>
      </c>
      <c r="U1509" s="4">
        <f t="shared" si="118"/>
        <v>0.55941626129256439</v>
      </c>
      <c r="V1509" s="5">
        <f t="shared" si="119"/>
        <v>36.90258</v>
      </c>
    </row>
    <row r="1510" spans="1:22" x14ac:dyDescent="0.25">
      <c r="A1510" s="2" t="s">
        <v>1544</v>
      </c>
      <c r="B1510" s="2" t="s">
        <v>26</v>
      </c>
      <c r="C1510" s="2" t="s">
        <v>43</v>
      </c>
      <c r="D1510" s="2" t="s">
        <v>20</v>
      </c>
      <c r="E1510" s="2">
        <v>427.6</v>
      </c>
      <c r="F1510" s="2">
        <v>13.04</v>
      </c>
      <c r="G1510" s="2">
        <v>25.07</v>
      </c>
      <c r="H1510" s="2">
        <v>4.2</v>
      </c>
      <c r="I1510" s="2">
        <v>3.2</v>
      </c>
      <c r="J1510" s="2">
        <v>3</v>
      </c>
      <c r="K1510" s="2" t="s">
        <v>29</v>
      </c>
      <c r="L1510" s="2">
        <v>5.27</v>
      </c>
      <c r="M1510" s="2" t="s">
        <v>37</v>
      </c>
      <c r="N1510" s="2">
        <v>96.71</v>
      </c>
      <c r="O1510" s="2" t="s">
        <v>24</v>
      </c>
      <c r="P1510" s="2">
        <v>9.98</v>
      </c>
      <c r="Q1510" s="2">
        <v>8.08</v>
      </c>
      <c r="R1510" s="3">
        <f t="shared" si="115"/>
        <v>4267.4480000000003</v>
      </c>
      <c r="S1510" s="3">
        <f t="shared" si="116"/>
        <v>3455.0080000000003</v>
      </c>
      <c r="T1510" s="3">
        <f t="shared" si="117"/>
        <v>-812.44</v>
      </c>
      <c r="U1510" s="4">
        <f t="shared" si="118"/>
        <v>-0.23514851485148514</v>
      </c>
      <c r="V1510" s="5">
        <f t="shared" si="119"/>
        <v>22.534519999999997</v>
      </c>
    </row>
    <row r="1511" spans="1:22" x14ac:dyDescent="0.25">
      <c r="A1511" s="2" t="s">
        <v>1545</v>
      </c>
      <c r="B1511" s="2" t="s">
        <v>26</v>
      </c>
      <c r="C1511" s="2" t="s">
        <v>43</v>
      </c>
      <c r="D1511" s="2" t="s">
        <v>20</v>
      </c>
      <c r="E1511" s="2">
        <v>480.46</v>
      </c>
      <c r="F1511" s="2">
        <v>16.66</v>
      </c>
      <c r="G1511" s="2">
        <v>21.48</v>
      </c>
      <c r="H1511" s="2">
        <v>5.2</v>
      </c>
      <c r="I1511" s="2">
        <v>1</v>
      </c>
      <c r="J1511" s="2">
        <v>6</v>
      </c>
      <c r="K1511" s="2" t="s">
        <v>29</v>
      </c>
      <c r="L1511" s="2">
        <v>3.92</v>
      </c>
      <c r="M1511" s="2" t="s">
        <v>37</v>
      </c>
      <c r="N1511" s="2">
        <v>58.23</v>
      </c>
      <c r="O1511" s="2" t="s">
        <v>24</v>
      </c>
      <c r="P1511" s="2">
        <v>5.86</v>
      </c>
      <c r="Q1511" s="2">
        <v>14.18</v>
      </c>
      <c r="R1511" s="3">
        <f t="shared" si="115"/>
        <v>2815.4956000000002</v>
      </c>
      <c r="S1511" s="3">
        <f t="shared" si="116"/>
        <v>6812.9227999999994</v>
      </c>
      <c r="T1511" s="3">
        <f t="shared" si="117"/>
        <v>3997.4271999999992</v>
      </c>
      <c r="U1511" s="4">
        <f t="shared" si="118"/>
        <v>0.5867418899858956</v>
      </c>
      <c r="V1511" s="5">
        <f t="shared" si="119"/>
        <v>18.834032000000001</v>
      </c>
    </row>
    <row r="1512" spans="1:22" x14ac:dyDescent="0.25">
      <c r="A1512" s="2" t="s">
        <v>1546</v>
      </c>
      <c r="B1512" s="2" t="s">
        <v>18</v>
      </c>
      <c r="C1512" s="2" t="s">
        <v>33</v>
      </c>
      <c r="D1512" s="2" t="s">
        <v>20</v>
      </c>
      <c r="E1512" s="2">
        <v>454.81</v>
      </c>
      <c r="F1512" s="2">
        <v>10.41</v>
      </c>
      <c r="G1512" s="2">
        <v>22.08</v>
      </c>
      <c r="H1512" s="2">
        <v>2.2000000000000002</v>
      </c>
      <c r="I1512" s="2">
        <v>1.9</v>
      </c>
      <c r="J1512" s="2">
        <v>14</v>
      </c>
      <c r="K1512" s="2" t="s">
        <v>29</v>
      </c>
      <c r="L1512" s="2">
        <v>1.82</v>
      </c>
      <c r="M1512" s="2" t="s">
        <v>37</v>
      </c>
      <c r="N1512" s="2">
        <v>77.150000000000006</v>
      </c>
      <c r="O1512" s="2" t="s">
        <v>24</v>
      </c>
      <c r="P1512" s="2">
        <v>4.28</v>
      </c>
      <c r="Q1512" s="2">
        <v>7.73</v>
      </c>
      <c r="R1512" s="3">
        <f t="shared" si="115"/>
        <v>1946.5868</v>
      </c>
      <c r="S1512" s="3">
        <f t="shared" si="116"/>
        <v>3515.6813000000002</v>
      </c>
      <c r="T1512" s="3">
        <f t="shared" si="117"/>
        <v>1569.0945000000002</v>
      </c>
      <c r="U1512" s="4">
        <f t="shared" si="118"/>
        <v>0.44631306597671411</v>
      </c>
      <c r="V1512" s="5">
        <f t="shared" si="119"/>
        <v>8.2775420000000004</v>
      </c>
    </row>
    <row r="1513" spans="1:22" x14ac:dyDescent="0.25">
      <c r="A1513" s="2" t="s">
        <v>1547</v>
      </c>
      <c r="B1513" s="2" t="s">
        <v>18</v>
      </c>
      <c r="C1513" s="2" t="s">
        <v>43</v>
      </c>
      <c r="D1513" s="2" t="s">
        <v>20</v>
      </c>
      <c r="E1513" s="2">
        <v>421.07</v>
      </c>
      <c r="F1513" s="2">
        <v>8.7899999999999991</v>
      </c>
      <c r="G1513" s="2">
        <v>36.26</v>
      </c>
      <c r="H1513" s="2">
        <v>5.4</v>
      </c>
      <c r="I1513" s="2">
        <v>0.8</v>
      </c>
      <c r="J1513" s="2">
        <v>23</v>
      </c>
      <c r="K1513" s="2" t="s">
        <v>21</v>
      </c>
      <c r="L1513" s="2">
        <v>1.78</v>
      </c>
      <c r="M1513" s="2" t="s">
        <v>22</v>
      </c>
      <c r="N1513" s="2">
        <v>52.91</v>
      </c>
      <c r="O1513" s="2" t="s">
        <v>30</v>
      </c>
      <c r="P1513" s="2">
        <v>7.3</v>
      </c>
      <c r="Q1513" s="2">
        <v>14.08</v>
      </c>
      <c r="R1513" s="3">
        <f t="shared" si="115"/>
        <v>3073.8109999999997</v>
      </c>
      <c r="S1513" s="3">
        <f t="shared" si="116"/>
        <v>5928.6656000000003</v>
      </c>
      <c r="T1513" s="3">
        <f t="shared" si="117"/>
        <v>2854.8546000000006</v>
      </c>
      <c r="U1513" s="4">
        <f t="shared" si="118"/>
        <v>0.48153409090909099</v>
      </c>
      <c r="V1513" s="5">
        <f t="shared" si="119"/>
        <v>7.4950459999999994</v>
      </c>
    </row>
    <row r="1514" spans="1:22" x14ac:dyDescent="0.25">
      <c r="A1514" s="2" t="s">
        <v>1548</v>
      </c>
      <c r="B1514" s="2" t="s">
        <v>32</v>
      </c>
      <c r="C1514" s="2" t="s">
        <v>43</v>
      </c>
      <c r="D1514" s="2" t="s">
        <v>20</v>
      </c>
      <c r="E1514" s="2">
        <v>499.3</v>
      </c>
      <c r="F1514" s="2">
        <v>11.56</v>
      </c>
      <c r="G1514" s="2">
        <v>20.78</v>
      </c>
      <c r="H1514" s="2">
        <v>1</v>
      </c>
      <c r="I1514" s="2">
        <v>0.5</v>
      </c>
      <c r="J1514" s="2">
        <v>6</v>
      </c>
      <c r="K1514" s="2" t="s">
        <v>34</v>
      </c>
      <c r="L1514" s="2">
        <v>7.26</v>
      </c>
      <c r="M1514" s="2" t="s">
        <v>40</v>
      </c>
      <c r="N1514" s="2">
        <v>67.95</v>
      </c>
      <c r="O1514" s="2" t="s">
        <v>24</v>
      </c>
      <c r="P1514" s="2">
        <v>4.6500000000000004</v>
      </c>
      <c r="Q1514" s="2">
        <v>14.04</v>
      </c>
      <c r="R1514" s="3">
        <f t="shared" si="115"/>
        <v>2321.7450000000003</v>
      </c>
      <c r="S1514" s="3">
        <f t="shared" si="116"/>
        <v>7010.1719999999996</v>
      </c>
      <c r="T1514" s="3">
        <f t="shared" si="117"/>
        <v>4688.4269999999997</v>
      </c>
      <c r="U1514" s="4">
        <f t="shared" si="118"/>
        <v>0.66880341880341876</v>
      </c>
      <c r="V1514" s="5">
        <f t="shared" si="119"/>
        <v>36.249180000000003</v>
      </c>
    </row>
    <row r="1515" spans="1:22" x14ac:dyDescent="0.25">
      <c r="A1515" s="2" t="s">
        <v>1549</v>
      </c>
      <c r="B1515" s="2" t="s">
        <v>32</v>
      </c>
      <c r="C1515" s="2" t="s">
        <v>27</v>
      </c>
      <c r="D1515" s="2" t="s">
        <v>28</v>
      </c>
      <c r="E1515" s="2">
        <v>478.44</v>
      </c>
      <c r="F1515" s="2">
        <v>15.48</v>
      </c>
      <c r="G1515" s="2">
        <v>33.18</v>
      </c>
      <c r="H1515" s="2">
        <v>6.1</v>
      </c>
      <c r="I1515" s="2">
        <v>3.8</v>
      </c>
      <c r="J1515" s="2">
        <v>1</v>
      </c>
      <c r="K1515" s="2" t="s">
        <v>21</v>
      </c>
      <c r="L1515" s="2">
        <v>4.09</v>
      </c>
      <c r="M1515" s="2" t="s">
        <v>40</v>
      </c>
      <c r="N1515" s="2">
        <v>57.4</v>
      </c>
      <c r="O1515" s="2" t="s">
        <v>23</v>
      </c>
      <c r="P1515" s="2">
        <v>3.74</v>
      </c>
      <c r="Q1515" s="2">
        <v>14.24</v>
      </c>
      <c r="R1515" s="3">
        <f t="shared" si="115"/>
        <v>1789.3656000000001</v>
      </c>
      <c r="S1515" s="3">
        <f t="shared" si="116"/>
        <v>6812.9856</v>
      </c>
      <c r="T1515" s="3">
        <f t="shared" si="117"/>
        <v>5023.62</v>
      </c>
      <c r="U1515" s="4">
        <f t="shared" si="118"/>
        <v>0.73735955056179769</v>
      </c>
      <c r="V1515" s="5">
        <f t="shared" si="119"/>
        <v>19.568195999999997</v>
      </c>
    </row>
    <row r="1516" spans="1:22" x14ac:dyDescent="0.25">
      <c r="A1516" s="2" t="s">
        <v>1550</v>
      </c>
      <c r="B1516" s="2" t="s">
        <v>26</v>
      </c>
      <c r="C1516" s="2" t="s">
        <v>27</v>
      </c>
      <c r="D1516" s="2" t="s">
        <v>28</v>
      </c>
      <c r="E1516" s="2">
        <v>462.81</v>
      </c>
      <c r="F1516" s="2">
        <v>13.51</v>
      </c>
      <c r="G1516" s="2">
        <v>25.45</v>
      </c>
      <c r="H1516" s="2">
        <v>2.4</v>
      </c>
      <c r="I1516" s="2">
        <v>0.9</v>
      </c>
      <c r="J1516" s="2">
        <v>20</v>
      </c>
      <c r="K1516" s="2" t="s">
        <v>34</v>
      </c>
      <c r="L1516" s="2">
        <v>9.6300000000000008</v>
      </c>
      <c r="M1516" s="2" t="s">
        <v>37</v>
      </c>
      <c r="N1516" s="2">
        <v>59.39</v>
      </c>
      <c r="O1516" s="2" t="s">
        <v>24</v>
      </c>
      <c r="P1516" s="2">
        <v>3.35</v>
      </c>
      <c r="Q1516" s="2">
        <v>9.9600000000000009</v>
      </c>
      <c r="R1516" s="3">
        <f t="shared" si="115"/>
        <v>1550.4135000000001</v>
      </c>
      <c r="S1516" s="3">
        <f t="shared" si="116"/>
        <v>4609.5876000000007</v>
      </c>
      <c r="T1516" s="3">
        <f t="shared" si="117"/>
        <v>3059.1741000000006</v>
      </c>
      <c r="U1516" s="4">
        <f t="shared" si="118"/>
        <v>0.66365461847389562</v>
      </c>
      <c r="V1516" s="5">
        <f t="shared" si="119"/>
        <v>44.568603000000003</v>
      </c>
    </row>
    <row r="1517" spans="1:22" x14ac:dyDescent="0.25">
      <c r="A1517" s="2" t="s">
        <v>1551</v>
      </c>
      <c r="B1517" s="2" t="s">
        <v>45</v>
      </c>
      <c r="C1517" s="2" t="s">
        <v>43</v>
      </c>
      <c r="D1517" s="2" t="s">
        <v>28</v>
      </c>
      <c r="E1517" s="2">
        <v>427.15</v>
      </c>
      <c r="F1517" s="2">
        <v>16.170000000000002</v>
      </c>
      <c r="G1517" s="2">
        <v>37.43</v>
      </c>
      <c r="H1517" s="2">
        <v>0.1</v>
      </c>
      <c r="I1517" s="2">
        <v>2</v>
      </c>
      <c r="J1517" s="2">
        <v>6</v>
      </c>
      <c r="K1517" s="2" t="s">
        <v>34</v>
      </c>
      <c r="L1517" s="2">
        <v>3.59</v>
      </c>
      <c r="M1517" s="2" t="s">
        <v>37</v>
      </c>
      <c r="N1517" s="2">
        <v>96.74</v>
      </c>
      <c r="O1517" s="2" t="s">
        <v>30</v>
      </c>
      <c r="P1517" s="2">
        <v>3.16</v>
      </c>
      <c r="Q1517" s="2">
        <v>13.66</v>
      </c>
      <c r="R1517" s="3">
        <f t="shared" si="115"/>
        <v>1349.7940000000001</v>
      </c>
      <c r="S1517" s="3">
        <f t="shared" si="116"/>
        <v>5834.8689999999997</v>
      </c>
      <c r="T1517" s="3">
        <f t="shared" si="117"/>
        <v>4485.0749999999998</v>
      </c>
      <c r="U1517" s="4">
        <f t="shared" si="118"/>
        <v>0.76866764275256227</v>
      </c>
      <c r="V1517" s="5">
        <f t="shared" si="119"/>
        <v>15.334685</v>
      </c>
    </row>
    <row r="1518" spans="1:22" x14ac:dyDescent="0.25">
      <c r="A1518" s="2" t="s">
        <v>1552</v>
      </c>
      <c r="B1518" s="2" t="s">
        <v>18</v>
      </c>
      <c r="C1518" s="2" t="s">
        <v>19</v>
      </c>
      <c r="D1518" s="2" t="s">
        <v>28</v>
      </c>
      <c r="E1518" s="2">
        <v>531.95000000000005</v>
      </c>
      <c r="F1518" s="2">
        <v>17.600000000000001</v>
      </c>
      <c r="G1518" s="2">
        <v>29.7</v>
      </c>
      <c r="H1518" s="2">
        <v>4.7</v>
      </c>
      <c r="I1518" s="2">
        <v>3.1</v>
      </c>
      <c r="J1518" s="2">
        <v>8</v>
      </c>
      <c r="K1518" s="2" t="s">
        <v>21</v>
      </c>
      <c r="L1518" s="2">
        <v>9.84</v>
      </c>
      <c r="M1518" s="2" t="s">
        <v>22</v>
      </c>
      <c r="N1518" s="2">
        <v>80.53</v>
      </c>
      <c r="O1518" s="2" t="s">
        <v>23</v>
      </c>
      <c r="P1518" s="2">
        <v>6.02</v>
      </c>
      <c r="Q1518" s="2">
        <v>14.51</v>
      </c>
      <c r="R1518" s="3">
        <f t="shared" si="115"/>
        <v>3202.3389999999999</v>
      </c>
      <c r="S1518" s="3">
        <f t="shared" si="116"/>
        <v>7718.5945000000002</v>
      </c>
      <c r="T1518" s="3">
        <f t="shared" si="117"/>
        <v>4516.2555000000002</v>
      </c>
      <c r="U1518" s="4">
        <f t="shared" si="118"/>
        <v>0.58511371467953133</v>
      </c>
      <c r="V1518" s="5">
        <f t="shared" si="119"/>
        <v>52.343879999999999</v>
      </c>
    </row>
    <row r="1519" spans="1:22" x14ac:dyDescent="0.25">
      <c r="A1519" s="2" t="s">
        <v>1553</v>
      </c>
      <c r="B1519" s="2" t="s">
        <v>18</v>
      </c>
      <c r="C1519" s="2" t="s">
        <v>43</v>
      </c>
      <c r="D1519" s="2" t="s">
        <v>20</v>
      </c>
      <c r="E1519" s="2">
        <v>665.36</v>
      </c>
      <c r="F1519" s="2">
        <v>15.93</v>
      </c>
      <c r="G1519" s="2">
        <v>26.11</v>
      </c>
      <c r="H1519" s="2">
        <v>1.3</v>
      </c>
      <c r="I1519" s="2">
        <v>1.1000000000000001</v>
      </c>
      <c r="J1519" s="2">
        <v>26</v>
      </c>
      <c r="K1519" s="2" t="s">
        <v>29</v>
      </c>
      <c r="L1519" s="2">
        <v>2.4500000000000002</v>
      </c>
      <c r="M1519" s="2" t="s">
        <v>22</v>
      </c>
      <c r="N1519" s="2">
        <v>94.61</v>
      </c>
      <c r="O1519" s="2" t="s">
        <v>30</v>
      </c>
      <c r="P1519" s="2">
        <v>5.99</v>
      </c>
      <c r="Q1519" s="2">
        <v>8.25</v>
      </c>
      <c r="R1519" s="3">
        <f t="shared" si="115"/>
        <v>3985.5064000000002</v>
      </c>
      <c r="S1519" s="3">
        <f t="shared" si="116"/>
        <v>5489.22</v>
      </c>
      <c r="T1519" s="3">
        <f t="shared" si="117"/>
        <v>1503.7136</v>
      </c>
      <c r="U1519" s="4">
        <f t="shared" si="118"/>
        <v>0.27393939393939393</v>
      </c>
      <c r="V1519" s="5">
        <f t="shared" si="119"/>
        <v>16.30132</v>
      </c>
    </row>
    <row r="1520" spans="1:22" x14ac:dyDescent="0.25">
      <c r="A1520" s="2" t="s">
        <v>1554</v>
      </c>
      <c r="B1520" s="2" t="s">
        <v>26</v>
      </c>
      <c r="C1520" s="2" t="s">
        <v>27</v>
      </c>
      <c r="D1520" s="2" t="s">
        <v>20</v>
      </c>
      <c r="E1520" s="2">
        <v>513.99</v>
      </c>
      <c r="F1520" s="2">
        <v>14.04</v>
      </c>
      <c r="G1520" s="2">
        <v>30.35</v>
      </c>
      <c r="H1520" s="2">
        <v>1.2</v>
      </c>
      <c r="I1520" s="2">
        <v>0.8</v>
      </c>
      <c r="J1520" s="2">
        <v>15</v>
      </c>
      <c r="K1520" s="2" t="s">
        <v>34</v>
      </c>
      <c r="L1520" s="2">
        <v>1.48</v>
      </c>
      <c r="M1520" s="2" t="s">
        <v>40</v>
      </c>
      <c r="N1520" s="2">
        <v>72.180000000000007</v>
      </c>
      <c r="O1520" s="2" t="s">
        <v>23</v>
      </c>
      <c r="P1520" s="2">
        <v>4.3</v>
      </c>
      <c r="Q1520" s="2">
        <v>9.19</v>
      </c>
      <c r="R1520" s="3">
        <f t="shared" si="115"/>
        <v>2210.1570000000002</v>
      </c>
      <c r="S1520" s="3">
        <f t="shared" si="116"/>
        <v>4723.5680999999995</v>
      </c>
      <c r="T1520" s="3">
        <f t="shared" si="117"/>
        <v>2513.4110999999994</v>
      </c>
      <c r="U1520" s="4">
        <f t="shared" si="118"/>
        <v>0.53210010881392811</v>
      </c>
      <c r="V1520" s="5">
        <f t="shared" si="119"/>
        <v>7.6070519999999995</v>
      </c>
    </row>
    <row r="1521" spans="1:22" x14ac:dyDescent="0.25">
      <c r="A1521" s="2" t="s">
        <v>1555</v>
      </c>
      <c r="B1521" s="2" t="s">
        <v>32</v>
      </c>
      <c r="C1521" s="2" t="s">
        <v>19</v>
      </c>
      <c r="D1521" s="2" t="s">
        <v>20</v>
      </c>
      <c r="E1521" s="2">
        <v>599.61</v>
      </c>
      <c r="F1521" s="2">
        <v>12.93</v>
      </c>
      <c r="G1521" s="2">
        <v>27.64</v>
      </c>
      <c r="H1521" s="2">
        <v>1.7</v>
      </c>
      <c r="I1521" s="2">
        <v>0</v>
      </c>
      <c r="J1521" s="2">
        <v>14</v>
      </c>
      <c r="K1521" s="2" t="s">
        <v>21</v>
      </c>
      <c r="L1521" s="2">
        <v>3.47</v>
      </c>
      <c r="M1521" s="2" t="s">
        <v>37</v>
      </c>
      <c r="N1521" s="2">
        <v>79.88</v>
      </c>
      <c r="O1521" s="2" t="s">
        <v>24</v>
      </c>
      <c r="P1521" s="2">
        <v>8.49</v>
      </c>
      <c r="Q1521" s="2">
        <v>12.19</v>
      </c>
      <c r="R1521" s="3">
        <f t="shared" si="115"/>
        <v>5090.6889000000001</v>
      </c>
      <c r="S1521" s="3">
        <f t="shared" si="116"/>
        <v>7309.2458999999999</v>
      </c>
      <c r="T1521" s="3">
        <f t="shared" si="117"/>
        <v>2218.5569999999998</v>
      </c>
      <c r="U1521" s="4">
        <f t="shared" si="118"/>
        <v>0.30352748154224773</v>
      </c>
      <c r="V1521" s="5">
        <f t="shared" si="119"/>
        <v>20.806467000000001</v>
      </c>
    </row>
    <row r="1522" spans="1:22" x14ac:dyDescent="0.25">
      <c r="A1522" s="2" t="s">
        <v>1556</v>
      </c>
      <c r="B1522" s="2" t="s">
        <v>45</v>
      </c>
      <c r="C1522" s="2" t="s">
        <v>19</v>
      </c>
      <c r="D1522" s="2" t="s">
        <v>28</v>
      </c>
      <c r="E1522" s="2">
        <v>360.98</v>
      </c>
      <c r="F1522" s="2">
        <v>8.4</v>
      </c>
      <c r="G1522" s="2">
        <v>31.29</v>
      </c>
      <c r="H1522" s="2">
        <v>0.3</v>
      </c>
      <c r="I1522" s="2">
        <v>0</v>
      </c>
      <c r="J1522" s="2">
        <v>16</v>
      </c>
      <c r="K1522" s="2" t="s">
        <v>29</v>
      </c>
      <c r="L1522" s="2">
        <v>8.91</v>
      </c>
      <c r="M1522" s="2" t="s">
        <v>22</v>
      </c>
      <c r="N1522" s="2">
        <v>51.6</v>
      </c>
      <c r="O1522" s="2" t="s">
        <v>24</v>
      </c>
      <c r="P1522" s="2">
        <v>3.9</v>
      </c>
      <c r="Q1522" s="2">
        <v>8</v>
      </c>
      <c r="R1522" s="3">
        <f t="shared" si="115"/>
        <v>1407.8220000000001</v>
      </c>
      <c r="S1522" s="3">
        <f t="shared" si="116"/>
        <v>2887.84</v>
      </c>
      <c r="T1522" s="3">
        <f t="shared" si="117"/>
        <v>1480.018</v>
      </c>
      <c r="U1522" s="4">
        <f t="shared" si="118"/>
        <v>0.51249999999999996</v>
      </c>
      <c r="V1522" s="5">
        <f t="shared" si="119"/>
        <v>32.163318000000004</v>
      </c>
    </row>
    <row r="1523" spans="1:22" x14ac:dyDescent="0.25">
      <c r="A1523" s="2" t="s">
        <v>1557</v>
      </c>
      <c r="B1523" s="2" t="s">
        <v>32</v>
      </c>
      <c r="C1523" s="2" t="s">
        <v>43</v>
      </c>
      <c r="D1523" s="2" t="s">
        <v>20</v>
      </c>
      <c r="E1523" s="2">
        <v>515.78</v>
      </c>
      <c r="F1523" s="2">
        <v>17.84</v>
      </c>
      <c r="G1523" s="2">
        <v>22.29</v>
      </c>
      <c r="H1523" s="2">
        <v>1.3</v>
      </c>
      <c r="I1523" s="2">
        <v>0.2</v>
      </c>
      <c r="J1523" s="2">
        <v>20</v>
      </c>
      <c r="K1523" s="2" t="s">
        <v>34</v>
      </c>
      <c r="L1523" s="2">
        <v>5.46</v>
      </c>
      <c r="M1523" s="2" t="s">
        <v>22</v>
      </c>
      <c r="N1523" s="2">
        <v>73.48</v>
      </c>
      <c r="O1523" s="2" t="s">
        <v>23</v>
      </c>
      <c r="P1523" s="2">
        <v>9.41</v>
      </c>
      <c r="Q1523" s="2">
        <v>12.54</v>
      </c>
      <c r="R1523" s="3">
        <f t="shared" si="115"/>
        <v>4853.4897999999994</v>
      </c>
      <c r="S1523" s="3">
        <f t="shared" si="116"/>
        <v>6467.8811999999989</v>
      </c>
      <c r="T1523" s="3">
        <f t="shared" si="117"/>
        <v>1614.3913999999995</v>
      </c>
      <c r="U1523" s="4">
        <f t="shared" si="118"/>
        <v>0.24960127591706535</v>
      </c>
      <c r="V1523" s="5">
        <f t="shared" si="119"/>
        <v>28.161587999999998</v>
      </c>
    </row>
    <row r="1524" spans="1:22" x14ac:dyDescent="0.25">
      <c r="A1524" s="2" t="s">
        <v>1558</v>
      </c>
      <c r="B1524" s="2" t="s">
        <v>32</v>
      </c>
      <c r="C1524" s="2" t="s">
        <v>27</v>
      </c>
      <c r="D1524" s="2" t="s">
        <v>28</v>
      </c>
      <c r="E1524" s="2">
        <v>390.26</v>
      </c>
      <c r="F1524" s="2">
        <v>11.83</v>
      </c>
      <c r="G1524" s="2">
        <v>39.94</v>
      </c>
      <c r="H1524" s="2">
        <v>3.6</v>
      </c>
      <c r="I1524" s="2">
        <v>0.2</v>
      </c>
      <c r="J1524" s="2">
        <v>23</v>
      </c>
      <c r="K1524" s="2" t="s">
        <v>34</v>
      </c>
      <c r="L1524" s="2">
        <v>1.79</v>
      </c>
      <c r="M1524" s="2" t="s">
        <v>37</v>
      </c>
      <c r="N1524" s="2">
        <v>78.2</v>
      </c>
      <c r="O1524" s="2" t="s">
        <v>23</v>
      </c>
      <c r="P1524" s="2">
        <v>7.11</v>
      </c>
      <c r="Q1524" s="2">
        <v>5.74</v>
      </c>
      <c r="R1524" s="3">
        <f t="shared" si="115"/>
        <v>2774.7485999999999</v>
      </c>
      <c r="S1524" s="3">
        <f t="shared" si="116"/>
        <v>2240.0924</v>
      </c>
      <c r="T1524" s="3">
        <f t="shared" si="117"/>
        <v>-534.6561999999999</v>
      </c>
      <c r="U1524" s="4">
        <f t="shared" si="118"/>
        <v>-0.23867595818815326</v>
      </c>
      <c r="V1524" s="5">
        <f t="shared" si="119"/>
        <v>6.9856539999999994</v>
      </c>
    </row>
    <row r="1525" spans="1:22" x14ac:dyDescent="0.25">
      <c r="A1525" s="2" t="s">
        <v>1559</v>
      </c>
      <c r="B1525" s="2" t="s">
        <v>32</v>
      </c>
      <c r="C1525" s="2" t="s">
        <v>27</v>
      </c>
      <c r="D1525" s="2" t="s">
        <v>20</v>
      </c>
      <c r="E1525" s="2">
        <v>352.31</v>
      </c>
      <c r="F1525" s="2">
        <v>9.52</v>
      </c>
      <c r="G1525" s="2">
        <v>28.51</v>
      </c>
      <c r="H1525" s="2">
        <v>0</v>
      </c>
      <c r="I1525" s="2">
        <v>0.3</v>
      </c>
      <c r="J1525" s="2">
        <v>16</v>
      </c>
      <c r="K1525" s="2" t="s">
        <v>29</v>
      </c>
      <c r="L1525" s="2">
        <v>2.42</v>
      </c>
      <c r="M1525" s="2" t="s">
        <v>37</v>
      </c>
      <c r="N1525" s="2">
        <v>50.84</v>
      </c>
      <c r="O1525" s="2" t="s">
        <v>30</v>
      </c>
      <c r="P1525" s="2">
        <v>3.19</v>
      </c>
      <c r="Q1525" s="2">
        <v>10.23</v>
      </c>
      <c r="R1525" s="3">
        <f t="shared" si="115"/>
        <v>1123.8688999999999</v>
      </c>
      <c r="S1525" s="3">
        <f t="shared" si="116"/>
        <v>3604.1313</v>
      </c>
      <c r="T1525" s="3">
        <f t="shared" si="117"/>
        <v>2480.2624000000001</v>
      </c>
      <c r="U1525" s="4">
        <f t="shared" si="118"/>
        <v>0.68817204301075274</v>
      </c>
      <c r="V1525" s="5">
        <f t="shared" si="119"/>
        <v>8.5259020000000003</v>
      </c>
    </row>
    <row r="1526" spans="1:22" x14ac:dyDescent="0.25">
      <c r="A1526" s="2" t="s">
        <v>1560</v>
      </c>
      <c r="B1526" s="2" t="s">
        <v>32</v>
      </c>
      <c r="C1526" s="2" t="s">
        <v>19</v>
      </c>
      <c r="D1526" s="2" t="s">
        <v>20</v>
      </c>
      <c r="E1526" s="2">
        <v>426.06</v>
      </c>
      <c r="F1526" s="2">
        <v>14.67</v>
      </c>
      <c r="G1526" s="2">
        <v>26.96</v>
      </c>
      <c r="H1526" s="2">
        <v>0.6</v>
      </c>
      <c r="I1526" s="2">
        <v>0.4</v>
      </c>
      <c r="J1526" s="2">
        <v>27</v>
      </c>
      <c r="K1526" s="2" t="s">
        <v>34</v>
      </c>
      <c r="L1526" s="2">
        <v>3.46</v>
      </c>
      <c r="M1526" s="2" t="s">
        <v>37</v>
      </c>
      <c r="N1526" s="2">
        <v>89.47</v>
      </c>
      <c r="O1526" s="2" t="s">
        <v>23</v>
      </c>
      <c r="P1526" s="2">
        <v>9.74</v>
      </c>
      <c r="Q1526" s="2">
        <v>6.22</v>
      </c>
      <c r="R1526" s="3">
        <f t="shared" si="115"/>
        <v>4149.8244000000004</v>
      </c>
      <c r="S1526" s="3">
        <f t="shared" si="116"/>
        <v>2650.0931999999998</v>
      </c>
      <c r="T1526" s="3">
        <f t="shared" si="117"/>
        <v>-1499.7312000000006</v>
      </c>
      <c r="U1526" s="4">
        <f t="shared" si="118"/>
        <v>-0.5659163987138266</v>
      </c>
      <c r="V1526" s="5">
        <f t="shared" si="119"/>
        <v>14.741676</v>
      </c>
    </row>
    <row r="1527" spans="1:22" x14ac:dyDescent="0.25">
      <c r="A1527" s="2" t="s">
        <v>1561</v>
      </c>
      <c r="B1527" s="2" t="s">
        <v>18</v>
      </c>
      <c r="C1527" s="2" t="s">
        <v>43</v>
      </c>
      <c r="D1527" s="2" t="s">
        <v>28</v>
      </c>
      <c r="E1527" s="2">
        <v>619.19000000000005</v>
      </c>
      <c r="F1527" s="2">
        <v>10.84</v>
      </c>
      <c r="G1527" s="2">
        <v>34.200000000000003</v>
      </c>
      <c r="H1527" s="2">
        <v>0</v>
      </c>
      <c r="I1527" s="2">
        <v>0.4</v>
      </c>
      <c r="J1527" s="2">
        <v>19</v>
      </c>
      <c r="K1527" s="2" t="s">
        <v>21</v>
      </c>
      <c r="L1527" s="2">
        <v>6.11</v>
      </c>
      <c r="M1527" s="2" t="s">
        <v>37</v>
      </c>
      <c r="N1527" s="2">
        <v>64.77</v>
      </c>
      <c r="O1527" s="2" t="s">
        <v>30</v>
      </c>
      <c r="P1527" s="2">
        <v>5.16</v>
      </c>
      <c r="Q1527" s="2">
        <v>7.93</v>
      </c>
      <c r="R1527" s="3">
        <f t="shared" si="115"/>
        <v>3195.0204000000003</v>
      </c>
      <c r="S1527" s="3">
        <f t="shared" si="116"/>
        <v>4910.1767</v>
      </c>
      <c r="T1527" s="3">
        <f t="shared" si="117"/>
        <v>1715.1562999999996</v>
      </c>
      <c r="U1527" s="4">
        <f t="shared" si="118"/>
        <v>0.3493064312736443</v>
      </c>
      <c r="V1527" s="5">
        <f t="shared" si="119"/>
        <v>37.832509000000002</v>
      </c>
    </row>
    <row r="1528" spans="1:22" x14ac:dyDescent="0.25">
      <c r="A1528" s="2" t="s">
        <v>1562</v>
      </c>
      <c r="B1528" s="2" t="s">
        <v>18</v>
      </c>
      <c r="C1528" s="2" t="s">
        <v>33</v>
      </c>
      <c r="D1528" s="2" t="s">
        <v>28</v>
      </c>
      <c r="E1528" s="2">
        <v>595</v>
      </c>
      <c r="F1528" s="2">
        <v>13.86</v>
      </c>
      <c r="G1528" s="2">
        <v>27.28</v>
      </c>
      <c r="H1528" s="2">
        <v>1.1000000000000001</v>
      </c>
      <c r="I1528" s="2">
        <v>0.5</v>
      </c>
      <c r="J1528" s="2">
        <v>24</v>
      </c>
      <c r="K1528" s="2" t="s">
        <v>34</v>
      </c>
      <c r="L1528" s="2">
        <v>3.66</v>
      </c>
      <c r="M1528" s="2" t="s">
        <v>37</v>
      </c>
      <c r="N1528" s="2">
        <v>72.62</v>
      </c>
      <c r="O1528" s="2" t="s">
        <v>23</v>
      </c>
      <c r="P1528" s="2">
        <v>6.15</v>
      </c>
      <c r="Q1528" s="2">
        <v>7.59</v>
      </c>
      <c r="R1528" s="3">
        <f t="shared" si="115"/>
        <v>3659.25</v>
      </c>
      <c r="S1528" s="3">
        <f t="shared" si="116"/>
        <v>4516.05</v>
      </c>
      <c r="T1528" s="3">
        <f t="shared" si="117"/>
        <v>856.80000000000018</v>
      </c>
      <c r="U1528" s="4">
        <f t="shared" si="118"/>
        <v>0.18972332015810281</v>
      </c>
      <c r="V1528" s="5">
        <f t="shared" si="119"/>
        <v>21.777000000000001</v>
      </c>
    </row>
    <row r="1529" spans="1:22" x14ac:dyDescent="0.25">
      <c r="A1529" s="2" t="s">
        <v>1563</v>
      </c>
      <c r="B1529" s="2" t="s">
        <v>32</v>
      </c>
      <c r="C1529" s="2" t="s">
        <v>33</v>
      </c>
      <c r="D1529" s="2" t="s">
        <v>20</v>
      </c>
      <c r="E1529" s="2">
        <v>524.29999999999995</v>
      </c>
      <c r="F1529" s="2">
        <v>13.87</v>
      </c>
      <c r="G1529" s="2">
        <v>36.67</v>
      </c>
      <c r="H1529" s="2">
        <v>2.6</v>
      </c>
      <c r="I1529" s="2">
        <v>0.1</v>
      </c>
      <c r="J1529" s="2">
        <v>1</v>
      </c>
      <c r="K1529" s="2" t="s">
        <v>34</v>
      </c>
      <c r="L1529" s="2">
        <v>7.6</v>
      </c>
      <c r="M1529" s="2" t="s">
        <v>37</v>
      </c>
      <c r="N1529" s="2">
        <v>76.78</v>
      </c>
      <c r="O1529" s="2" t="s">
        <v>23</v>
      </c>
      <c r="P1529" s="2">
        <v>4.99</v>
      </c>
      <c r="Q1529" s="2">
        <v>13.39</v>
      </c>
      <c r="R1529" s="3">
        <f t="shared" si="115"/>
        <v>2616.2570000000001</v>
      </c>
      <c r="S1529" s="3">
        <f t="shared" si="116"/>
        <v>7020.3769999999995</v>
      </c>
      <c r="T1529" s="3">
        <f t="shared" si="117"/>
        <v>4404.119999999999</v>
      </c>
      <c r="U1529" s="4">
        <f t="shared" si="118"/>
        <v>0.62733383121732622</v>
      </c>
      <c r="V1529" s="5">
        <f t="shared" si="119"/>
        <v>39.846799999999995</v>
      </c>
    </row>
    <row r="1530" spans="1:22" x14ac:dyDescent="0.25">
      <c r="A1530" s="2" t="s">
        <v>1564</v>
      </c>
      <c r="B1530" s="2" t="s">
        <v>45</v>
      </c>
      <c r="C1530" s="2" t="s">
        <v>27</v>
      </c>
      <c r="D1530" s="2" t="s">
        <v>20</v>
      </c>
      <c r="E1530" s="2">
        <v>346.73</v>
      </c>
      <c r="F1530" s="2">
        <v>12.46</v>
      </c>
      <c r="G1530" s="2">
        <v>29.09</v>
      </c>
      <c r="H1530" s="2">
        <v>3.2</v>
      </c>
      <c r="I1530" s="2">
        <v>0</v>
      </c>
      <c r="J1530" s="2">
        <v>4</v>
      </c>
      <c r="K1530" s="2" t="s">
        <v>29</v>
      </c>
      <c r="L1530" s="2">
        <v>6.35</v>
      </c>
      <c r="M1530" s="2" t="s">
        <v>22</v>
      </c>
      <c r="N1530" s="2">
        <v>99.61</v>
      </c>
      <c r="O1530" s="2" t="s">
        <v>24</v>
      </c>
      <c r="P1530" s="2">
        <v>8.1</v>
      </c>
      <c r="Q1530" s="2">
        <v>6.94</v>
      </c>
      <c r="R1530" s="3">
        <f t="shared" si="115"/>
        <v>2808.5129999999999</v>
      </c>
      <c r="S1530" s="3">
        <f t="shared" si="116"/>
        <v>2406.3062000000004</v>
      </c>
      <c r="T1530" s="3">
        <f t="shared" si="117"/>
        <v>-402.20679999999948</v>
      </c>
      <c r="U1530" s="4">
        <f t="shared" si="118"/>
        <v>-0.16714697406340032</v>
      </c>
      <c r="V1530" s="5">
        <f t="shared" si="119"/>
        <v>22.017354999999998</v>
      </c>
    </row>
    <row r="1531" spans="1:22" x14ac:dyDescent="0.25">
      <c r="A1531" s="2" t="s">
        <v>1565</v>
      </c>
      <c r="B1531" s="2" t="s">
        <v>26</v>
      </c>
      <c r="C1531" s="2" t="s">
        <v>33</v>
      </c>
      <c r="D1531" s="2" t="s">
        <v>28</v>
      </c>
      <c r="E1531" s="2">
        <v>480.37</v>
      </c>
      <c r="F1531" s="2">
        <v>16.36</v>
      </c>
      <c r="G1531" s="2">
        <v>34.39</v>
      </c>
      <c r="H1531" s="2">
        <v>5.8</v>
      </c>
      <c r="I1531" s="2">
        <v>1.1000000000000001</v>
      </c>
      <c r="J1531" s="2">
        <v>24</v>
      </c>
      <c r="K1531" s="2" t="s">
        <v>21</v>
      </c>
      <c r="L1531" s="2">
        <v>8.8000000000000007</v>
      </c>
      <c r="M1531" s="2" t="s">
        <v>37</v>
      </c>
      <c r="N1531" s="2">
        <v>54.96</v>
      </c>
      <c r="O1531" s="2" t="s">
        <v>24</v>
      </c>
      <c r="P1531" s="2">
        <v>6.4</v>
      </c>
      <c r="Q1531" s="2">
        <v>13.08</v>
      </c>
      <c r="R1531" s="3">
        <f t="shared" si="115"/>
        <v>3074.3680000000004</v>
      </c>
      <c r="S1531" s="3">
        <f t="shared" si="116"/>
        <v>6283.2395999999999</v>
      </c>
      <c r="T1531" s="3">
        <f t="shared" si="117"/>
        <v>3208.8715999999995</v>
      </c>
      <c r="U1531" s="4">
        <f t="shared" si="118"/>
        <v>0.51070336391437299</v>
      </c>
      <c r="V1531" s="5">
        <f t="shared" si="119"/>
        <v>42.272560000000006</v>
      </c>
    </row>
    <row r="1532" spans="1:22" x14ac:dyDescent="0.25">
      <c r="A1532" s="2" t="s">
        <v>1566</v>
      </c>
      <c r="B1532" s="2" t="s">
        <v>45</v>
      </c>
      <c r="C1532" s="2" t="s">
        <v>27</v>
      </c>
      <c r="D1532" s="2" t="s">
        <v>20</v>
      </c>
      <c r="E1532" s="2">
        <v>530.16999999999996</v>
      </c>
      <c r="F1532" s="2">
        <v>10.65</v>
      </c>
      <c r="G1532" s="2">
        <v>22.15</v>
      </c>
      <c r="H1532" s="2">
        <v>1.9</v>
      </c>
      <c r="I1532" s="2">
        <v>0.8</v>
      </c>
      <c r="J1532" s="2">
        <v>10</v>
      </c>
      <c r="K1532" s="2" t="s">
        <v>29</v>
      </c>
      <c r="L1532" s="2">
        <v>5.26</v>
      </c>
      <c r="M1532" s="2" t="s">
        <v>40</v>
      </c>
      <c r="N1532" s="2">
        <v>77.760000000000005</v>
      </c>
      <c r="O1532" s="2" t="s">
        <v>30</v>
      </c>
      <c r="P1532" s="2">
        <v>3.93</v>
      </c>
      <c r="Q1532" s="2">
        <v>12.94</v>
      </c>
      <c r="R1532" s="3">
        <f t="shared" si="115"/>
        <v>2083.5681</v>
      </c>
      <c r="S1532" s="3">
        <f t="shared" si="116"/>
        <v>6860.3997999999992</v>
      </c>
      <c r="T1532" s="3">
        <f t="shared" si="117"/>
        <v>4776.8316999999988</v>
      </c>
      <c r="U1532" s="4">
        <f t="shared" si="118"/>
        <v>0.69629057187016996</v>
      </c>
      <c r="V1532" s="5">
        <f t="shared" si="119"/>
        <v>27.886941999999994</v>
      </c>
    </row>
    <row r="1533" spans="1:22" x14ac:dyDescent="0.25">
      <c r="A1533" s="2" t="s">
        <v>1567</v>
      </c>
      <c r="B1533" s="2" t="s">
        <v>45</v>
      </c>
      <c r="C1533" s="2" t="s">
        <v>27</v>
      </c>
      <c r="D1533" s="2" t="s">
        <v>20</v>
      </c>
      <c r="E1533" s="2">
        <v>517.54999999999995</v>
      </c>
      <c r="F1533" s="2">
        <v>12.49</v>
      </c>
      <c r="G1533" s="2">
        <v>36.92</v>
      </c>
      <c r="H1533" s="2">
        <v>0.6</v>
      </c>
      <c r="I1533" s="2">
        <v>0.6</v>
      </c>
      <c r="J1533" s="2">
        <v>20</v>
      </c>
      <c r="K1533" s="2" t="s">
        <v>21</v>
      </c>
      <c r="L1533" s="2">
        <v>3.65</v>
      </c>
      <c r="M1533" s="2" t="s">
        <v>37</v>
      </c>
      <c r="N1533" s="2">
        <v>76.53</v>
      </c>
      <c r="O1533" s="2" t="s">
        <v>30</v>
      </c>
      <c r="P1533" s="2">
        <v>3.73</v>
      </c>
      <c r="Q1533" s="2">
        <v>9.99</v>
      </c>
      <c r="R1533" s="3">
        <f t="shared" si="115"/>
        <v>1930.4614999999999</v>
      </c>
      <c r="S1533" s="3">
        <f t="shared" si="116"/>
        <v>5170.3244999999997</v>
      </c>
      <c r="T1533" s="3">
        <f t="shared" si="117"/>
        <v>3239.8629999999998</v>
      </c>
      <c r="U1533" s="4">
        <f t="shared" si="118"/>
        <v>0.6266266266266266</v>
      </c>
      <c r="V1533" s="5">
        <f t="shared" si="119"/>
        <v>18.890574999999998</v>
      </c>
    </row>
    <row r="1534" spans="1:22" x14ac:dyDescent="0.25">
      <c r="A1534" s="2" t="s">
        <v>1568</v>
      </c>
      <c r="B1534" s="2" t="s">
        <v>45</v>
      </c>
      <c r="C1534" s="2" t="s">
        <v>27</v>
      </c>
      <c r="D1534" s="2" t="s">
        <v>28</v>
      </c>
      <c r="E1534" s="2">
        <v>315.62</v>
      </c>
      <c r="F1534" s="2">
        <v>13.38</v>
      </c>
      <c r="G1534" s="2">
        <v>34.71</v>
      </c>
      <c r="H1534" s="2">
        <v>5.2</v>
      </c>
      <c r="I1534" s="2">
        <v>1</v>
      </c>
      <c r="J1534" s="2">
        <v>18</v>
      </c>
      <c r="K1534" s="2" t="s">
        <v>29</v>
      </c>
      <c r="L1534" s="2">
        <v>9.9600000000000009</v>
      </c>
      <c r="M1534" s="2" t="s">
        <v>40</v>
      </c>
      <c r="N1534" s="2">
        <v>53.45</v>
      </c>
      <c r="O1534" s="2" t="s">
        <v>30</v>
      </c>
      <c r="P1534" s="2">
        <v>8.08</v>
      </c>
      <c r="Q1534" s="2">
        <v>7.34</v>
      </c>
      <c r="R1534" s="3">
        <f t="shared" si="115"/>
        <v>2550.2096000000001</v>
      </c>
      <c r="S1534" s="3">
        <f t="shared" si="116"/>
        <v>2316.6507999999999</v>
      </c>
      <c r="T1534" s="3">
        <f t="shared" si="117"/>
        <v>-233.55880000000025</v>
      </c>
      <c r="U1534" s="4">
        <f t="shared" si="118"/>
        <v>-0.10081743869209821</v>
      </c>
      <c r="V1534" s="5">
        <f t="shared" si="119"/>
        <v>31.435752000000001</v>
      </c>
    </row>
    <row r="1535" spans="1:22" x14ac:dyDescent="0.25">
      <c r="A1535" s="2" t="s">
        <v>1569</v>
      </c>
      <c r="B1535" s="2" t="s">
        <v>32</v>
      </c>
      <c r="C1535" s="2" t="s">
        <v>33</v>
      </c>
      <c r="D1535" s="2" t="s">
        <v>20</v>
      </c>
      <c r="E1535" s="2">
        <v>410.97</v>
      </c>
      <c r="F1535" s="2">
        <v>14.64</v>
      </c>
      <c r="G1535" s="2">
        <v>24.23</v>
      </c>
      <c r="H1535" s="2">
        <v>3</v>
      </c>
      <c r="I1535" s="2">
        <v>1.8</v>
      </c>
      <c r="J1535" s="2">
        <v>2</v>
      </c>
      <c r="K1535" s="2" t="s">
        <v>34</v>
      </c>
      <c r="L1535" s="2">
        <v>3.88</v>
      </c>
      <c r="M1535" s="2" t="s">
        <v>40</v>
      </c>
      <c r="N1535" s="2">
        <v>81.7</v>
      </c>
      <c r="O1535" s="2" t="s">
        <v>23</v>
      </c>
      <c r="P1535" s="2">
        <v>4.66</v>
      </c>
      <c r="Q1535" s="2">
        <v>7.27</v>
      </c>
      <c r="R1535" s="3">
        <f t="shared" si="115"/>
        <v>1915.1202000000003</v>
      </c>
      <c r="S1535" s="3">
        <f t="shared" si="116"/>
        <v>2987.7519000000002</v>
      </c>
      <c r="T1535" s="3">
        <f t="shared" si="117"/>
        <v>1072.6316999999999</v>
      </c>
      <c r="U1535" s="4">
        <f t="shared" si="118"/>
        <v>0.35900962861072899</v>
      </c>
      <c r="V1535" s="5">
        <f t="shared" si="119"/>
        <v>15.945636</v>
      </c>
    </row>
    <row r="1536" spans="1:22" x14ac:dyDescent="0.25">
      <c r="A1536" s="2" t="s">
        <v>1570</v>
      </c>
      <c r="B1536" s="2" t="s">
        <v>18</v>
      </c>
      <c r="C1536" s="2" t="s">
        <v>27</v>
      </c>
      <c r="D1536" s="2" t="s">
        <v>28</v>
      </c>
      <c r="E1536" s="2">
        <v>493.59</v>
      </c>
      <c r="F1536" s="2">
        <v>15.84</v>
      </c>
      <c r="G1536" s="2">
        <v>22.91</v>
      </c>
      <c r="H1536" s="2">
        <v>1.7</v>
      </c>
      <c r="I1536" s="2">
        <v>0.6</v>
      </c>
      <c r="J1536" s="2">
        <v>4</v>
      </c>
      <c r="K1536" s="2" t="s">
        <v>21</v>
      </c>
      <c r="L1536" s="2">
        <v>4.57</v>
      </c>
      <c r="M1536" s="2" t="s">
        <v>40</v>
      </c>
      <c r="N1536" s="2">
        <v>64.34</v>
      </c>
      <c r="O1536" s="2" t="s">
        <v>23</v>
      </c>
      <c r="P1536" s="2">
        <v>3.96</v>
      </c>
      <c r="Q1536" s="2">
        <v>9.65</v>
      </c>
      <c r="R1536" s="3">
        <f t="shared" si="115"/>
        <v>1954.6163999999999</v>
      </c>
      <c r="S1536" s="3">
        <f t="shared" si="116"/>
        <v>4763.1435000000001</v>
      </c>
      <c r="T1536" s="3">
        <f t="shared" si="117"/>
        <v>2808.5271000000002</v>
      </c>
      <c r="U1536" s="4">
        <f t="shared" si="118"/>
        <v>0.58963730569948192</v>
      </c>
      <c r="V1536" s="5">
        <f t="shared" si="119"/>
        <v>22.557062999999999</v>
      </c>
    </row>
    <row r="1537" spans="1:22" x14ac:dyDescent="0.25">
      <c r="A1537" s="2" t="s">
        <v>1571</v>
      </c>
      <c r="B1537" s="2" t="s">
        <v>45</v>
      </c>
      <c r="C1537" s="2" t="s">
        <v>19</v>
      </c>
      <c r="D1537" s="2" t="s">
        <v>20</v>
      </c>
      <c r="E1537" s="2">
        <v>553.63</v>
      </c>
      <c r="F1537" s="2">
        <v>11.95</v>
      </c>
      <c r="G1537" s="2">
        <v>26.33</v>
      </c>
      <c r="H1537" s="2">
        <v>2.4</v>
      </c>
      <c r="I1537" s="2">
        <v>1</v>
      </c>
      <c r="J1537" s="2">
        <v>15</v>
      </c>
      <c r="K1537" s="2" t="s">
        <v>21</v>
      </c>
      <c r="L1537" s="2">
        <v>8.19</v>
      </c>
      <c r="M1537" s="2" t="s">
        <v>37</v>
      </c>
      <c r="N1537" s="2">
        <v>55.19</v>
      </c>
      <c r="O1537" s="2" t="s">
        <v>30</v>
      </c>
      <c r="P1537" s="2">
        <v>6.5</v>
      </c>
      <c r="Q1537" s="2">
        <v>5.09</v>
      </c>
      <c r="R1537" s="3">
        <f t="shared" si="115"/>
        <v>3598.5949999999998</v>
      </c>
      <c r="S1537" s="3">
        <f t="shared" si="116"/>
        <v>2817.9766999999997</v>
      </c>
      <c r="T1537" s="3">
        <f t="shared" si="117"/>
        <v>-780.61830000000009</v>
      </c>
      <c r="U1537" s="4">
        <f t="shared" si="118"/>
        <v>-0.27701375245579574</v>
      </c>
      <c r="V1537" s="5">
        <f t="shared" si="119"/>
        <v>45.342297000000002</v>
      </c>
    </row>
    <row r="1538" spans="1:22" x14ac:dyDescent="0.25">
      <c r="A1538" s="2" t="s">
        <v>1572</v>
      </c>
      <c r="B1538" s="2" t="s">
        <v>32</v>
      </c>
      <c r="C1538" s="2" t="s">
        <v>43</v>
      </c>
      <c r="D1538" s="2" t="s">
        <v>28</v>
      </c>
      <c r="E1538" s="2">
        <v>280.39</v>
      </c>
      <c r="F1538" s="2">
        <v>14.46</v>
      </c>
      <c r="G1538" s="2">
        <v>39.520000000000003</v>
      </c>
      <c r="H1538" s="2">
        <v>5.2</v>
      </c>
      <c r="I1538" s="2">
        <v>3.1</v>
      </c>
      <c r="J1538" s="2">
        <v>29</v>
      </c>
      <c r="K1538" s="2" t="s">
        <v>34</v>
      </c>
      <c r="L1538" s="2">
        <v>1.34</v>
      </c>
      <c r="M1538" s="2" t="s">
        <v>37</v>
      </c>
      <c r="N1538" s="2">
        <v>58.93</v>
      </c>
      <c r="O1538" s="2" t="s">
        <v>23</v>
      </c>
      <c r="P1538" s="2">
        <v>8.6199999999999992</v>
      </c>
      <c r="Q1538" s="2">
        <v>10.31</v>
      </c>
      <c r="R1538" s="3">
        <f t="shared" si="115"/>
        <v>2416.9617999999996</v>
      </c>
      <c r="S1538" s="3">
        <f t="shared" si="116"/>
        <v>2890.8209000000002</v>
      </c>
      <c r="T1538" s="3">
        <f t="shared" si="117"/>
        <v>473.85910000000058</v>
      </c>
      <c r="U1538" s="4">
        <f t="shared" si="118"/>
        <v>0.16391852570320098</v>
      </c>
      <c r="V1538" s="5">
        <f t="shared" si="119"/>
        <v>3.7572260000000002</v>
      </c>
    </row>
    <row r="1539" spans="1:22" x14ac:dyDescent="0.25">
      <c r="A1539" s="2" t="s">
        <v>1573</v>
      </c>
      <c r="B1539" s="2" t="s">
        <v>45</v>
      </c>
      <c r="C1539" s="2" t="s">
        <v>43</v>
      </c>
      <c r="D1539" s="2" t="s">
        <v>20</v>
      </c>
      <c r="E1539" s="2">
        <v>483.79</v>
      </c>
      <c r="F1539" s="2">
        <v>9.51</v>
      </c>
      <c r="G1539" s="2">
        <v>25.14</v>
      </c>
      <c r="H1539" s="2">
        <v>2.5</v>
      </c>
      <c r="I1539" s="2">
        <v>1.8</v>
      </c>
      <c r="J1539" s="2">
        <v>4</v>
      </c>
      <c r="K1539" s="2" t="s">
        <v>29</v>
      </c>
      <c r="L1539" s="2">
        <v>4.17</v>
      </c>
      <c r="M1539" s="2" t="s">
        <v>40</v>
      </c>
      <c r="N1539" s="2">
        <v>91.18</v>
      </c>
      <c r="O1539" s="2" t="s">
        <v>24</v>
      </c>
      <c r="P1539" s="2">
        <v>4.95</v>
      </c>
      <c r="Q1539" s="2">
        <v>14.53</v>
      </c>
      <c r="R1539" s="3">
        <f t="shared" ref="R1539:R1602" si="120">E1539*P1539</f>
        <v>2394.7605000000003</v>
      </c>
      <c r="S1539" s="3">
        <f t="shared" ref="S1539:S1602" si="121">E1539*Q1539</f>
        <v>7029.4687000000004</v>
      </c>
      <c r="T1539" s="3">
        <f t="shared" ref="T1539:T1602" si="122">S1539-R1539</f>
        <v>4634.7082</v>
      </c>
      <c r="U1539" s="4">
        <f t="shared" ref="U1539:U1602" si="123">T1539/S1539</f>
        <v>0.6593255333792154</v>
      </c>
      <c r="V1539" s="5">
        <f t="shared" ref="V1539:V1602" si="124">E1539*L1539/100</f>
        <v>20.174043000000001</v>
      </c>
    </row>
    <row r="1540" spans="1:22" x14ac:dyDescent="0.25">
      <c r="A1540" s="2" t="s">
        <v>1574</v>
      </c>
      <c r="B1540" s="2" t="s">
        <v>45</v>
      </c>
      <c r="C1540" s="2" t="s">
        <v>27</v>
      </c>
      <c r="D1540" s="2" t="s">
        <v>28</v>
      </c>
      <c r="E1540" s="2">
        <v>514.29999999999995</v>
      </c>
      <c r="F1540" s="2">
        <v>17.329999999999998</v>
      </c>
      <c r="G1540" s="2">
        <v>29.12</v>
      </c>
      <c r="H1540" s="2">
        <v>0.9</v>
      </c>
      <c r="I1540" s="2">
        <v>0.6</v>
      </c>
      <c r="J1540" s="2">
        <v>16</v>
      </c>
      <c r="K1540" s="2" t="s">
        <v>21</v>
      </c>
      <c r="L1540" s="2">
        <v>1.31</v>
      </c>
      <c r="M1540" s="2" t="s">
        <v>37</v>
      </c>
      <c r="N1540" s="2">
        <v>55.21</v>
      </c>
      <c r="O1540" s="2" t="s">
        <v>23</v>
      </c>
      <c r="P1540" s="2">
        <v>4.9400000000000004</v>
      </c>
      <c r="Q1540" s="2">
        <v>6.55</v>
      </c>
      <c r="R1540" s="3">
        <f t="shared" si="120"/>
        <v>2540.6419999999998</v>
      </c>
      <c r="S1540" s="3">
        <f t="shared" si="121"/>
        <v>3368.6649999999995</v>
      </c>
      <c r="T1540" s="3">
        <f t="shared" si="122"/>
        <v>828.02299999999968</v>
      </c>
      <c r="U1540" s="4">
        <f t="shared" si="123"/>
        <v>0.2458015267175572</v>
      </c>
      <c r="V1540" s="5">
        <f t="shared" si="124"/>
        <v>6.7373299999999992</v>
      </c>
    </row>
    <row r="1541" spans="1:22" x14ac:dyDescent="0.25">
      <c r="A1541" s="2" t="s">
        <v>1575</v>
      </c>
      <c r="B1541" s="2" t="s">
        <v>32</v>
      </c>
      <c r="C1541" s="2" t="s">
        <v>43</v>
      </c>
      <c r="D1541" s="2" t="s">
        <v>20</v>
      </c>
      <c r="E1541" s="2">
        <v>584.96</v>
      </c>
      <c r="F1541" s="2">
        <v>11.83</v>
      </c>
      <c r="G1541" s="2">
        <v>20.6</v>
      </c>
      <c r="H1541" s="2">
        <v>2.5</v>
      </c>
      <c r="I1541" s="2">
        <v>1</v>
      </c>
      <c r="J1541" s="2">
        <v>15</v>
      </c>
      <c r="K1541" s="2" t="s">
        <v>34</v>
      </c>
      <c r="L1541" s="2">
        <v>1.82</v>
      </c>
      <c r="M1541" s="2" t="s">
        <v>22</v>
      </c>
      <c r="N1541" s="2">
        <v>73.349999999999994</v>
      </c>
      <c r="O1541" s="2" t="s">
        <v>24</v>
      </c>
      <c r="P1541" s="2">
        <v>8.84</v>
      </c>
      <c r="Q1541" s="2">
        <v>10.73</v>
      </c>
      <c r="R1541" s="3">
        <f t="shared" si="120"/>
        <v>5171.0464000000002</v>
      </c>
      <c r="S1541" s="3">
        <f t="shared" si="121"/>
        <v>6276.6208000000006</v>
      </c>
      <c r="T1541" s="3">
        <f t="shared" si="122"/>
        <v>1105.5744000000004</v>
      </c>
      <c r="U1541" s="4">
        <f t="shared" si="123"/>
        <v>0.17614165890027964</v>
      </c>
      <c r="V1541" s="5">
        <f t="shared" si="124"/>
        <v>10.646272000000002</v>
      </c>
    </row>
    <row r="1542" spans="1:22" x14ac:dyDescent="0.25">
      <c r="A1542" s="2" t="s">
        <v>1576</v>
      </c>
      <c r="B1542" s="2" t="s">
        <v>18</v>
      </c>
      <c r="C1542" s="2" t="s">
        <v>33</v>
      </c>
      <c r="D1542" s="2" t="s">
        <v>28</v>
      </c>
      <c r="E1542" s="2">
        <v>569.29</v>
      </c>
      <c r="F1542" s="2">
        <v>15.3</v>
      </c>
      <c r="G1542" s="2">
        <v>27.94</v>
      </c>
      <c r="H1542" s="2">
        <v>0.1</v>
      </c>
      <c r="I1542" s="2">
        <v>0.2</v>
      </c>
      <c r="J1542" s="2">
        <v>18</v>
      </c>
      <c r="K1542" s="2" t="s">
        <v>34</v>
      </c>
      <c r="L1542" s="2">
        <v>0.54</v>
      </c>
      <c r="M1542" s="2" t="s">
        <v>22</v>
      </c>
      <c r="N1542" s="2">
        <v>59.76</v>
      </c>
      <c r="O1542" s="2" t="s">
        <v>30</v>
      </c>
      <c r="P1542" s="2">
        <v>4.03</v>
      </c>
      <c r="Q1542" s="2">
        <v>14.62</v>
      </c>
      <c r="R1542" s="3">
        <f t="shared" si="120"/>
        <v>2294.2386999999999</v>
      </c>
      <c r="S1542" s="3">
        <f t="shared" si="121"/>
        <v>8323.0197999999982</v>
      </c>
      <c r="T1542" s="3">
        <f t="shared" si="122"/>
        <v>6028.7810999999983</v>
      </c>
      <c r="U1542" s="4">
        <f t="shared" si="123"/>
        <v>0.72435020519835835</v>
      </c>
      <c r="V1542" s="5">
        <f t="shared" si="124"/>
        <v>3.074166</v>
      </c>
    </row>
    <row r="1543" spans="1:22" x14ac:dyDescent="0.25">
      <c r="A1543" s="2" t="s">
        <v>1577</v>
      </c>
      <c r="B1543" s="2" t="s">
        <v>18</v>
      </c>
      <c r="C1543" s="2" t="s">
        <v>33</v>
      </c>
      <c r="D1543" s="2" t="s">
        <v>20</v>
      </c>
      <c r="E1543" s="2">
        <v>558.26</v>
      </c>
      <c r="F1543" s="2">
        <v>8.1999999999999993</v>
      </c>
      <c r="G1543" s="2">
        <v>31.43</v>
      </c>
      <c r="H1543" s="2">
        <v>1</v>
      </c>
      <c r="I1543" s="2">
        <v>0.8</v>
      </c>
      <c r="J1543" s="2">
        <v>7</v>
      </c>
      <c r="K1543" s="2" t="s">
        <v>21</v>
      </c>
      <c r="L1543" s="2">
        <v>0.59</v>
      </c>
      <c r="M1543" s="2" t="s">
        <v>22</v>
      </c>
      <c r="N1543" s="2">
        <v>58.12</v>
      </c>
      <c r="O1543" s="2" t="s">
        <v>23</v>
      </c>
      <c r="P1543" s="2">
        <v>7.32</v>
      </c>
      <c r="Q1543" s="2">
        <v>13.61</v>
      </c>
      <c r="R1543" s="3">
        <f t="shared" si="120"/>
        <v>4086.4632000000001</v>
      </c>
      <c r="S1543" s="3">
        <f t="shared" si="121"/>
        <v>7597.9186</v>
      </c>
      <c r="T1543" s="3">
        <f t="shared" si="122"/>
        <v>3511.4553999999998</v>
      </c>
      <c r="U1543" s="4">
        <f t="shared" si="123"/>
        <v>0.46216017634092577</v>
      </c>
      <c r="V1543" s="5">
        <f t="shared" si="124"/>
        <v>3.2937340000000002</v>
      </c>
    </row>
    <row r="1544" spans="1:22" x14ac:dyDescent="0.25">
      <c r="A1544" s="2" t="s">
        <v>1578</v>
      </c>
      <c r="B1544" s="2" t="s">
        <v>26</v>
      </c>
      <c r="C1544" s="2" t="s">
        <v>43</v>
      </c>
      <c r="D1544" s="2" t="s">
        <v>20</v>
      </c>
      <c r="E1544" s="2">
        <v>420.01</v>
      </c>
      <c r="F1544" s="2">
        <v>10.050000000000001</v>
      </c>
      <c r="G1544" s="2">
        <v>39.06</v>
      </c>
      <c r="H1544" s="2">
        <v>1</v>
      </c>
      <c r="I1544" s="2">
        <v>4</v>
      </c>
      <c r="J1544" s="2">
        <v>15</v>
      </c>
      <c r="K1544" s="2" t="s">
        <v>21</v>
      </c>
      <c r="L1544" s="2">
        <v>4.1100000000000003</v>
      </c>
      <c r="M1544" s="2" t="s">
        <v>22</v>
      </c>
      <c r="N1544" s="2">
        <v>60.29</v>
      </c>
      <c r="O1544" s="2" t="s">
        <v>30</v>
      </c>
      <c r="P1544" s="2">
        <v>9.69</v>
      </c>
      <c r="Q1544" s="2">
        <v>13.5</v>
      </c>
      <c r="R1544" s="3">
        <f t="shared" si="120"/>
        <v>4069.8968999999997</v>
      </c>
      <c r="S1544" s="3">
        <f t="shared" si="121"/>
        <v>5670.1350000000002</v>
      </c>
      <c r="T1544" s="3">
        <f t="shared" si="122"/>
        <v>1600.2381000000005</v>
      </c>
      <c r="U1544" s="4">
        <f t="shared" si="123"/>
        <v>0.28222222222222232</v>
      </c>
      <c r="V1544" s="5">
        <f t="shared" si="124"/>
        <v>17.262411</v>
      </c>
    </row>
    <row r="1545" spans="1:22" x14ac:dyDescent="0.25">
      <c r="A1545" s="2" t="s">
        <v>1579</v>
      </c>
      <c r="B1545" s="2" t="s">
        <v>32</v>
      </c>
      <c r="C1545" s="2" t="s">
        <v>33</v>
      </c>
      <c r="D1545" s="2" t="s">
        <v>20</v>
      </c>
      <c r="E1545" s="2">
        <v>309.2</v>
      </c>
      <c r="F1545" s="2">
        <v>12.87</v>
      </c>
      <c r="G1545" s="2">
        <v>30.33</v>
      </c>
      <c r="H1545" s="2">
        <v>0.4</v>
      </c>
      <c r="I1545" s="2">
        <v>0.7</v>
      </c>
      <c r="J1545" s="2">
        <v>22</v>
      </c>
      <c r="K1545" s="2" t="s">
        <v>21</v>
      </c>
      <c r="L1545" s="2">
        <v>8.19</v>
      </c>
      <c r="M1545" s="2" t="s">
        <v>37</v>
      </c>
      <c r="N1545" s="2">
        <v>74.64</v>
      </c>
      <c r="O1545" s="2" t="s">
        <v>24</v>
      </c>
      <c r="P1545" s="2">
        <v>8.89</v>
      </c>
      <c r="Q1545" s="2">
        <v>13.22</v>
      </c>
      <c r="R1545" s="3">
        <f t="shared" si="120"/>
        <v>2748.788</v>
      </c>
      <c r="S1545" s="3">
        <f t="shared" si="121"/>
        <v>4087.6240000000003</v>
      </c>
      <c r="T1545" s="3">
        <f t="shared" si="122"/>
        <v>1338.8360000000002</v>
      </c>
      <c r="U1545" s="4">
        <f t="shared" si="123"/>
        <v>0.32753403933434194</v>
      </c>
      <c r="V1545" s="5">
        <f t="shared" si="124"/>
        <v>25.32348</v>
      </c>
    </row>
    <row r="1546" spans="1:22" x14ac:dyDescent="0.25">
      <c r="A1546" s="2" t="s">
        <v>1580</v>
      </c>
      <c r="B1546" s="2" t="s">
        <v>26</v>
      </c>
      <c r="C1546" s="2" t="s">
        <v>43</v>
      </c>
      <c r="D1546" s="2" t="s">
        <v>20</v>
      </c>
      <c r="E1546" s="2">
        <v>460.69</v>
      </c>
      <c r="F1546" s="2">
        <v>16.78</v>
      </c>
      <c r="G1546" s="2">
        <v>36.380000000000003</v>
      </c>
      <c r="H1546" s="2">
        <v>0</v>
      </c>
      <c r="I1546" s="2">
        <v>2.6</v>
      </c>
      <c r="J1546" s="2">
        <v>11</v>
      </c>
      <c r="K1546" s="2" t="s">
        <v>34</v>
      </c>
      <c r="L1546" s="2">
        <v>6.08</v>
      </c>
      <c r="M1546" s="2" t="s">
        <v>40</v>
      </c>
      <c r="N1546" s="2">
        <v>61.89</v>
      </c>
      <c r="O1546" s="2" t="s">
        <v>30</v>
      </c>
      <c r="P1546" s="2">
        <v>3.43</v>
      </c>
      <c r="Q1546" s="2">
        <v>8.09</v>
      </c>
      <c r="R1546" s="3">
        <f t="shared" si="120"/>
        <v>1580.1667</v>
      </c>
      <c r="S1546" s="3">
        <f t="shared" si="121"/>
        <v>3726.9820999999997</v>
      </c>
      <c r="T1546" s="3">
        <f t="shared" si="122"/>
        <v>2146.8153999999995</v>
      </c>
      <c r="U1546" s="4">
        <f t="shared" si="123"/>
        <v>0.57601977750309019</v>
      </c>
      <c r="V1546" s="5">
        <f t="shared" si="124"/>
        <v>28.009951999999998</v>
      </c>
    </row>
    <row r="1547" spans="1:22" x14ac:dyDescent="0.25">
      <c r="A1547" s="2" t="s">
        <v>1581</v>
      </c>
      <c r="B1547" s="2" t="s">
        <v>26</v>
      </c>
      <c r="C1547" s="2" t="s">
        <v>43</v>
      </c>
      <c r="D1547" s="2" t="s">
        <v>20</v>
      </c>
      <c r="E1547" s="2">
        <v>600.16</v>
      </c>
      <c r="F1547" s="2">
        <v>13.27</v>
      </c>
      <c r="G1547" s="2">
        <v>30.94</v>
      </c>
      <c r="H1547" s="2">
        <v>0.3</v>
      </c>
      <c r="I1547" s="2">
        <v>0.5</v>
      </c>
      <c r="J1547" s="2">
        <v>19</v>
      </c>
      <c r="K1547" s="2" t="s">
        <v>29</v>
      </c>
      <c r="L1547" s="2">
        <v>6.53</v>
      </c>
      <c r="M1547" s="2" t="s">
        <v>37</v>
      </c>
      <c r="N1547" s="2">
        <v>54.84</v>
      </c>
      <c r="O1547" s="2" t="s">
        <v>24</v>
      </c>
      <c r="P1547" s="2">
        <v>5.24</v>
      </c>
      <c r="Q1547" s="2">
        <v>13.91</v>
      </c>
      <c r="R1547" s="3">
        <f t="shared" si="120"/>
        <v>3144.8384000000001</v>
      </c>
      <c r="S1547" s="3">
        <f t="shared" si="121"/>
        <v>8348.2255999999998</v>
      </c>
      <c r="T1547" s="3">
        <f t="shared" si="122"/>
        <v>5203.3871999999992</v>
      </c>
      <c r="U1547" s="4">
        <f t="shared" si="123"/>
        <v>0.62329259525521197</v>
      </c>
      <c r="V1547" s="5">
        <f t="shared" si="124"/>
        <v>39.190448000000004</v>
      </c>
    </row>
    <row r="1548" spans="1:22" x14ac:dyDescent="0.25">
      <c r="A1548" s="2" t="s">
        <v>1582</v>
      </c>
      <c r="B1548" s="2" t="s">
        <v>26</v>
      </c>
      <c r="C1548" s="2" t="s">
        <v>43</v>
      </c>
      <c r="D1548" s="2" t="s">
        <v>20</v>
      </c>
      <c r="E1548" s="2">
        <v>639.35</v>
      </c>
      <c r="F1548" s="2">
        <v>17.3</v>
      </c>
      <c r="G1548" s="2">
        <v>20.82</v>
      </c>
      <c r="H1548" s="2">
        <v>2.1</v>
      </c>
      <c r="I1548" s="2">
        <v>6.8</v>
      </c>
      <c r="J1548" s="2">
        <v>8</v>
      </c>
      <c r="K1548" s="2" t="s">
        <v>29</v>
      </c>
      <c r="L1548" s="2">
        <v>5.43</v>
      </c>
      <c r="M1548" s="2" t="s">
        <v>22</v>
      </c>
      <c r="N1548" s="2">
        <v>90.07</v>
      </c>
      <c r="O1548" s="2" t="s">
        <v>24</v>
      </c>
      <c r="P1548" s="2">
        <v>4</v>
      </c>
      <c r="Q1548" s="2">
        <v>14.41</v>
      </c>
      <c r="R1548" s="3">
        <f t="shared" si="120"/>
        <v>2557.4</v>
      </c>
      <c r="S1548" s="3">
        <f t="shared" si="121"/>
        <v>9213.0334999999995</v>
      </c>
      <c r="T1548" s="3">
        <f t="shared" si="122"/>
        <v>6655.6334999999999</v>
      </c>
      <c r="U1548" s="4">
        <f t="shared" si="123"/>
        <v>0.72241498959056216</v>
      </c>
      <c r="V1548" s="5">
        <f t="shared" si="124"/>
        <v>34.716704999999997</v>
      </c>
    </row>
    <row r="1549" spans="1:22" x14ac:dyDescent="0.25">
      <c r="A1549" s="2" t="s">
        <v>1583</v>
      </c>
      <c r="B1549" s="2" t="s">
        <v>18</v>
      </c>
      <c r="C1549" s="2" t="s">
        <v>27</v>
      </c>
      <c r="D1549" s="2" t="s">
        <v>20</v>
      </c>
      <c r="E1549" s="2">
        <v>571.04999999999995</v>
      </c>
      <c r="F1549" s="2">
        <v>12.84</v>
      </c>
      <c r="G1549" s="2">
        <v>26.3</v>
      </c>
      <c r="H1549" s="2">
        <v>3.2</v>
      </c>
      <c r="I1549" s="2">
        <v>0.9</v>
      </c>
      <c r="J1549" s="2">
        <v>24</v>
      </c>
      <c r="K1549" s="2" t="s">
        <v>21</v>
      </c>
      <c r="L1549" s="2">
        <v>8.2899999999999991</v>
      </c>
      <c r="M1549" s="2" t="s">
        <v>37</v>
      </c>
      <c r="N1549" s="2">
        <v>76.989999999999995</v>
      </c>
      <c r="O1549" s="2" t="s">
        <v>30</v>
      </c>
      <c r="P1549" s="2">
        <v>9.64</v>
      </c>
      <c r="Q1549" s="2">
        <v>9.9600000000000009</v>
      </c>
      <c r="R1549" s="3">
        <f t="shared" si="120"/>
        <v>5504.9219999999996</v>
      </c>
      <c r="S1549" s="3">
        <f t="shared" si="121"/>
        <v>5687.6580000000004</v>
      </c>
      <c r="T1549" s="3">
        <f t="shared" si="122"/>
        <v>182.73600000000079</v>
      </c>
      <c r="U1549" s="4">
        <f t="shared" si="123"/>
        <v>3.2128514056225035E-2</v>
      </c>
      <c r="V1549" s="5">
        <f t="shared" si="124"/>
        <v>47.340044999999989</v>
      </c>
    </row>
    <row r="1550" spans="1:22" x14ac:dyDescent="0.25">
      <c r="A1550" s="2" t="s">
        <v>1584</v>
      </c>
      <c r="B1550" s="2" t="s">
        <v>32</v>
      </c>
      <c r="C1550" s="2" t="s">
        <v>43</v>
      </c>
      <c r="D1550" s="2" t="s">
        <v>20</v>
      </c>
      <c r="E1550" s="2">
        <v>542.92999999999995</v>
      </c>
      <c r="F1550" s="2">
        <v>12.9</v>
      </c>
      <c r="G1550" s="2">
        <v>31.51</v>
      </c>
      <c r="H1550" s="2">
        <v>8.9</v>
      </c>
      <c r="I1550" s="2">
        <v>0</v>
      </c>
      <c r="J1550" s="2">
        <v>1</v>
      </c>
      <c r="K1550" s="2" t="s">
        <v>34</v>
      </c>
      <c r="L1550" s="2">
        <v>8.86</v>
      </c>
      <c r="M1550" s="2" t="s">
        <v>37</v>
      </c>
      <c r="N1550" s="2">
        <v>57.84</v>
      </c>
      <c r="O1550" s="2" t="s">
        <v>24</v>
      </c>
      <c r="P1550" s="2">
        <v>9.9</v>
      </c>
      <c r="Q1550" s="2">
        <v>8.5500000000000007</v>
      </c>
      <c r="R1550" s="3">
        <f t="shared" si="120"/>
        <v>5375.0069999999996</v>
      </c>
      <c r="S1550" s="3">
        <f t="shared" si="121"/>
        <v>4642.0514999999996</v>
      </c>
      <c r="T1550" s="3">
        <f t="shared" si="122"/>
        <v>-732.95550000000003</v>
      </c>
      <c r="U1550" s="4">
        <f t="shared" si="123"/>
        <v>-0.15789473684210528</v>
      </c>
      <c r="V1550" s="5">
        <f t="shared" si="124"/>
        <v>48.103597999999991</v>
      </c>
    </row>
    <row r="1551" spans="1:22" x14ac:dyDescent="0.25">
      <c r="A1551" s="2" t="s">
        <v>1585</v>
      </c>
      <c r="B1551" s="2" t="s">
        <v>26</v>
      </c>
      <c r="C1551" s="2" t="s">
        <v>27</v>
      </c>
      <c r="D1551" s="2" t="s">
        <v>20</v>
      </c>
      <c r="E1551" s="2">
        <v>537.96</v>
      </c>
      <c r="F1551" s="2">
        <v>9.1999999999999993</v>
      </c>
      <c r="G1551" s="2">
        <v>39.01</v>
      </c>
      <c r="H1551" s="2">
        <v>0.9</v>
      </c>
      <c r="I1551" s="2">
        <v>0.9</v>
      </c>
      <c r="J1551" s="2">
        <v>3</v>
      </c>
      <c r="K1551" s="2" t="s">
        <v>34</v>
      </c>
      <c r="L1551" s="2">
        <v>8.57</v>
      </c>
      <c r="M1551" s="2" t="s">
        <v>22</v>
      </c>
      <c r="N1551" s="2">
        <v>73.569999999999993</v>
      </c>
      <c r="O1551" s="2" t="s">
        <v>30</v>
      </c>
      <c r="P1551" s="2">
        <v>4.6399999999999997</v>
      </c>
      <c r="Q1551" s="2">
        <v>9.14</v>
      </c>
      <c r="R1551" s="3">
        <f t="shared" si="120"/>
        <v>2496.1343999999999</v>
      </c>
      <c r="S1551" s="3">
        <f t="shared" si="121"/>
        <v>4916.9544000000005</v>
      </c>
      <c r="T1551" s="3">
        <f t="shared" si="122"/>
        <v>2420.8200000000006</v>
      </c>
      <c r="U1551" s="4">
        <f t="shared" si="123"/>
        <v>0.49234135667396067</v>
      </c>
      <c r="V1551" s="5">
        <f t="shared" si="124"/>
        <v>46.103172000000001</v>
      </c>
    </row>
    <row r="1552" spans="1:22" x14ac:dyDescent="0.25">
      <c r="A1552" s="2" t="s">
        <v>1586</v>
      </c>
      <c r="B1552" s="2" t="s">
        <v>32</v>
      </c>
      <c r="C1552" s="2" t="s">
        <v>43</v>
      </c>
      <c r="D1552" s="2" t="s">
        <v>28</v>
      </c>
      <c r="E1552" s="2">
        <v>444.39</v>
      </c>
      <c r="F1552" s="2">
        <v>16.03</v>
      </c>
      <c r="G1552" s="2">
        <v>37.18</v>
      </c>
      <c r="H1552" s="2">
        <v>1.8</v>
      </c>
      <c r="I1552" s="2">
        <v>0.3</v>
      </c>
      <c r="J1552" s="2">
        <v>5</v>
      </c>
      <c r="K1552" s="2" t="s">
        <v>21</v>
      </c>
      <c r="L1552" s="2">
        <v>8.2200000000000006</v>
      </c>
      <c r="M1552" s="2" t="s">
        <v>40</v>
      </c>
      <c r="N1552" s="2">
        <v>53.42</v>
      </c>
      <c r="O1552" s="2" t="s">
        <v>30</v>
      </c>
      <c r="P1552" s="2">
        <v>7.69</v>
      </c>
      <c r="Q1552" s="2">
        <v>8.34</v>
      </c>
      <c r="R1552" s="3">
        <f t="shared" si="120"/>
        <v>3417.3591000000001</v>
      </c>
      <c r="S1552" s="3">
        <f t="shared" si="121"/>
        <v>3706.2125999999998</v>
      </c>
      <c r="T1552" s="3">
        <f t="shared" si="122"/>
        <v>288.85349999999971</v>
      </c>
      <c r="U1552" s="4">
        <f t="shared" si="123"/>
        <v>7.7937649880095855E-2</v>
      </c>
      <c r="V1552" s="5">
        <f t="shared" si="124"/>
        <v>36.528858</v>
      </c>
    </row>
    <row r="1553" spans="1:22" x14ac:dyDescent="0.25">
      <c r="A1553" s="2" t="s">
        <v>1587</v>
      </c>
      <c r="B1553" s="2" t="s">
        <v>32</v>
      </c>
      <c r="C1553" s="2" t="s">
        <v>43</v>
      </c>
      <c r="D1553" s="2" t="s">
        <v>28</v>
      </c>
      <c r="E1553" s="2">
        <v>486.99</v>
      </c>
      <c r="F1553" s="2">
        <v>10.47</v>
      </c>
      <c r="G1553" s="2">
        <v>24.57</v>
      </c>
      <c r="H1553" s="2">
        <v>5.5</v>
      </c>
      <c r="I1553" s="2">
        <v>0</v>
      </c>
      <c r="J1553" s="2">
        <v>18</v>
      </c>
      <c r="K1553" s="2" t="s">
        <v>34</v>
      </c>
      <c r="L1553" s="2">
        <v>2.2400000000000002</v>
      </c>
      <c r="M1553" s="2" t="s">
        <v>37</v>
      </c>
      <c r="N1553" s="2">
        <v>79.02</v>
      </c>
      <c r="O1553" s="2" t="s">
        <v>30</v>
      </c>
      <c r="P1553" s="2">
        <v>8.89</v>
      </c>
      <c r="Q1553" s="2">
        <v>7.12</v>
      </c>
      <c r="R1553" s="3">
        <f t="shared" si="120"/>
        <v>4329.3411000000006</v>
      </c>
      <c r="S1553" s="3">
        <f t="shared" si="121"/>
        <v>3467.3688000000002</v>
      </c>
      <c r="T1553" s="3">
        <f t="shared" si="122"/>
        <v>-861.97230000000036</v>
      </c>
      <c r="U1553" s="4">
        <f t="shared" si="123"/>
        <v>-0.24859550561797761</v>
      </c>
      <c r="V1553" s="5">
        <f t="shared" si="124"/>
        <v>10.908576</v>
      </c>
    </row>
    <row r="1554" spans="1:22" x14ac:dyDescent="0.25">
      <c r="A1554" s="2" t="s">
        <v>1588</v>
      </c>
      <c r="B1554" s="2" t="s">
        <v>18</v>
      </c>
      <c r="C1554" s="2" t="s">
        <v>43</v>
      </c>
      <c r="D1554" s="2" t="s">
        <v>20</v>
      </c>
      <c r="E1554" s="2">
        <v>666.91</v>
      </c>
      <c r="F1554" s="2">
        <v>17</v>
      </c>
      <c r="G1554" s="2">
        <v>24.4</v>
      </c>
      <c r="H1554" s="2">
        <v>0.4</v>
      </c>
      <c r="I1554" s="2">
        <v>1.7</v>
      </c>
      <c r="J1554" s="2">
        <v>12</v>
      </c>
      <c r="K1554" s="2" t="s">
        <v>34</v>
      </c>
      <c r="L1554" s="2">
        <v>6.14</v>
      </c>
      <c r="M1554" s="2" t="s">
        <v>37</v>
      </c>
      <c r="N1554" s="2">
        <v>67.02</v>
      </c>
      <c r="O1554" s="2" t="s">
        <v>24</v>
      </c>
      <c r="P1554" s="2">
        <v>4.6399999999999997</v>
      </c>
      <c r="Q1554" s="2">
        <v>11.18</v>
      </c>
      <c r="R1554" s="3">
        <f t="shared" si="120"/>
        <v>3094.4623999999994</v>
      </c>
      <c r="S1554" s="3">
        <f t="shared" si="121"/>
        <v>7456.0537999999997</v>
      </c>
      <c r="T1554" s="3">
        <f t="shared" si="122"/>
        <v>4361.5914000000002</v>
      </c>
      <c r="U1554" s="4">
        <f t="shared" si="123"/>
        <v>0.58497316636851526</v>
      </c>
      <c r="V1554" s="5">
        <f t="shared" si="124"/>
        <v>40.948273999999998</v>
      </c>
    </row>
    <row r="1555" spans="1:22" x14ac:dyDescent="0.25">
      <c r="A1555" s="2" t="s">
        <v>1589</v>
      </c>
      <c r="B1555" s="2" t="s">
        <v>26</v>
      </c>
      <c r="C1555" s="2" t="s">
        <v>33</v>
      </c>
      <c r="D1555" s="2" t="s">
        <v>28</v>
      </c>
      <c r="E1555" s="2">
        <v>405.74</v>
      </c>
      <c r="F1555" s="2">
        <v>17.11</v>
      </c>
      <c r="G1555" s="2">
        <v>24.02</v>
      </c>
      <c r="H1555" s="2">
        <v>2.5</v>
      </c>
      <c r="I1555" s="2">
        <v>0.3</v>
      </c>
      <c r="J1555" s="2">
        <v>12</v>
      </c>
      <c r="K1555" s="2" t="s">
        <v>34</v>
      </c>
      <c r="L1555" s="2">
        <v>6.03</v>
      </c>
      <c r="M1555" s="2" t="s">
        <v>22</v>
      </c>
      <c r="N1555" s="2">
        <v>55.18</v>
      </c>
      <c r="O1555" s="2" t="s">
        <v>24</v>
      </c>
      <c r="P1555" s="2">
        <v>4.3099999999999996</v>
      </c>
      <c r="Q1555" s="2">
        <v>10.63</v>
      </c>
      <c r="R1555" s="3">
        <f t="shared" si="120"/>
        <v>1748.7393999999999</v>
      </c>
      <c r="S1555" s="3">
        <f t="shared" si="121"/>
        <v>4313.0162</v>
      </c>
      <c r="T1555" s="3">
        <f t="shared" si="122"/>
        <v>2564.2768000000001</v>
      </c>
      <c r="U1555" s="4">
        <f t="shared" si="123"/>
        <v>0.59454374412041389</v>
      </c>
      <c r="V1555" s="5">
        <f t="shared" si="124"/>
        <v>24.466121999999999</v>
      </c>
    </row>
    <row r="1556" spans="1:22" x14ac:dyDescent="0.25">
      <c r="A1556" s="2" t="s">
        <v>1590</v>
      </c>
      <c r="B1556" s="2" t="s">
        <v>26</v>
      </c>
      <c r="C1556" s="2" t="s">
        <v>27</v>
      </c>
      <c r="D1556" s="2" t="s">
        <v>20</v>
      </c>
      <c r="E1556" s="2">
        <v>661.48</v>
      </c>
      <c r="F1556" s="2">
        <v>17.43</v>
      </c>
      <c r="G1556" s="2">
        <v>38.450000000000003</v>
      </c>
      <c r="H1556" s="2">
        <v>2.8</v>
      </c>
      <c r="I1556" s="2">
        <v>1.6</v>
      </c>
      <c r="J1556" s="2">
        <v>21</v>
      </c>
      <c r="K1556" s="2" t="s">
        <v>21</v>
      </c>
      <c r="L1556" s="2">
        <v>5.52</v>
      </c>
      <c r="M1556" s="2" t="s">
        <v>40</v>
      </c>
      <c r="N1556" s="2">
        <v>59.18</v>
      </c>
      <c r="O1556" s="2" t="s">
        <v>23</v>
      </c>
      <c r="P1556" s="2">
        <v>3.08</v>
      </c>
      <c r="Q1556" s="2">
        <v>9.6300000000000008</v>
      </c>
      <c r="R1556" s="3">
        <f t="shared" si="120"/>
        <v>2037.3584000000001</v>
      </c>
      <c r="S1556" s="3">
        <f t="shared" si="121"/>
        <v>6370.0524000000005</v>
      </c>
      <c r="T1556" s="3">
        <f t="shared" si="122"/>
        <v>4332.6940000000004</v>
      </c>
      <c r="U1556" s="4">
        <f t="shared" si="123"/>
        <v>0.68016614745586712</v>
      </c>
      <c r="V1556" s="5">
        <f t="shared" si="124"/>
        <v>36.513696000000003</v>
      </c>
    </row>
    <row r="1557" spans="1:22" x14ac:dyDescent="0.25">
      <c r="A1557" s="2" t="s">
        <v>1591</v>
      </c>
      <c r="B1557" s="2" t="s">
        <v>32</v>
      </c>
      <c r="C1557" s="2" t="s">
        <v>27</v>
      </c>
      <c r="D1557" s="2" t="s">
        <v>20</v>
      </c>
      <c r="E1557" s="2">
        <v>467.8</v>
      </c>
      <c r="F1557" s="2">
        <v>13.2</v>
      </c>
      <c r="G1557" s="2">
        <v>37.049999999999997</v>
      </c>
      <c r="H1557" s="2">
        <v>0.2</v>
      </c>
      <c r="I1557" s="2">
        <v>0.3</v>
      </c>
      <c r="J1557" s="2">
        <v>27</v>
      </c>
      <c r="K1557" s="2" t="s">
        <v>21</v>
      </c>
      <c r="L1557" s="2">
        <v>5.07</v>
      </c>
      <c r="M1557" s="2" t="s">
        <v>22</v>
      </c>
      <c r="N1557" s="2">
        <v>67.290000000000006</v>
      </c>
      <c r="O1557" s="2" t="s">
        <v>30</v>
      </c>
      <c r="P1557" s="2">
        <v>5.88</v>
      </c>
      <c r="Q1557" s="2">
        <v>5.96</v>
      </c>
      <c r="R1557" s="3">
        <f t="shared" si="120"/>
        <v>2750.6640000000002</v>
      </c>
      <c r="S1557" s="3">
        <f t="shared" si="121"/>
        <v>2788.0880000000002</v>
      </c>
      <c r="T1557" s="3">
        <f t="shared" si="122"/>
        <v>37.423999999999978</v>
      </c>
      <c r="U1557" s="4">
        <f t="shared" si="123"/>
        <v>1.34228187919463E-2</v>
      </c>
      <c r="V1557" s="5">
        <f t="shared" si="124"/>
        <v>23.717460000000003</v>
      </c>
    </row>
    <row r="1558" spans="1:22" x14ac:dyDescent="0.25">
      <c r="A1558" s="2" t="s">
        <v>1592</v>
      </c>
      <c r="B1558" s="2" t="s">
        <v>45</v>
      </c>
      <c r="C1558" s="2" t="s">
        <v>43</v>
      </c>
      <c r="D1558" s="2" t="s">
        <v>28</v>
      </c>
      <c r="E1558" s="2">
        <v>632.54</v>
      </c>
      <c r="F1558" s="2">
        <v>14.77</v>
      </c>
      <c r="G1558" s="2">
        <v>35.5</v>
      </c>
      <c r="H1558" s="2">
        <v>4</v>
      </c>
      <c r="I1558" s="2">
        <v>0.2</v>
      </c>
      <c r="J1558" s="2">
        <v>26</v>
      </c>
      <c r="K1558" s="2" t="s">
        <v>21</v>
      </c>
      <c r="L1558" s="2">
        <v>1.35</v>
      </c>
      <c r="M1558" s="2" t="s">
        <v>22</v>
      </c>
      <c r="N1558" s="2">
        <v>90.32</v>
      </c>
      <c r="O1558" s="2" t="s">
        <v>30</v>
      </c>
      <c r="P1558" s="2">
        <v>9.3000000000000007</v>
      </c>
      <c r="Q1558" s="2">
        <v>12.97</v>
      </c>
      <c r="R1558" s="3">
        <f t="shared" si="120"/>
        <v>5882.6220000000003</v>
      </c>
      <c r="S1558" s="3">
        <f t="shared" si="121"/>
        <v>8204.0437999999995</v>
      </c>
      <c r="T1558" s="3">
        <f t="shared" si="122"/>
        <v>2321.4217999999992</v>
      </c>
      <c r="U1558" s="4">
        <f t="shared" si="123"/>
        <v>0.28296067848882028</v>
      </c>
      <c r="V1558" s="5">
        <f t="shared" si="124"/>
        <v>8.5392899999999994</v>
      </c>
    </row>
    <row r="1559" spans="1:22" x14ac:dyDescent="0.25">
      <c r="A1559" s="2" t="s">
        <v>1593</v>
      </c>
      <c r="B1559" s="2" t="s">
        <v>18</v>
      </c>
      <c r="C1559" s="2" t="s">
        <v>43</v>
      </c>
      <c r="D1559" s="2" t="s">
        <v>20</v>
      </c>
      <c r="E1559" s="2">
        <v>359.32</v>
      </c>
      <c r="F1559" s="2">
        <v>15.79</v>
      </c>
      <c r="G1559" s="2">
        <v>27.85</v>
      </c>
      <c r="H1559" s="2">
        <v>3.4</v>
      </c>
      <c r="I1559" s="2">
        <v>3.6</v>
      </c>
      <c r="J1559" s="2">
        <v>19</v>
      </c>
      <c r="K1559" s="2" t="s">
        <v>29</v>
      </c>
      <c r="L1559" s="2">
        <v>1.47</v>
      </c>
      <c r="M1559" s="2" t="s">
        <v>37</v>
      </c>
      <c r="N1559" s="2">
        <v>58.69</v>
      </c>
      <c r="O1559" s="2" t="s">
        <v>30</v>
      </c>
      <c r="P1559" s="2">
        <v>9.32</v>
      </c>
      <c r="Q1559" s="2">
        <v>6.75</v>
      </c>
      <c r="R1559" s="3">
        <f t="shared" si="120"/>
        <v>3348.8624</v>
      </c>
      <c r="S1559" s="3">
        <f t="shared" si="121"/>
        <v>2425.41</v>
      </c>
      <c r="T1559" s="3">
        <f t="shared" si="122"/>
        <v>-923.45240000000013</v>
      </c>
      <c r="U1559" s="4">
        <f t="shared" si="123"/>
        <v>-0.38074074074074082</v>
      </c>
      <c r="V1559" s="5">
        <f t="shared" si="124"/>
        <v>5.2820039999999997</v>
      </c>
    </row>
    <row r="1560" spans="1:22" x14ac:dyDescent="0.25">
      <c r="A1560" s="2" t="s">
        <v>1594</v>
      </c>
      <c r="B1560" s="2" t="s">
        <v>18</v>
      </c>
      <c r="C1560" s="2" t="s">
        <v>33</v>
      </c>
      <c r="D1560" s="2" t="s">
        <v>20</v>
      </c>
      <c r="E1560" s="2">
        <v>558.59</v>
      </c>
      <c r="F1560" s="2">
        <v>9.31</v>
      </c>
      <c r="G1560" s="2">
        <v>30.09</v>
      </c>
      <c r="H1560" s="2">
        <v>0.1</v>
      </c>
      <c r="I1560" s="2">
        <v>0.4</v>
      </c>
      <c r="J1560" s="2">
        <v>9</v>
      </c>
      <c r="K1560" s="2" t="s">
        <v>29</v>
      </c>
      <c r="L1560" s="2">
        <v>9.07</v>
      </c>
      <c r="M1560" s="2" t="s">
        <v>40</v>
      </c>
      <c r="N1560" s="2">
        <v>55.48</v>
      </c>
      <c r="O1560" s="2" t="s">
        <v>30</v>
      </c>
      <c r="P1560" s="2">
        <v>3.89</v>
      </c>
      <c r="Q1560" s="2">
        <v>6.15</v>
      </c>
      <c r="R1560" s="3">
        <f t="shared" si="120"/>
        <v>2172.9151000000002</v>
      </c>
      <c r="S1560" s="3">
        <f t="shared" si="121"/>
        <v>3435.3285000000005</v>
      </c>
      <c r="T1560" s="3">
        <f t="shared" si="122"/>
        <v>1262.4134000000004</v>
      </c>
      <c r="U1560" s="4">
        <f t="shared" si="123"/>
        <v>0.36747967479674803</v>
      </c>
      <c r="V1560" s="5">
        <f t="shared" si="124"/>
        <v>50.664113000000008</v>
      </c>
    </row>
    <row r="1561" spans="1:22" x14ac:dyDescent="0.25">
      <c r="A1561" s="2" t="s">
        <v>1595</v>
      </c>
      <c r="B1561" s="2" t="s">
        <v>18</v>
      </c>
      <c r="C1561" s="2" t="s">
        <v>33</v>
      </c>
      <c r="D1561" s="2" t="s">
        <v>28</v>
      </c>
      <c r="E1561" s="2">
        <v>426.32</v>
      </c>
      <c r="F1561" s="2">
        <v>14.01</v>
      </c>
      <c r="G1561" s="2">
        <v>29.29</v>
      </c>
      <c r="H1561" s="2">
        <v>0.2</v>
      </c>
      <c r="I1561" s="2">
        <v>0.9</v>
      </c>
      <c r="J1561" s="2">
        <v>11</v>
      </c>
      <c r="K1561" s="2" t="s">
        <v>21</v>
      </c>
      <c r="L1561" s="2">
        <v>6.49</v>
      </c>
      <c r="M1561" s="2" t="s">
        <v>22</v>
      </c>
      <c r="N1561" s="2">
        <v>75.8</v>
      </c>
      <c r="O1561" s="2" t="s">
        <v>30</v>
      </c>
      <c r="P1561" s="2">
        <v>4.43</v>
      </c>
      <c r="Q1561" s="2">
        <v>11.23</v>
      </c>
      <c r="R1561" s="3">
        <f t="shared" si="120"/>
        <v>1888.5975999999998</v>
      </c>
      <c r="S1561" s="3">
        <f t="shared" si="121"/>
        <v>4787.5735999999997</v>
      </c>
      <c r="T1561" s="3">
        <f t="shared" si="122"/>
        <v>2898.9759999999997</v>
      </c>
      <c r="U1561" s="4">
        <f t="shared" si="123"/>
        <v>0.60552092609082808</v>
      </c>
      <c r="V1561" s="5">
        <f t="shared" si="124"/>
        <v>27.668168000000001</v>
      </c>
    </row>
    <row r="1562" spans="1:22" x14ac:dyDescent="0.25">
      <c r="A1562" s="2" t="s">
        <v>1596</v>
      </c>
      <c r="B1562" s="2" t="s">
        <v>18</v>
      </c>
      <c r="C1562" s="2" t="s">
        <v>33</v>
      </c>
      <c r="D1562" s="2" t="s">
        <v>28</v>
      </c>
      <c r="E1562" s="2">
        <v>358.47</v>
      </c>
      <c r="F1562" s="2">
        <v>8.34</v>
      </c>
      <c r="G1562" s="2">
        <v>25.07</v>
      </c>
      <c r="H1562" s="2">
        <v>0.1</v>
      </c>
      <c r="I1562" s="2">
        <v>0.9</v>
      </c>
      <c r="J1562" s="2">
        <v>17</v>
      </c>
      <c r="K1562" s="2" t="s">
        <v>34</v>
      </c>
      <c r="L1562" s="2">
        <v>2.99</v>
      </c>
      <c r="M1562" s="2" t="s">
        <v>37</v>
      </c>
      <c r="N1562" s="2">
        <v>77.930000000000007</v>
      </c>
      <c r="O1562" s="2" t="s">
        <v>30</v>
      </c>
      <c r="P1562" s="2">
        <v>5.86</v>
      </c>
      <c r="Q1562" s="2">
        <v>8.99</v>
      </c>
      <c r="R1562" s="3">
        <f t="shared" si="120"/>
        <v>2100.6342000000004</v>
      </c>
      <c r="S1562" s="3">
        <f t="shared" si="121"/>
        <v>3222.6453000000001</v>
      </c>
      <c r="T1562" s="3">
        <f t="shared" si="122"/>
        <v>1122.0110999999997</v>
      </c>
      <c r="U1562" s="4">
        <f t="shared" si="123"/>
        <v>0.34816462736373738</v>
      </c>
      <c r="V1562" s="5">
        <f t="shared" si="124"/>
        <v>10.718253000000002</v>
      </c>
    </row>
    <row r="1563" spans="1:22" x14ac:dyDescent="0.25">
      <c r="A1563" s="2" t="s">
        <v>1597</v>
      </c>
      <c r="B1563" s="2" t="s">
        <v>26</v>
      </c>
      <c r="C1563" s="2" t="s">
        <v>27</v>
      </c>
      <c r="D1563" s="2" t="s">
        <v>20</v>
      </c>
      <c r="E1563" s="2">
        <v>521.85</v>
      </c>
      <c r="F1563" s="2">
        <v>12.98</v>
      </c>
      <c r="G1563" s="2">
        <v>30.1</v>
      </c>
      <c r="H1563" s="2">
        <v>0.8</v>
      </c>
      <c r="I1563" s="2">
        <v>0.8</v>
      </c>
      <c r="J1563" s="2">
        <v>16</v>
      </c>
      <c r="K1563" s="2" t="s">
        <v>34</v>
      </c>
      <c r="L1563" s="2">
        <v>3.15</v>
      </c>
      <c r="M1563" s="2" t="s">
        <v>22</v>
      </c>
      <c r="N1563" s="2">
        <v>54.51</v>
      </c>
      <c r="O1563" s="2" t="s">
        <v>30</v>
      </c>
      <c r="P1563" s="2">
        <v>8.4600000000000009</v>
      </c>
      <c r="Q1563" s="2">
        <v>5.6</v>
      </c>
      <c r="R1563" s="3">
        <f t="shared" si="120"/>
        <v>4414.8510000000006</v>
      </c>
      <c r="S1563" s="3">
        <f t="shared" si="121"/>
        <v>2922.36</v>
      </c>
      <c r="T1563" s="3">
        <f t="shared" si="122"/>
        <v>-1492.4910000000004</v>
      </c>
      <c r="U1563" s="4">
        <f t="shared" si="123"/>
        <v>-0.51071428571428579</v>
      </c>
      <c r="V1563" s="5">
        <f t="shared" si="124"/>
        <v>16.438275000000001</v>
      </c>
    </row>
    <row r="1564" spans="1:22" x14ac:dyDescent="0.25">
      <c r="A1564" s="2" t="s">
        <v>1598</v>
      </c>
      <c r="B1564" s="2" t="s">
        <v>26</v>
      </c>
      <c r="C1564" s="2" t="s">
        <v>27</v>
      </c>
      <c r="D1564" s="2" t="s">
        <v>28</v>
      </c>
      <c r="E1564" s="2">
        <v>600.95000000000005</v>
      </c>
      <c r="F1564" s="2">
        <v>9.5500000000000007</v>
      </c>
      <c r="G1564" s="2">
        <v>20.61</v>
      </c>
      <c r="H1564" s="2">
        <v>1.4</v>
      </c>
      <c r="I1564" s="2">
        <v>2.5</v>
      </c>
      <c r="J1564" s="2">
        <v>4</v>
      </c>
      <c r="K1564" s="2" t="s">
        <v>21</v>
      </c>
      <c r="L1564" s="2">
        <v>6.3</v>
      </c>
      <c r="M1564" s="2" t="s">
        <v>37</v>
      </c>
      <c r="N1564" s="2">
        <v>64.22</v>
      </c>
      <c r="O1564" s="2" t="s">
        <v>23</v>
      </c>
      <c r="P1564" s="2">
        <v>7.28</v>
      </c>
      <c r="Q1564" s="2">
        <v>8.56</v>
      </c>
      <c r="R1564" s="3">
        <f t="shared" si="120"/>
        <v>4374.9160000000002</v>
      </c>
      <c r="S1564" s="3">
        <f t="shared" si="121"/>
        <v>5144.1320000000005</v>
      </c>
      <c r="T1564" s="3">
        <f t="shared" si="122"/>
        <v>769.21600000000035</v>
      </c>
      <c r="U1564" s="4">
        <f t="shared" si="123"/>
        <v>0.14953271028037388</v>
      </c>
      <c r="V1564" s="5">
        <f t="shared" si="124"/>
        <v>37.859850000000002</v>
      </c>
    </row>
    <row r="1565" spans="1:22" x14ac:dyDescent="0.25">
      <c r="A1565" s="2" t="s">
        <v>1599</v>
      </c>
      <c r="B1565" s="2" t="s">
        <v>45</v>
      </c>
      <c r="C1565" s="2" t="s">
        <v>27</v>
      </c>
      <c r="D1565" s="2" t="s">
        <v>28</v>
      </c>
      <c r="E1565" s="2">
        <v>415.51</v>
      </c>
      <c r="F1565" s="2">
        <v>9.83</v>
      </c>
      <c r="G1565" s="2">
        <v>22.64</v>
      </c>
      <c r="H1565" s="2">
        <v>1.5</v>
      </c>
      <c r="I1565" s="2">
        <v>1.1000000000000001</v>
      </c>
      <c r="J1565" s="2">
        <v>10</v>
      </c>
      <c r="K1565" s="2" t="s">
        <v>34</v>
      </c>
      <c r="L1565" s="2">
        <v>4.37</v>
      </c>
      <c r="M1565" s="2" t="s">
        <v>40</v>
      </c>
      <c r="N1565" s="2">
        <v>63.14</v>
      </c>
      <c r="O1565" s="2" t="s">
        <v>23</v>
      </c>
      <c r="P1565" s="2">
        <v>6.6</v>
      </c>
      <c r="Q1565" s="2">
        <v>12.72</v>
      </c>
      <c r="R1565" s="3">
        <f t="shared" si="120"/>
        <v>2742.366</v>
      </c>
      <c r="S1565" s="3">
        <f t="shared" si="121"/>
        <v>5285.2871999999998</v>
      </c>
      <c r="T1565" s="3">
        <f t="shared" si="122"/>
        <v>2542.9211999999998</v>
      </c>
      <c r="U1565" s="4">
        <f t="shared" si="123"/>
        <v>0.48113207547169812</v>
      </c>
      <c r="V1565" s="5">
        <f t="shared" si="124"/>
        <v>18.157786999999999</v>
      </c>
    </row>
    <row r="1566" spans="1:22" x14ac:dyDescent="0.25">
      <c r="A1566" s="2" t="s">
        <v>1600</v>
      </c>
      <c r="B1566" s="2" t="s">
        <v>18</v>
      </c>
      <c r="C1566" s="2" t="s">
        <v>43</v>
      </c>
      <c r="D1566" s="2" t="s">
        <v>20</v>
      </c>
      <c r="E1566" s="2">
        <v>350.1</v>
      </c>
      <c r="F1566" s="2">
        <v>11.65</v>
      </c>
      <c r="G1566" s="2">
        <v>37.729999999999997</v>
      </c>
      <c r="H1566" s="2">
        <v>0.6</v>
      </c>
      <c r="I1566" s="2">
        <v>0.5</v>
      </c>
      <c r="J1566" s="2">
        <v>22</v>
      </c>
      <c r="K1566" s="2" t="s">
        <v>34</v>
      </c>
      <c r="L1566" s="2">
        <v>4.6900000000000004</v>
      </c>
      <c r="M1566" s="2" t="s">
        <v>22</v>
      </c>
      <c r="N1566" s="2">
        <v>59.31</v>
      </c>
      <c r="O1566" s="2" t="s">
        <v>30</v>
      </c>
      <c r="P1566" s="2">
        <v>7.14</v>
      </c>
      <c r="Q1566" s="2">
        <v>11.15</v>
      </c>
      <c r="R1566" s="3">
        <f t="shared" si="120"/>
        <v>2499.7139999999999</v>
      </c>
      <c r="S1566" s="3">
        <f t="shared" si="121"/>
        <v>3903.6150000000002</v>
      </c>
      <c r="T1566" s="3">
        <f t="shared" si="122"/>
        <v>1403.9010000000003</v>
      </c>
      <c r="U1566" s="4">
        <f t="shared" si="123"/>
        <v>0.35964125560538124</v>
      </c>
      <c r="V1566" s="5">
        <f t="shared" si="124"/>
        <v>16.419690000000003</v>
      </c>
    </row>
    <row r="1567" spans="1:22" x14ac:dyDescent="0.25">
      <c r="A1567" s="2" t="s">
        <v>1601</v>
      </c>
      <c r="B1567" s="2" t="s">
        <v>18</v>
      </c>
      <c r="C1567" s="2" t="s">
        <v>27</v>
      </c>
      <c r="D1567" s="2" t="s">
        <v>28</v>
      </c>
      <c r="E1567" s="2">
        <v>490.82</v>
      </c>
      <c r="F1567" s="2">
        <v>12.32</v>
      </c>
      <c r="G1567" s="2">
        <v>35.03</v>
      </c>
      <c r="H1567" s="2">
        <v>4.9000000000000004</v>
      </c>
      <c r="I1567" s="2">
        <v>2</v>
      </c>
      <c r="J1567" s="2">
        <v>15</v>
      </c>
      <c r="K1567" s="2" t="s">
        <v>29</v>
      </c>
      <c r="L1567" s="2">
        <v>1.08</v>
      </c>
      <c r="M1567" s="2" t="s">
        <v>40</v>
      </c>
      <c r="N1567" s="2">
        <v>65.78</v>
      </c>
      <c r="O1567" s="2" t="s">
        <v>30</v>
      </c>
      <c r="P1567" s="2">
        <v>3.67</v>
      </c>
      <c r="Q1567" s="2">
        <v>8.6300000000000008</v>
      </c>
      <c r="R1567" s="3">
        <f t="shared" si="120"/>
        <v>1801.3093999999999</v>
      </c>
      <c r="S1567" s="3">
        <f t="shared" si="121"/>
        <v>4235.7766000000001</v>
      </c>
      <c r="T1567" s="3">
        <f t="shared" si="122"/>
        <v>2434.4672</v>
      </c>
      <c r="U1567" s="4">
        <f t="shared" si="123"/>
        <v>0.57473928157589804</v>
      </c>
      <c r="V1567" s="5">
        <f t="shared" si="124"/>
        <v>5.3008559999999996</v>
      </c>
    </row>
    <row r="1568" spans="1:22" x14ac:dyDescent="0.25">
      <c r="A1568" s="2" t="s">
        <v>1602</v>
      </c>
      <c r="B1568" s="2" t="s">
        <v>32</v>
      </c>
      <c r="C1568" s="2" t="s">
        <v>19</v>
      </c>
      <c r="D1568" s="2" t="s">
        <v>28</v>
      </c>
      <c r="E1568" s="2">
        <v>491.26</v>
      </c>
      <c r="F1568" s="2">
        <v>14.23</v>
      </c>
      <c r="G1568" s="2">
        <v>28.46</v>
      </c>
      <c r="H1568" s="2">
        <v>0.9</v>
      </c>
      <c r="I1568" s="2">
        <v>0.2</v>
      </c>
      <c r="J1568" s="2">
        <v>25</v>
      </c>
      <c r="K1568" s="2" t="s">
        <v>34</v>
      </c>
      <c r="L1568" s="2">
        <v>1.82</v>
      </c>
      <c r="M1568" s="2" t="s">
        <v>40</v>
      </c>
      <c r="N1568" s="2">
        <v>51.86</v>
      </c>
      <c r="O1568" s="2" t="s">
        <v>23</v>
      </c>
      <c r="P1568" s="2">
        <v>6.34</v>
      </c>
      <c r="Q1568" s="2">
        <v>6.92</v>
      </c>
      <c r="R1568" s="3">
        <f t="shared" si="120"/>
        <v>3114.5884000000001</v>
      </c>
      <c r="S1568" s="3">
        <f t="shared" si="121"/>
        <v>3399.5191999999997</v>
      </c>
      <c r="T1568" s="3">
        <f t="shared" si="122"/>
        <v>284.93079999999964</v>
      </c>
      <c r="U1568" s="4">
        <f t="shared" si="123"/>
        <v>8.3815028901734007E-2</v>
      </c>
      <c r="V1568" s="5">
        <f t="shared" si="124"/>
        <v>8.9409320000000001</v>
      </c>
    </row>
    <row r="1569" spans="1:22" x14ac:dyDescent="0.25">
      <c r="A1569" s="2" t="s">
        <v>1603</v>
      </c>
      <c r="B1569" s="2" t="s">
        <v>26</v>
      </c>
      <c r="C1569" s="2" t="s">
        <v>19</v>
      </c>
      <c r="D1569" s="2" t="s">
        <v>20</v>
      </c>
      <c r="E1569" s="2">
        <v>554.83000000000004</v>
      </c>
      <c r="F1569" s="2">
        <v>8.74</v>
      </c>
      <c r="G1569" s="2">
        <v>30.34</v>
      </c>
      <c r="H1569" s="2">
        <v>0.1</v>
      </c>
      <c r="I1569" s="2">
        <v>0.8</v>
      </c>
      <c r="J1569" s="2">
        <v>19</v>
      </c>
      <c r="K1569" s="2" t="s">
        <v>34</v>
      </c>
      <c r="L1569" s="2">
        <v>4.24</v>
      </c>
      <c r="M1569" s="2" t="s">
        <v>37</v>
      </c>
      <c r="N1569" s="2">
        <v>82.58</v>
      </c>
      <c r="O1569" s="2" t="s">
        <v>23</v>
      </c>
      <c r="P1569" s="2">
        <v>9.94</v>
      </c>
      <c r="Q1569" s="2">
        <v>11.32</v>
      </c>
      <c r="R1569" s="3">
        <f t="shared" si="120"/>
        <v>5515.0101999999997</v>
      </c>
      <c r="S1569" s="3">
        <f t="shared" si="121"/>
        <v>6280.6756000000005</v>
      </c>
      <c r="T1569" s="3">
        <f t="shared" si="122"/>
        <v>765.66540000000077</v>
      </c>
      <c r="U1569" s="4">
        <f t="shared" si="123"/>
        <v>0.12190812720848068</v>
      </c>
      <c r="V1569" s="5">
        <f t="shared" si="124"/>
        <v>23.524792000000001</v>
      </c>
    </row>
    <row r="1570" spans="1:22" x14ac:dyDescent="0.25">
      <c r="A1570" s="2" t="s">
        <v>1604</v>
      </c>
      <c r="B1570" s="2" t="s">
        <v>18</v>
      </c>
      <c r="C1570" s="2" t="s">
        <v>33</v>
      </c>
      <c r="D1570" s="2" t="s">
        <v>28</v>
      </c>
      <c r="E1570" s="2">
        <v>594.96</v>
      </c>
      <c r="F1570" s="2">
        <v>13.04</v>
      </c>
      <c r="G1570" s="2">
        <v>27.4</v>
      </c>
      <c r="H1570" s="2">
        <v>0.7</v>
      </c>
      <c r="I1570" s="2">
        <v>3</v>
      </c>
      <c r="J1570" s="2">
        <v>3</v>
      </c>
      <c r="K1570" s="2" t="s">
        <v>21</v>
      </c>
      <c r="L1570" s="2">
        <v>7.15</v>
      </c>
      <c r="M1570" s="2" t="s">
        <v>22</v>
      </c>
      <c r="N1570" s="2">
        <v>99.42</v>
      </c>
      <c r="O1570" s="2" t="s">
        <v>30</v>
      </c>
      <c r="P1570" s="2">
        <v>3.62</v>
      </c>
      <c r="Q1570" s="2">
        <v>13.88</v>
      </c>
      <c r="R1570" s="3">
        <f t="shared" si="120"/>
        <v>2153.7552000000001</v>
      </c>
      <c r="S1570" s="3">
        <f t="shared" si="121"/>
        <v>8258.0448000000015</v>
      </c>
      <c r="T1570" s="3">
        <f t="shared" si="122"/>
        <v>6104.2896000000019</v>
      </c>
      <c r="U1570" s="4">
        <f t="shared" si="123"/>
        <v>0.73919308357348712</v>
      </c>
      <c r="V1570" s="5">
        <f t="shared" si="124"/>
        <v>42.539640000000006</v>
      </c>
    </row>
    <row r="1571" spans="1:22" x14ac:dyDescent="0.25">
      <c r="A1571" s="2" t="s">
        <v>1605</v>
      </c>
      <c r="B1571" s="2" t="s">
        <v>45</v>
      </c>
      <c r="C1571" s="2" t="s">
        <v>27</v>
      </c>
      <c r="D1571" s="2" t="s">
        <v>28</v>
      </c>
      <c r="E1571" s="2">
        <v>494.06</v>
      </c>
      <c r="F1571" s="2">
        <v>9.83</v>
      </c>
      <c r="G1571" s="2">
        <v>34.82</v>
      </c>
      <c r="H1571" s="2">
        <v>1.5</v>
      </c>
      <c r="I1571" s="2">
        <v>1</v>
      </c>
      <c r="J1571" s="2">
        <v>28</v>
      </c>
      <c r="K1571" s="2" t="s">
        <v>29</v>
      </c>
      <c r="L1571" s="2">
        <v>0.96</v>
      </c>
      <c r="M1571" s="2" t="s">
        <v>22</v>
      </c>
      <c r="N1571" s="2">
        <v>81.7</v>
      </c>
      <c r="O1571" s="2" t="s">
        <v>30</v>
      </c>
      <c r="P1571" s="2">
        <v>6.63</v>
      </c>
      <c r="Q1571" s="2">
        <v>11.46</v>
      </c>
      <c r="R1571" s="3">
        <f t="shared" si="120"/>
        <v>3275.6178</v>
      </c>
      <c r="S1571" s="3">
        <f t="shared" si="121"/>
        <v>5661.9276000000009</v>
      </c>
      <c r="T1571" s="3">
        <f t="shared" si="122"/>
        <v>2386.3098000000009</v>
      </c>
      <c r="U1571" s="4">
        <f t="shared" si="123"/>
        <v>0.42146596858638752</v>
      </c>
      <c r="V1571" s="5">
        <f t="shared" si="124"/>
        <v>4.7429759999999996</v>
      </c>
    </row>
    <row r="1572" spans="1:22" x14ac:dyDescent="0.25">
      <c r="A1572" s="2" t="s">
        <v>1606</v>
      </c>
      <c r="B1572" s="2" t="s">
        <v>45</v>
      </c>
      <c r="C1572" s="2" t="s">
        <v>19</v>
      </c>
      <c r="D1572" s="2" t="s">
        <v>20</v>
      </c>
      <c r="E1572" s="2">
        <v>685.55</v>
      </c>
      <c r="F1572" s="2">
        <v>13.74</v>
      </c>
      <c r="G1572" s="2">
        <v>35.68</v>
      </c>
      <c r="H1572" s="2">
        <v>1</v>
      </c>
      <c r="I1572" s="2">
        <v>1.7</v>
      </c>
      <c r="J1572" s="2">
        <v>21</v>
      </c>
      <c r="K1572" s="2" t="s">
        <v>29</v>
      </c>
      <c r="L1572" s="2">
        <v>3.68</v>
      </c>
      <c r="M1572" s="2" t="s">
        <v>37</v>
      </c>
      <c r="N1572" s="2">
        <v>68.05</v>
      </c>
      <c r="O1572" s="2" t="s">
        <v>23</v>
      </c>
      <c r="P1572" s="2">
        <v>5.07</v>
      </c>
      <c r="Q1572" s="2">
        <v>13.13</v>
      </c>
      <c r="R1572" s="3">
        <f t="shared" si="120"/>
        <v>3475.7384999999999</v>
      </c>
      <c r="S1572" s="3">
        <f t="shared" si="121"/>
        <v>9001.2715000000007</v>
      </c>
      <c r="T1572" s="3">
        <f t="shared" si="122"/>
        <v>5525.5330000000013</v>
      </c>
      <c r="U1572" s="4">
        <f t="shared" si="123"/>
        <v>0.61386138613861396</v>
      </c>
      <c r="V1572" s="5">
        <f t="shared" si="124"/>
        <v>25.22824</v>
      </c>
    </row>
    <row r="1573" spans="1:22" x14ac:dyDescent="0.25">
      <c r="A1573" s="2" t="s">
        <v>1607</v>
      </c>
      <c r="B1573" s="2" t="s">
        <v>26</v>
      </c>
      <c r="C1573" s="2" t="s">
        <v>33</v>
      </c>
      <c r="D1573" s="2" t="s">
        <v>20</v>
      </c>
      <c r="E1573" s="2">
        <v>522.41999999999996</v>
      </c>
      <c r="F1573" s="2">
        <v>14.37</v>
      </c>
      <c r="G1573" s="2">
        <v>35.270000000000003</v>
      </c>
      <c r="H1573" s="2">
        <v>0.6</v>
      </c>
      <c r="I1573" s="2">
        <v>1.1000000000000001</v>
      </c>
      <c r="J1573" s="2">
        <v>23</v>
      </c>
      <c r="K1573" s="2" t="s">
        <v>34</v>
      </c>
      <c r="L1573" s="2">
        <v>7.1</v>
      </c>
      <c r="M1573" s="2" t="s">
        <v>37</v>
      </c>
      <c r="N1573" s="2">
        <v>83.4</v>
      </c>
      <c r="O1573" s="2" t="s">
        <v>23</v>
      </c>
      <c r="P1573" s="2">
        <v>6.78</v>
      </c>
      <c r="Q1573" s="2">
        <v>10.220000000000001</v>
      </c>
      <c r="R1573" s="3">
        <f t="shared" si="120"/>
        <v>3542.0075999999999</v>
      </c>
      <c r="S1573" s="3">
        <f t="shared" si="121"/>
        <v>5339.1323999999995</v>
      </c>
      <c r="T1573" s="3">
        <f t="shared" si="122"/>
        <v>1797.1247999999996</v>
      </c>
      <c r="U1573" s="4">
        <f t="shared" si="123"/>
        <v>0.33659491193737767</v>
      </c>
      <c r="V1573" s="5">
        <f t="shared" si="124"/>
        <v>37.091819999999991</v>
      </c>
    </row>
    <row r="1574" spans="1:22" x14ac:dyDescent="0.25">
      <c r="A1574" s="2" t="s">
        <v>1608</v>
      </c>
      <c r="B1574" s="2" t="s">
        <v>45</v>
      </c>
      <c r="C1574" s="2" t="s">
        <v>27</v>
      </c>
      <c r="D1574" s="2" t="s">
        <v>20</v>
      </c>
      <c r="E1574" s="2">
        <v>465.36</v>
      </c>
      <c r="F1574" s="2">
        <v>13.57</v>
      </c>
      <c r="G1574" s="2">
        <v>34.450000000000003</v>
      </c>
      <c r="H1574" s="2">
        <v>0.3</v>
      </c>
      <c r="I1574" s="2">
        <v>1.8</v>
      </c>
      <c r="J1574" s="2">
        <v>5</v>
      </c>
      <c r="K1574" s="2" t="s">
        <v>21</v>
      </c>
      <c r="L1574" s="2">
        <v>8.02</v>
      </c>
      <c r="M1574" s="2" t="s">
        <v>40</v>
      </c>
      <c r="N1574" s="2">
        <v>78.58</v>
      </c>
      <c r="O1574" s="2" t="s">
        <v>30</v>
      </c>
      <c r="P1574" s="2">
        <v>7.02</v>
      </c>
      <c r="Q1574" s="2">
        <v>12.18</v>
      </c>
      <c r="R1574" s="3">
        <f t="shared" si="120"/>
        <v>3266.8271999999997</v>
      </c>
      <c r="S1574" s="3">
        <f t="shared" si="121"/>
        <v>5668.0847999999996</v>
      </c>
      <c r="T1574" s="3">
        <f t="shared" si="122"/>
        <v>2401.2575999999999</v>
      </c>
      <c r="U1574" s="4">
        <f t="shared" si="123"/>
        <v>0.42364532019704437</v>
      </c>
      <c r="V1574" s="5">
        <f t="shared" si="124"/>
        <v>37.321871999999999</v>
      </c>
    </row>
    <row r="1575" spans="1:22" x14ac:dyDescent="0.25">
      <c r="A1575" s="2" t="s">
        <v>1609</v>
      </c>
      <c r="B1575" s="2" t="s">
        <v>45</v>
      </c>
      <c r="C1575" s="2" t="s">
        <v>43</v>
      </c>
      <c r="D1575" s="2" t="s">
        <v>28</v>
      </c>
      <c r="E1575" s="2">
        <v>338.84</v>
      </c>
      <c r="F1575" s="2">
        <v>15.38</v>
      </c>
      <c r="G1575" s="2">
        <v>24.09</v>
      </c>
      <c r="H1575" s="2">
        <v>3.4</v>
      </c>
      <c r="I1575" s="2">
        <v>2.9</v>
      </c>
      <c r="J1575" s="2">
        <v>11</v>
      </c>
      <c r="K1575" s="2" t="s">
        <v>29</v>
      </c>
      <c r="L1575" s="2">
        <v>2.31</v>
      </c>
      <c r="M1575" s="2" t="s">
        <v>22</v>
      </c>
      <c r="N1575" s="2">
        <v>92.34</v>
      </c>
      <c r="O1575" s="2" t="s">
        <v>23</v>
      </c>
      <c r="P1575" s="2">
        <v>7.04</v>
      </c>
      <c r="Q1575" s="2">
        <v>13.96</v>
      </c>
      <c r="R1575" s="3">
        <f t="shared" si="120"/>
        <v>2385.4335999999998</v>
      </c>
      <c r="S1575" s="3">
        <f t="shared" si="121"/>
        <v>4730.2064</v>
      </c>
      <c r="T1575" s="3">
        <f t="shared" si="122"/>
        <v>2344.7728000000002</v>
      </c>
      <c r="U1575" s="4">
        <f t="shared" si="123"/>
        <v>0.49570200573065909</v>
      </c>
      <c r="V1575" s="5">
        <f t="shared" si="124"/>
        <v>7.8272039999999992</v>
      </c>
    </row>
    <row r="1576" spans="1:22" x14ac:dyDescent="0.25">
      <c r="A1576" s="2" t="s">
        <v>1610</v>
      </c>
      <c r="B1576" s="2" t="s">
        <v>26</v>
      </c>
      <c r="C1576" s="2" t="s">
        <v>19</v>
      </c>
      <c r="D1576" s="2" t="s">
        <v>20</v>
      </c>
      <c r="E1576" s="2">
        <v>473.73</v>
      </c>
      <c r="F1576" s="2">
        <v>11.36</v>
      </c>
      <c r="G1576" s="2">
        <v>26.76</v>
      </c>
      <c r="H1576" s="2">
        <v>11.1</v>
      </c>
      <c r="I1576" s="2">
        <v>0.3</v>
      </c>
      <c r="J1576" s="2">
        <v>24</v>
      </c>
      <c r="K1576" s="2" t="s">
        <v>29</v>
      </c>
      <c r="L1576" s="2">
        <v>7.45</v>
      </c>
      <c r="M1576" s="2" t="s">
        <v>22</v>
      </c>
      <c r="N1576" s="2">
        <v>81.09</v>
      </c>
      <c r="O1576" s="2" t="s">
        <v>30</v>
      </c>
      <c r="P1576" s="2">
        <v>8.9700000000000006</v>
      </c>
      <c r="Q1576" s="2">
        <v>12.73</v>
      </c>
      <c r="R1576" s="3">
        <f t="shared" si="120"/>
        <v>4249.3581000000004</v>
      </c>
      <c r="S1576" s="3">
        <f t="shared" si="121"/>
        <v>6030.5829000000003</v>
      </c>
      <c r="T1576" s="3">
        <f t="shared" si="122"/>
        <v>1781.2248</v>
      </c>
      <c r="U1576" s="4">
        <f t="shared" si="123"/>
        <v>0.29536527886881381</v>
      </c>
      <c r="V1576" s="5">
        <f t="shared" si="124"/>
        <v>35.292884999999998</v>
      </c>
    </row>
    <row r="1577" spans="1:22" x14ac:dyDescent="0.25">
      <c r="A1577" s="2" t="s">
        <v>1611</v>
      </c>
      <c r="B1577" s="2" t="s">
        <v>18</v>
      </c>
      <c r="C1577" s="2" t="s">
        <v>43</v>
      </c>
      <c r="D1577" s="2" t="s">
        <v>20</v>
      </c>
      <c r="E1577" s="2">
        <v>466.36</v>
      </c>
      <c r="F1577" s="2">
        <v>15.65</v>
      </c>
      <c r="G1577" s="2">
        <v>29.4</v>
      </c>
      <c r="H1577" s="2">
        <v>0.8</v>
      </c>
      <c r="I1577" s="2">
        <v>0.2</v>
      </c>
      <c r="J1577" s="2">
        <v>5</v>
      </c>
      <c r="K1577" s="2" t="s">
        <v>34</v>
      </c>
      <c r="L1577" s="2">
        <v>9.58</v>
      </c>
      <c r="M1577" s="2" t="s">
        <v>37</v>
      </c>
      <c r="N1577" s="2">
        <v>81.7</v>
      </c>
      <c r="O1577" s="2" t="s">
        <v>24</v>
      </c>
      <c r="P1577" s="2">
        <v>5.73</v>
      </c>
      <c r="Q1577" s="2">
        <v>14.1</v>
      </c>
      <c r="R1577" s="3">
        <f t="shared" si="120"/>
        <v>2672.2428000000004</v>
      </c>
      <c r="S1577" s="3">
        <f t="shared" si="121"/>
        <v>6575.6760000000004</v>
      </c>
      <c r="T1577" s="3">
        <f t="shared" si="122"/>
        <v>3903.4331999999999</v>
      </c>
      <c r="U1577" s="4">
        <f t="shared" si="123"/>
        <v>0.59361702127659566</v>
      </c>
      <c r="V1577" s="5">
        <f t="shared" si="124"/>
        <v>44.677287999999997</v>
      </c>
    </row>
    <row r="1578" spans="1:22" x14ac:dyDescent="0.25">
      <c r="A1578" s="2" t="s">
        <v>1612</v>
      </c>
      <c r="B1578" s="2" t="s">
        <v>18</v>
      </c>
      <c r="C1578" s="2" t="s">
        <v>27</v>
      </c>
      <c r="D1578" s="2" t="s">
        <v>28</v>
      </c>
      <c r="E1578" s="2">
        <v>596.03</v>
      </c>
      <c r="F1578" s="2">
        <v>12.33</v>
      </c>
      <c r="G1578" s="2">
        <v>26.62</v>
      </c>
      <c r="H1578" s="2">
        <v>1</v>
      </c>
      <c r="I1578" s="2">
        <v>0.7</v>
      </c>
      <c r="J1578" s="2">
        <v>7</v>
      </c>
      <c r="K1578" s="2" t="s">
        <v>29</v>
      </c>
      <c r="L1578" s="2">
        <v>9.11</v>
      </c>
      <c r="M1578" s="2" t="s">
        <v>37</v>
      </c>
      <c r="N1578" s="2">
        <v>61.08</v>
      </c>
      <c r="O1578" s="2" t="s">
        <v>30</v>
      </c>
      <c r="P1578" s="2">
        <v>6.61</v>
      </c>
      <c r="Q1578" s="2">
        <v>9.31</v>
      </c>
      <c r="R1578" s="3">
        <f t="shared" si="120"/>
        <v>3939.7583</v>
      </c>
      <c r="S1578" s="3">
        <f t="shared" si="121"/>
        <v>5549.0393000000004</v>
      </c>
      <c r="T1578" s="3">
        <f t="shared" si="122"/>
        <v>1609.2810000000004</v>
      </c>
      <c r="U1578" s="4">
        <f t="shared" si="123"/>
        <v>0.29001074113856073</v>
      </c>
      <c r="V1578" s="5">
        <f t="shared" si="124"/>
        <v>54.298332999999992</v>
      </c>
    </row>
    <row r="1579" spans="1:22" x14ac:dyDescent="0.25">
      <c r="A1579" s="2" t="s">
        <v>1613</v>
      </c>
      <c r="B1579" s="2" t="s">
        <v>45</v>
      </c>
      <c r="C1579" s="2" t="s">
        <v>19</v>
      </c>
      <c r="D1579" s="2" t="s">
        <v>20</v>
      </c>
      <c r="E1579" s="2">
        <v>546.25</v>
      </c>
      <c r="F1579" s="2">
        <v>12.84</v>
      </c>
      <c r="G1579" s="2">
        <v>35.1</v>
      </c>
      <c r="H1579" s="2">
        <v>1.9</v>
      </c>
      <c r="I1579" s="2">
        <v>1.2</v>
      </c>
      <c r="J1579" s="2">
        <v>6</v>
      </c>
      <c r="K1579" s="2" t="s">
        <v>21</v>
      </c>
      <c r="L1579" s="2">
        <v>8</v>
      </c>
      <c r="M1579" s="2" t="s">
        <v>37</v>
      </c>
      <c r="N1579" s="2">
        <v>70.78</v>
      </c>
      <c r="O1579" s="2" t="s">
        <v>30</v>
      </c>
      <c r="P1579" s="2">
        <v>3.08</v>
      </c>
      <c r="Q1579" s="2">
        <v>14.04</v>
      </c>
      <c r="R1579" s="3">
        <f t="shared" si="120"/>
        <v>1682.45</v>
      </c>
      <c r="S1579" s="3">
        <f t="shared" si="121"/>
        <v>7669.3499999999995</v>
      </c>
      <c r="T1579" s="3">
        <f t="shared" si="122"/>
        <v>5986.9</v>
      </c>
      <c r="U1579" s="4">
        <f t="shared" si="123"/>
        <v>0.78062678062678059</v>
      </c>
      <c r="V1579" s="5">
        <f t="shared" si="124"/>
        <v>43.7</v>
      </c>
    </row>
    <row r="1580" spans="1:22" x14ac:dyDescent="0.25">
      <c r="A1580" s="2" t="s">
        <v>1614</v>
      </c>
      <c r="B1580" s="2" t="s">
        <v>45</v>
      </c>
      <c r="C1580" s="2" t="s">
        <v>27</v>
      </c>
      <c r="D1580" s="2" t="s">
        <v>20</v>
      </c>
      <c r="E1580" s="2">
        <v>382.06</v>
      </c>
      <c r="F1580" s="2">
        <v>14.48</v>
      </c>
      <c r="G1580" s="2">
        <v>26.59</v>
      </c>
      <c r="H1580" s="2">
        <v>2.5</v>
      </c>
      <c r="I1580" s="2">
        <v>0.3</v>
      </c>
      <c r="J1580" s="2">
        <v>26</v>
      </c>
      <c r="K1580" s="2" t="s">
        <v>21</v>
      </c>
      <c r="L1580" s="2">
        <v>7.27</v>
      </c>
      <c r="M1580" s="2" t="s">
        <v>22</v>
      </c>
      <c r="N1580" s="2">
        <v>67.22</v>
      </c>
      <c r="O1580" s="2" t="s">
        <v>30</v>
      </c>
      <c r="P1580" s="2">
        <v>8.5299999999999994</v>
      </c>
      <c r="Q1580" s="2">
        <v>11.22</v>
      </c>
      <c r="R1580" s="3">
        <f t="shared" si="120"/>
        <v>3258.9717999999998</v>
      </c>
      <c r="S1580" s="3">
        <f t="shared" si="121"/>
        <v>4286.7132000000001</v>
      </c>
      <c r="T1580" s="3">
        <f t="shared" si="122"/>
        <v>1027.7414000000003</v>
      </c>
      <c r="U1580" s="4">
        <f t="shared" si="123"/>
        <v>0.23975044563279865</v>
      </c>
      <c r="V1580" s="5">
        <f t="shared" si="124"/>
        <v>27.775762</v>
      </c>
    </row>
    <row r="1581" spans="1:22" x14ac:dyDescent="0.25">
      <c r="A1581" s="2" t="s">
        <v>1615</v>
      </c>
      <c r="B1581" s="2" t="s">
        <v>18</v>
      </c>
      <c r="C1581" s="2" t="s">
        <v>43</v>
      </c>
      <c r="D1581" s="2" t="s">
        <v>20</v>
      </c>
      <c r="E1581" s="2">
        <v>517.23</v>
      </c>
      <c r="F1581" s="2">
        <v>8.18</v>
      </c>
      <c r="G1581" s="2">
        <v>22.76</v>
      </c>
      <c r="H1581" s="2">
        <v>1</v>
      </c>
      <c r="I1581" s="2">
        <v>0</v>
      </c>
      <c r="J1581" s="2">
        <v>13</v>
      </c>
      <c r="K1581" s="2" t="s">
        <v>29</v>
      </c>
      <c r="L1581" s="2">
        <v>2.73</v>
      </c>
      <c r="M1581" s="2" t="s">
        <v>22</v>
      </c>
      <c r="N1581" s="2">
        <v>50.57</v>
      </c>
      <c r="O1581" s="2" t="s">
        <v>23</v>
      </c>
      <c r="P1581" s="2">
        <v>4.82</v>
      </c>
      <c r="Q1581" s="2">
        <v>13.7</v>
      </c>
      <c r="R1581" s="3">
        <f t="shared" si="120"/>
        <v>2493.0486000000001</v>
      </c>
      <c r="S1581" s="3">
        <f t="shared" si="121"/>
        <v>7086.0509999999995</v>
      </c>
      <c r="T1581" s="3">
        <f t="shared" si="122"/>
        <v>4593.0023999999994</v>
      </c>
      <c r="U1581" s="4">
        <f t="shared" si="123"/>
        <v>0.64817518248175177</v>
      </c>
      <c r="V1581" s="5">
        <f t="shared" si="124"/>
        <v>14.120379</v>
      </c>
    </row>
    <row r="1582" spans="1:22" x14ac:dyDescent="0.25">
      <c r="A1582" s="2" t="s">
        <v>1616</v>
      </c>
      <c r="B1582" s="2" t="s">
        <v>26</v>
      </c>
      <c r="C1582" s="2" t="s">
        <v>19</v>
      </c>
      <c r="D1582" s="2" t="s">
        <v>20</v>
      </c>
      <c r="E1582" s="2">
        <v>567.15</v>
      </c>
      <c r="F1582" s="2">
        <v>14.54</v>
      </c>
      <c r="G1582" s="2">
        <v>27.98</v>
      </c>
      <c r="H1582" s="2">
        <v>4.7</v>
      </c>
      <c r="I1582" s="2">
        <v>0.4</v>
      </c>
      <c r="J1582" s="2">
        <v>2</v>
      </c>
      <c r="K1582" s="2" t="s">
        <v>21</v>
      </c>
      <c r="L1582" s="2">
        <v>6.52</v>
      </c>
      <c r="M1582" s="2" t="s">
        <v>40</v>
      </c>
      <c r="N1582" s="2">
        <v>65.66</v>
      </c>
      <c r="O1582" s="2" t="s">
        <v>30</v>
      </c>
      <c r="P1582" s="2">
        <v>8.7200000000000006</v>
      </c>
      <c r="Q1582" s="2">
        <v>5.39</v>
      </c>
      <c r="R1582" s="3">
        <f t="shared" si="120"/>
        <v>4945.5479999999998</v>
      </c>
      <c r="S1582" s="3">
        <f t="shared" si="121"/>
        <v>3056.9384999999997</v>
      </c>
      <c r="T1582" s="3">
        <f t="shared" si="122"/>
        <v>-1888.6095</v>
      </c>
      <c r="U1582" s="4">
        <f t="shared" si="123"/>
        <v>-0.61781076066790364</v>
      </c>
      <c r="V1582" s="5">
        <f t="shared" si="124"/>
        <v>36.978179999999995</v>
      </c>
    </row>
    <row r="1583" spans="1:22" x14ac:dyDescent="0.25">
      <c r="A1583" s="2" t="s">
        <v>1617</v>
      </c>
      <c r="B1583" s="2" t="s">
        <v>45</v>
      </c>
      <c r="C1583" s="2" t="s">
        <v>43</v>
      </c>
      <c r="D1583" s="2" t="s">
        <v>28</v>
      </c>
      <c r="E1583" s="2">
        <v>652.79999999999995</v>
      </c>
      <c r="F1583" s="2">
        <v>14.19</v>
      </c>
      <c r="G1583" s="2">
        <v>39.6</v>
      </c>
      <c r="H1583" s="2">
        <v>1.6</v>
      </c>
      <c r="I1583" s="2">
        <v>3.5</v>
      </c>
      <c r="J1583" s="2">
        <v>19</v>
      </c>
      <c r="K1583" s="2" t="s">
        <v>21</v>
      </c>
      <c r="L1583" s="2">
        <v>6.61</v>
      </c>
      <c r="M1583" s="2" t="s">
        <v>37</v>
      </c>
      <c r="N1583" s="2">
        <v>74.3</v>
      </c>
      <c r="O1583" s="2" t="s">
        <v>30</v>
      </c>
      <c r="P1583" s="2">
        <v>4.8600000000000003</v>
      </c>
      <c r="Q1583" s="2">
        <v>11.58</v>
      </c>
      <c r="R1583" s="3">
        <f t="shared" si="120"/>
        <v>3172.6080000000002</v>
      </c>
      <c r="S1583" s="3">
        <f t="shared" si="121"/>
        <v>7559.4239999999991</v>
      </c>
      <c r="T1583" s="3">
        <f t="shared" si="122"/>
        <v>4386.8159999999989</v>
      </c>
      <c r="U1583" s="4">
        <f t="shared" si="123"/>
        <v>0.5803108808290155</v>
      </c>
      <c r="V1583" s="5">
        <f t="shared" si="124"/>
        <v>43.150079999999996</v>
      </c>
    </row>
    <row r="1584" spans="1:22" x14ac:dyDescent="0.25">
      <c r="A1584" s="2" t="s">
        <v>1618</v>
      </c>
      <c r="B1584" s="2" t="s">
        <v>32</v>
      </c>
      <c r="C1584" s="2" t="s">
        <v>27</v>
      </c>
      <c r="D1584" s="2" t="s">
        <v>20</v>
      </c>
      <c r="E1584" s="2">
        <v>588.75</v>
      </c>
      <c r="F1584" s="2">
        <v>11.1</v>
      </c>
      <c r="G1584" s="2">
        <v>24.52</v>
      </c>
      <c r="H1584" s="2">
        <v>1.2</v>
      </c>
      <c r="I1584" s="2">
        <v>1.2</v>
      </c>
      <c r="J1584" s="2">
        <v>11</v>
      </c>
      <c r="K1584" s="2" t="s">
        <v>34</v>
      </c>
      <c r="L1584" s="2">
        <v>4.3600000000000003</v>
      </c>
      <c r="M1584" s="2" t="s">
        <v>40</v>
      </c>
      <c r="N1584" s="2">
        <v>79.989999999999995</v>
      </c>
      <c r="O1584" s="2" t="s">
        <v>23</v>
      </c>
      <c r="P1584" s="2">
        <v>3.08</v>
      </c>
      <c r="Q1584" s="2">
        <v>13.48</v>
      </c>
      <c r="R1584" s="3">
        <f t="shared" si="120"/>
        <v>1813.3500000000001</v>
      </c>
      <c r="S1584" s="3">
        <f t="shared" si="121"/>
        <v>7936.35</v>
      </c>
      <c r="T1584" s="3">
        <f t="shared" si="122"/>
        <v>6123</v>
      </c>
      <c r="U1584" s="4">
        <f t="shared" si="123"/>
        <v>0.771513353115727</v>
      </c>
      <c r="V1584" s="5">
        <f t="shared" si="124"/>
        <v>25.669500000000003</v>
      </c>
    </row>
    <row r="1585" spans="1:22" x14ac:dyDescent="0.25">
      <c r="A1585" s="2" t="s">
        <v>1619</v>
      </c>
      <c r="B1585" s="2" t="s">
        <v>26</v>
      </c>
      <c r="C1585" s="2" t="s">
        <v>27</v>
      </c>
      <c r="D1585" s="2" t="s">
        <v>20</v>
      </c>
      <c r="E1585" s="2">
        <v>576.08000000000004</v>
      </c>
      <c r="F1585" s="2">
        <v>8.86</v>
      </c>
      <c r="G1585" s="2">
        <v>32.24</v>
      </c>
      <c r="H1585" s="2">
        <v>2.1</v>
      </c>
      <c r="I1585" s="2">
        <v>0.5</v>
      </c>
      <c r="J1585" s="2">
        <v>27</v>
      </c>
      <c r="K1585" s="2" t="s">
        <v>29</v>
      </c>
      <c r="L1585" s="2">
        <v>5.18</v>
      </c>
      <c r="M1585" s="2" t="s">
        <v>22</v>
      </c>
      <c r="N1585" s="2">
        <v>96.73</v>
      </c>
      <c r="O1585" s="2" t="s">
        <v>24</v>
      </c>
      <c r="P1585" s="2">
        <v>4.08</v>
      </c>
      <c r="Q1585" s="2">
        <v>6.74</v>
      </c>
      <c r="R1585" s="3">
        <f t="shared" si="120"/>
        <v>2350.4064000000003</v>
      </c>
      <c r="S1585" s="3">
        <f t="shared" si="121"/>
        <v>3882.7792000000004</v>
      </c>
      <c r="T1585" s="3">
        <f t="shared" si="122"/>
        <v>1532.3728000000001</v>
      </c>
      <c r="U1585" s="4">
        <f t="shared" si="123"/>
        <v>0.39465875370919878</v>
      </c>
      <c r="V1585" s="5">
        <f t="shared" si="124"/>
        <v>29.840944</v>
      </c>
    </row>
    <row r="1586" spans="1:22" x14ac:dyDescent="0.25">
      <c r="A1586" s="2" t="s">
        <v>1620</v>
      </c>
      <c r="B1586" s="2" t="s">
        <v>45</v>
      </c>
      <c r="C1586" s="2" t="s">
        <v>43</v>
      </c>
      <c r="D1586" s="2" t="s">
        <v>28</v>
      </c>
      <c r="E1586" s="2">
        <v>506.01</v>
      </c>
      <c r="F1586" s="2">
        <v>8.91</v>
      </c>
      <c r="G1586" s="2">
        <v>28.66</v>
      </c>
      <c r="H1586" s="2">
        <v>6.1</v>
      </c>
      <c r="I1586" s="2">
        <v>0.2</v>
      </c>
      <c r="J1586" s="2">
        <v>20</v>
      </c>
      <c r="K1586" s="2" t="s">
        <v>29</v>
      </c>
      <c r="L1586" s="2">
        <v>7.09</v>
      </c>
      <c r="M1586" s="2" t="s">
        <v>40</v>
      </c>
      <c r="N1586" s="2">
        <v>61.96</v>
      </c>
      <c r="O1586" s="2" t="s">
        <v>24</v>
      </c>
      <c r="P1586" s="2">
        <v>9.9</v>
      </c>
      <c r="Q1586" s="2">
        <v>11.62</v>
      </c>
      <c r="R1586" s="3">
        <f t="shared" si="120"/>
        <v>5009.4989999999998</v>
      </c>
      <c r="S1586" s="3">
        <f t="shared" si="121"/>
        <v>5879.8361999999997</v>
      </c>
      <c r="T1586" s="3">
        <f t="shared" si="122"/>
        <v>870.33719999999994</v>
      </c>
      <c r="U1586" s="4">
        <f t="shared" si="123"/>
        <v>0.14802065404475043</v>
      </c>
      <c r="V1586" s="5">
        <f t="shared" si="124"/>
        <v>35.876109</v>
      </c>
    </row>
    <row r="1587" spans="1:22" x14ac:dyDescent="0.25">
      <c r="A1587" s="2" t="s">
        <v>1621</v>
      </c>
      <c r="B1587" s="2" t="s">
        <v>45</v>
      </c>
      <c r="C1587" s="2" t="s">
        <v>19</v>
      </c>
      <c r="D1587" s="2" t="s">
        <v>20</v>
      </c>
      <c r="E1587" s="2">
        <v>538.83000000000004</v>
      </c>
      <c r="F1587" s="2">
        <v>17.23</v>
      </c>
      <c r="G1587" s="2">
        <v>21.42</v>
      </c>
      <c r="H1587" s="2">
        <v>3.2</v>
      </c>
      <c r="I1587" s="2">
        <v>0.4</v>
      </c>
      <c r="J1587" s="2">
        <v>5</v>
      </c>
      <c r="K1587" s="2" t="s">
        <v>34</v>
      </c>
      <c r="L1587" s="2">
        <v>9.5399999999999991</v>
      </c>
      <c r="M1587" s="2" t="s">
        <v>40</v>
      </c>
      <c r="N1587" s="2">
        <v>57.62</v>
      </c>
      <c r="O1587" s="2" t="s">
        <v>23</v>
      </c>
      <c r="P1587" s="2">
        <v>5.24</v>
      </c>
      <c r="Q1587" s="2">
        <v>13.25</v>
      </c>
      <c r="R1587" s="3">
        <f t="shared" si="120"/>
        <v>2823.4692000000005</v>
      </c>
      <c r="S1587" s="3">
        <f t="shared" si="121"/>
        <v>7139.4975000000004</v>
      </c>
      <c r="T1587" s="3">
        <f t="shared" si="122"/>
        <v>4316.0282999999999</v>
      </c>
      <c r="U1587" s="4">
        <f t="shared" si="123"/>
        <v>0.60452830188679241</v>
      </c>
      <c r="V1587" s="5">
        <f t="shared" si="124"/>
        <v>51.404381999999998</v>
      </c>
    </row>
    <row r="1588" spans="1:22" x14ac:dyDescent="0.25">
      <c r="A1588" s="2" t="s">
        <v>1622</v>
      </c>
      <c r="B1588" s="2" t="s">
        <v>32</v>
      </c>
      <c r="C1588" s="2" t="s">
        <v>43</v>
      </c>
      <c r="D1588" s="2" t="s">
        <v>28</v>
      </c>
      <c r="E1588" s="2">
        <v>624.95000000000005</v>
      </c>
      <c r="F1588" s="2">
        <v>14.89</v>
      </c>
      <c r="G1588" s="2">
        <v>29.76</v>
      </c>
      <c r="H1588" s="2">
        <v>0.1</v>
      </c>
      <c r="I1588" s="2">
        <v>0.2</v>
      </c>
      <c r="J1588" s="2">
        <v>9</v>
      </c>
      <c r="K1588" s="2" t="s">
        <v>34</v>
      </c>
      <c r="L1588" s="2">
        <v>3.31</v>
      </c>
      <c r="M1588" s="2" t="s">
        <v>40</v>
      </c>
      <c r="N1588" s="2">
        <v>93.47</v>
      </c>
      <c r="O1588" s="2" t="s">
        <v>30</v>
      </c>
      <c r="P1588" s="2">
        <v>3.76</v>
      </c>
      <c r="Q1588" s="2">
        <v>7.88</v>
      </c>
      <c r="R1588" s="3">
        <f t="shared" si="120"/>
        <v>2349.8119999999999</v>
      </c>
      <c r="S1588" s="3">
        <f t="shared" si="121"/>
        <v>4924.6060000000007</v>
      </c>
      <c r="T1588" s="3">
        <f t="shared" si="122"/>
        <v>2574.7940000000008</v>
      </c>
      <c r="U1588" s="4">
        <f t="shared" si="123"/>
        <v>0.52284263959390875</v>
      </c>
      <c r="V1588" s="5">
        <f t="shared" si="124"/>
        <v>20.685845000000004</v>
      </c>
    </row>
    <row r="1589" spans="1:22" x14ac:dyDescent="0.25">
      <c r="A1589" s="2" t="s">
        <v>1623</v>
      </c>
      <c r="B1589" s="2" t="s">
        <v>32</v>
      </c>
      <c r="C1589" s="2" t="s">
        <v>27</v>
      </c>
      <c r="D1589" s="2" t="s">
        <v>28</v>
      </c>
      <c r="E1589" s="2">
        <v>366.72</v>
      </c>
      <c r="F1589" s="2">
        <v>9.27</v>
      </c>
      <c r="G1589" s="2">
        <v>34.04</v>
      </c>
      <c r="H1589" s="2">
        <v>0.8</v>
      </c>
      <c r="I1589" s="2">
        <v>0.1</v>
      </c>
      <c r="J1589" s="2">
        <v>6</v>
      </c>
      <c r="K1589" s="2" t="s">
        <v>34</v>
      </c>
      <c r="L1589" s="2">
        <v>2.84</v>
      </c>
      <c r="M1589" s="2" t="s">
        <v>37</v>
      </c>
      <c r="N1589" s="2">
        <v>97.09</v>
      </c>
      <c r="O1589" s="2" t="s">
        <v>24</v>
      </c>
      <c r="P1589" s="2">
        <v>3.83</v>
      </c>
      <c r="Q1589" s="2">
        <v>9.0500000000000007</v>
      </c>
      <c r="R1589" s="3">
        <f t="shared" si="120"/>
        <v>1404.5376000000001</v>
      </c>
      <c r="S1589" s="3">
        <f t="shared" si="121"/>
        <v>3318.8160000000007</v>
      </c>
      <c r="T1589" s="3">
        <f t="shared" si="122"/>
        <v>1914.2784000000006</v>
      </c>
      <c r="U1589" s="4">
        <f t="shared" si="123"/>
        <v>0.57679558011049725</v>
      </c>
      <c r="V1589" s="5">
        <f t="shared" si="124"/>
        <v>10.414847999999999</v>
      </c>
    </row>
    <row r="1590" spans="1:22" x14ac:dyDescent="0.25">
      <c r="A1590" s="2" t="s">
        <v>1624</v>
      </c>
      <c r="B1590" s="2" t="s">
        <v>18</v>
      </c>
      <c r="C1590" s="2" t="s">
        <v>43</v>
      </c>
      <c r="D1590" s="2" t="s">
        <v>28</v>
      </c>
      <c r="E1590" s="2">
        <v>465.06</v>
      </c>
      <c r="F1590" s="2">
        <v>11.57</v>
      </c>
      <c r="G1590" s="2">
        <v>30.26</v>
      </c>
      <c r="H1590" s="2">
        <v>1.3</v>
      </c>
      <c r="I1590" s="2">
        <v>2.4</v>
      </c>
      <c r="J1590" s="2">
        <v>17</v>
      </c>
      <c r="K1590" s="2" t="s">
        <v>34</v>
      </c>
      <c r="L1590" s="2">
        <v>6.22</v>
      </c>
      <c r="M1590" s="2" t="s">
        <v>22</v>
      </c>
      <c r="N1590" s="2">
        <v>74.400000000000006</v>
      </c>
      <c r="O1590" s="2" t="s">
        <v>24</v>
      </c>
      <c r="P1590" s="2">
        <v>5.17</v>
      </c>
      <c r="Q1590" s="2">
        <v>10.7</v>
      </c>
      <c r="R1590" s="3">
        <f t="shared" si="120"/>
        <v>2404.3602000000001</v>
      </c>
      <c r="S1590" s="3">
        <f t="shared" si="121"/>
        <v>4976.1419999999998</v>
      </c>
      <c r="T1590" s="3">
        <f t="shared" si="122"/>
        <v>2571.7817999999997</v>
      </c>
      <c r="U1590" s="4">
        <f t="shared" si="123"/>
        <v>0.51682242990654204</v>
      </c>
      <c r="V1590" s="5">
        <f t="shared" si="124"/>
        <v>28.926731999999998</v>
      </c>
    </row>
    <row r="1591" spans="1:22" x14ac:dyDescent="0.25">
      <c r="A1591" s="2" t="s">
        <v>1625</v>
      </c>
      <c r="B1591" s="2" t="s">
        <v>26</v>
      </c>
      <c r="C1591" s="2" t="s">
        <v>27</v>
      </c>
      <c r="D1591" s="2" t="s">
        <v>20</v>
      </c>
      <c r="E1591" s="2">
        <v>422.74</v>
      </c>
      <c r="F1591" s="2">
        <v>13.92</v>
      </c>
      <c r="G1591" s="2">
        <v>37.44</v>
      </c>
      <c r="H1591" s="2">
        <v>0.8</v>
      </c>
      <c r="I1591" s="2">
        <v>6.1</v>
      </c>
      <c r="J1591" s="2">
        <v>19</v>
      </c>
      <c r="K1591" s="2" t="s">
        <v>21</v>
      </c>
      <c r="L1591" s="2">
        <v>1.74</v>
      </c>
      <c r="M1591" s="2" t="s">
        <v>37</v>
      </c>
      <c r="N1591" s="2">
        <v>55.76</v>
      </c>
      <c r="O1591" s="2" t="s">
        <v>23</v>
      </c>
      <c r="P1591" s="2">
        <v>3.26</v>
      </c>
      <c r="Q1591" s="2">
        <v>10.19</v>
      </c>
      <c r="R1591" s="3">
        <f t="shared" si="120"/>
        <v>1378.1324</v>
      </c>
      <c r="S1591" s="3">
        <f t="shared" si="121"/>
        <v>4307.7205999999996</v>
      </c>
      <c r="T1591" s="3">
        <f t="shared" si="122"/>
        <v>2929.5881999999997</v>
      </c>
      <c r="U1591" s="4">
        <f t="shared" si="123"/>
        <v>0.68007850834151129</v>
      </c>
      <c r="V1591" s="5">
        <f t="shared" si="124"/>
        <v>7.3556759999999999</v>
      </c>
    </row>
    <row r="1592" spans="1:22" x14ac:dyDescent="0.25">
      <c r="A1592" s="2" t="s">
        <v>1626</v>
      </c>
      <c r="B1592" s="2" t="s">
        <v>26</v>
      </c>
      <c r="C1592" s="2" t="s">
        <v>43</v>
      </c>
      <c r="D1592" s="2" t="s">
        <v>28</v>
      </c>
      <c r="E1592" s="2">
        <v>537.91999999999996</v>
      </c>
      <c r="F1592" s="2">
        <v>16.36</v>
      </c>
      <c r="G1592" s="2">
        <v>25.78</v>
      </c>
      <c r="H1592" s="2">
        <v>2.4</v>
      </c>
      <c r="I1592" s="2">
        <v>0.2</v>
      </c>
      <c r="J1592" s="2">
        <v>23</v>
      </c>
      <c r="K1592" s="2" t="s">
        <v>21</v>
      </c>
      <c r="L1592" s="2">
        <v>6.03</v>
      </c>
      <c r="M1592" s="2" t="s">
        <v>40</v>
      </c>
      <c r="N1592" s="2">
        <v>74.27</v>
      </c>
      <c r="O1592" s="2" t="s">
        <v>24</v>
      </c>
      <c r="P1592" s="2">
        <v>6.58</v>
      </c>
      <c r="Q1592" s="2">
        <v>5.39</v>
      </c>
      <c r="R1592" s="3">
        <f t="shared" si="120"/>
        <v>3539.5135999999998</v>
      </c>
      <c r="S1592" s="3">
        <f t="shared" si="121"/>
        <v>2899.3887999999997</v>
      </c>
      <c r="T1592" s="3">
        <f t="shared" si="122"/>
        <v>-640.12480000000005</v>
      </c>
      <c r="U1592" s="4">
        <f t="shared" si="123"/>
        <v>-0.22077922077922082</v>
      </c>
      <c r="V1592" s="5">
        <f t="shared" si="124"/>
        <v>32.436576000000002</v>
      </c>
    </row>
    <row r="1593" spans="1:22" x14ac:dyDescent="0.25">
      <c r="A1593" s="2" t="s">
        <v>1627</v>
      </c>
      <c r="B1593" s="2" t="s">
        <v>18</v>
      </c>
      <c r="C1593" s="2" t="s">
        <v>19</v>
      </c>
      <c r="D1593" s="2" t="s">
        <v>28</v>
      </c>
      <c r="E1593" s="2">
        <v>623.02</v>
      </c>
      <c r="F1593" s="2">
        <v>8.44</v>
      </c>
      <c r="G1593" s="2">
        <v>21.72</v>
      </c>
      <c r="H1593" s="2">
        <v>3.5</v>
      </c>
      <c r="I1593" s="2">
        <v>0.1</v>
      </c>
      <c r="J1593" s="2">
        <v>8</v>
      </c>
      <c r="K1593" s="2" t="s">
        <v>34</v>
      </c>
      <c r="L1593" s="2">
        <v>1.34</v>
      </c>
      <c r="M1593" s="2" t="s">
        <v>37</v>
      </c>
      <c r="N1593" s="2">
        <v>55.47</v>
      </c>
      <c r="O1593" s="2" t="s">
        <v>24</v>
      </c>
      <c r="P1593" s="2">
        <v>4.5</v>
      </c>
      <c r="Q1593" s="2">
        <v>5.99</v>
      </c>
      <c r="R1593" s="3">
        <f t="shared" si="120"/>
        <v>2803.59</v>
      </c>
      <c r="S1593" s="3">
        <f t="shared" si="121"/>
        <v>3731.8897999999999</v>
      </c>
      <c r="T1593" s="3">
        <f t="shared" si="122"/>
        <v>928.29979999999978</v>
      </c>
      <c r="U1593" s="4">
        <f t="shared" si="123"/>
        <v>0.2487479131886477</v>
      </c>
      <c r="V1593" s="5">
        <f t="shared" si="124"/>
        <v>8.3484680000000004</v>
      </c>
    </row>
    <row r="1594" spans="1:22" x14ac:dyDescent="0.25">
      <c r="A1594" s="2" t="s">
        <v>1628</v>
      </c>
      <c r="B1594" s="2" t="s">
        <v>26</v>
      </c>
      <c r="C1594" s="2" t="s">
        <v>19</v>
      </c>
      <c r="D1594" s="2" t="s">
        <v>28</v>
      </c>
      <c r="E1594" s="2">
        <v>440.3</v>
      </c>
      <c r="F1594" s="2">
        <v>10.37</v>
      </c>
      <c r="G1594" s="2">
        <v>38.729999999999997</v>
      </c>
      <c r="H1594" s="2">
        <v>2.6</v>
      </c>
      <c r="I1594" s="2">
        <v>0.4</v>
      </c>
      <c r="J1594" s="2">
        <v>7</v>
      </c>
      <c r="K1594" s="2" t="s">
        <v>29</v>
      </c>
      <c r="L1594" s="2">
        <v>5.16</v>
      </c>
      <c r="M1594" s="2" t="s">
        <v>22</v>
      </c>
      <c r="N1594" s="2">
        <v>94.16</v>
      </c>
      <c r="O1594" s="2" t="s">
        <v>23</v>
      </c>
      <c r="P1594" s="2">
        <v>6.64</v>
      </c>
      <c r="Q1594" s="2">
        <v>6</v>
      </c>
      <c r="R1594" s="3">
        <f t="shared" si="120"/>
        <v>2923.5920000000001</v>
      </c>
      <c r="S1594" s="3">
        <f t="shared" si="121"/>
        <v>2641.8</v>
      </c>
      <c r="T1594" s="3">
        <f t="shared" si="122"/>
        <v>-281.79199999999992</v>
      </c>
      <c r="U1594" s="4">
        <f t="shared" si="123"/>
        <v>-0.10666666666666663</v>
      </c>
      <c r="V1594" s="5">
        <f t="shared" si="124"/>
        <v>22.719480000000004</v>
      </c>
    </row>
    <row r="1595" spans="1:22" x14ac:dyDescent="0.25">
      <c r="A1595" s="2" t="s">
        <v>1629</v>
      </c>
      <c r="B1595" s="2" t="s">
        <v>26</v>
      </c>
      <c r="C1595" s="2" t="s">
        <v>43</v>
      </c>
      <c r="D1595" s="2" t="s">
        <v>20</v>
      </c>
      <c r="E1595" s="2">
        <v>260.97000000000003</v>
      </c>
      <c r="F1595" s="2">
        <v>16.899999999999999</v>
      </c>
      <c r="G1595" s="2">
        <v>27.56</v>
      </c>
      <c r="H1595" s="2">
        <v>9.1</v>
      </c>
      <c r="I1595" s="2">
        <v>0.6</v>
      </c>
      <c r="J1595" s="2">
        <v>5</v>
      </c>
      <c r="K1595" s="2" t="s">
        <v>29</v>
      </c>
      <c r="L1595" s="2">
        <v>6.39</v>
      </c>
      <c r="M1595" s="2" t="s">
        <v>22</v>
      </c>
      <c r="N1595" s="2">
        <v>85.41</v>
      </c>
      <c r="O1595" s="2" t="s">
        <v>24</v>
      </c>
      <c r="P1595" s="2">
        <v>3.99</v>
      </c>
      <c r="Q1595" s="2">
        <v>7.62</v>
      </c>
      <c r="R1595" s="3">
        <f t="shared" si="120"/>
        <v>1041.2703000000001</v>
      </c>
      <c r="S1595" s="3">
        <f t="shared" si="121"/>
        <v>1988.5914000000002</v>
      </c>
      <c r="T1595" s="3">
        <f t="shared" si="122"/>
        <v>947.32110000000011</v>
      </c>
      <c r="U1595" s="4">
        <f t="shared" si="123"/>
        <v>0.4763779527559055</v>
      </c>
      <c r="V1595" s="5">
        <f t="shared" si="124"/>
        <v>16.675983000000002</v>
      </c>
    </row>
    <row r="1596" spans="1:22" x14ac:dyDescent="0.25">
      <c r="A1596" s="2" t="s">
        <v>1630</v>
      </c>
      <c r="B1596" s="2" t="s">
        <v>26</v>
      </c>
      <c r="C1596" s="2" t="s">
        <v>43</v>
      </c>
      <c r="D1596" s="2" t="s">
        <v>20</v>
      </c>
      <c r="E1596" s="2">
        <v>458.78</v>
      </c>
      <c r="F1596" s="2">
        <v>8.09</v>
      </c>
      <c r="G1596" s="2">
        <v>31.53</v>
      </c>
      <c r="H1596" s="2">
        <v>0.6</v>
      </c>
      <c r="I1596" s="2">
        <v>0.2</v>
      </c>
      <c r="J1596" s="2">
        <v>15</v>
      </c>
      <c r="K1596" s="2" t="s">
        <v>29</v>
      </c>
      <c r="L1596" s="2">
        <v>1.17</v>
      </c>
      <c r="M1596" s="2" t="s">
        <v>40</v>
      </c>
      <c r="N1596" s="2">
        <v>62.06</v>
      </c>
      <c r="O1596" s="2" t="s">
        <v>30</v>
      </c>
      <c r="P1596" s="2">
        <v>6.01</v>
      </c>
      <c r="Q1596" s="2">
        <v>7.46</v>
      </c>
      <c r="R1596" s="3">
        <f t="shared" si="120"/>
        <v>2757.2677999999996</v>
      </c>
      <c r="S1596" s="3">
        <f t="shared" si="121"/>
        <v>3422.4987999999998</v>
      </c>
      <c r="T1596" s="3">
        <f t="shared" si="122"/>
        <v>665.23100000000022</v>
      </c>
      <c r="U1596" s="4">
        <f t="shared" si="123"/>
        <v>0.1943699731903486</v>
      </c>
      <c r="V1596" s="5">
        <f t="shared" si="124"/>
        <v>5.3677259999999993</v>
      </c>
    </row>
    <row r="1597" spans="1:22" x14ac:dyDescent="0.25">
      <c r="A1597" s="2" t="s">
        <v>1631</v>
      </c>
      <c r="B1597" s="2" t="s">
        <v>26</v>
      </c>
      <c r="C1597" s="2" t="s">
        <v>19</v>
      </c>
      <c r="D1597" s="2" t="s">
        <v>20</v>
      </c>
      <c r="E1597" s="2">
        <v>591.35</v>
      </c>
      <c r="F1597" s="2">
        <v>10.01</v>
      </c>
      <c r="G1597" s="2">
        <v>35.840000000000003</v>
      </c>
      <c r="H1597" s="2">
        <v>4.2</v>
      </c>
      <c r="I1597" s="2">
        <v>0.4</v>
      </c>
      <c r="J1597" s="2">
        <v>10</v>
      </c>
      <c r="K1597" s="2" t="s">
        <v>34</v>
      </c>
      <c r="L1597" s="2">
        <v>2.4700000000000002</v>
      </c>
      <c r="M1597" s="2" t="s">
        <v>40</v>
      </c>
      <c r="N1597" s="2">
        <v>94.33</v>
      </c>
      <c r="O1597" s="2" t="s">
        <v>23</v>
      </c>
      <c r="P1597" s="2">
        <v>7.19</v>
      </c>
      <c r="Q1597" s="2">
        <v>12.42</v>
      </c>
      <c r="R1597" s="3">
        <f t="shared" si="120"/>
        <v>4251.8065000000006</v>
      </c>
      <c r="S1597" s="3">
        <f t="shared" si="121"/>
        <v>7344.567</v>
      </c>
      <c r="T1597" s="3">
        <f t="shared" si="122"/>
        <v>3092.7604999999994</v>
      </c>
      <c r="U1597" s="4">
        <f t="shared" si="123"/>
        <v>0.42109500805152972</v>
      </c>
      <c r="V1597" s="5">
        <f t="shared" si="124"/>
        <v>14.606345000000001</v>
      </c>
    </row>
    <row r="1598" spans="1:22" x14ac:dyDescent="0.25">
      <c r="A1598" s="2" t="s">
        <v>1632</v>
      </c>
      <c r="B1598" s="2" t="s">
        <v>26</v>
      </c>
      <c r="C1598" s="2" t="s">
        <v>27</v>
      </c>
      <c r="D1598" s="2" t="s">
        <v>20</v>
      </c>
      <c r="E1598" s="2">
        <v>553.76</v>
      </c>
      <c r="F1598" s="2">
        <v>17.59</v>
      </c>
      <c r="G1598" s="2">
        <v>26.49</v>
      </c>
      <c r="H1598" s="2">
        <v>2.9</v>
      </c>
      <c r="I1598" s="2">
        <v>0.2</v>
      </c>
      <c r="J1598" s="2">
        <v>24</v>
      </c>
      <c r="K1598" s="2" t="s">
        <v>21</v>
      </c>
      <c r="L1598" s="2">
        <v>3.69</v>
      </c>
      <c r="M1598" s="2" t="s">
        <v>37</v>
      </c>
      <c r="N1598" s="2">
        <v>81.900000000000006</v>
      </c>
      <c r="O1598" s="2" t="s">
        <v>30</v>
      </c>
      <c r="P1598" s="2">
        <v>3.43</v>
      </c>
      <c r="Q1598" s="2">
        <v>10.73</v>
      </c>
      <c r="R1598" s="3">
        <f t="shared" si="120"/>
        <v>1899.3968</v>
      </c>
      <c r="S1598" s="3">
        <f t="shared" si="121"/>
        <v>5941.8447999999999</v>
      </c>
      <c r="T1598" s="3">
        <f t="shared" si="122"/>
        <v>4042.4479999999999</v>
      </c>
      <c r="U1598" s="4">
        <f t="shared" si="123"/>
        <v>0.68033550792171482</v>
      </c>
      <c r="V1598" s="5">
        <f t="shared" si="124"/>
        <v>20.433744000000001</v>
      </c>
    </row>
    <row r="1599" spans="1:22" x14ac:dyDescent="0.25">
      <c r="A1599" s="2" t="s">
        <v>1633</v>
      </c>
      <c r="B1599" s="2" t="s">
        <v>32</v>
      </c>
      <c r="C1599" s="2" t="s">
        <v>19</v>
      </c>
      <c r="D1599" s="2" t="s">
        <v>20</v>
      </c>
      <c r="E1599" s="2">
        <v>542.82000000000005</v>
      </c>
      <c r="F1599" s="2">
        <v>14.13</v>
      </c>
      <c r="G1599" s="2">
        <v>34.32</v>
      </c>
      <c r="H1599" s="2">
        <v>0.9</v>
      </c>
      <c r="I1599" s="2">
        <v>1.5</v>
      </c>
      <c r="J1599" s="2">
        <v>16</v>
      </c>
      <c r="K1599" s="2" t="s">
        <v>21</v>
      </c>
      <c r="L1599" s="2">
        <v>4</v>
      </c>
      <c r="M1599" s="2" t="s">
        <v>22</v>
      </c>
      <c r="N1599" s="2">
        <v>97.66</v>
      </c>
      <c r="O1599" s="2" t="s">
        <v>30</v>
      </c>
      <c r="P1599" s="2">
        <v>5.79</v>
      </c>
      <c r="Q1599" s="2">
        <v>12.64</v>
      </c>
      <c r="R1599" s="3">
        <f t="shared" si="120"/>
        <v>3142.9278000000004</v>
      </c>
      <c r="S1599" s="3">
        <f t="shared" si="121"/>
        <v>6861.2448000000013</v>
      </c>
      <c r="T1599" s="3">
        <f t="shared" si="122"/>
        <v>3718.3170000000009</v>
      </c>
      <c r="U1599" s="4">
        <f t="shared" si="123"/>
        <v>0.54193037974683544</v>
      </c>
      <c r="V1599" s="5">
        <f t="shared" si="124"/>
        <v>21.712800000000001</v>
      </c>
    </row>
    <row r="1600" spans="1:22" x14ac:dyDescent="0.25">
      <c r="A1600" s="2" t="s">
        <v>1634</v>
      </c>
      <c r="B1600" s="2" t="s">
        <v>26</v>
      </c>
      <c r="C1600" s="2" t="s">
        <v>27</v>
      </c>
      <c r="D1600" s="2" t="s">
        <v>20</v>
      </c>
      <c r="E1600" s="2">
        <v>472</v>
      </c>
      <c r="F1600" s="2">
        <v>10.62</v>
      </c>
      <c r="G1600" s="2">
        <v>22.71</v>
      </c>
      <c r="H1600" s="2">
        <v>2.6</v>
      </c>
      <c r="I1600" s="2">
        <v>1.2</v>
      </c>
      <c r="J1600" s="2">
        <v>9</v>
      </c>
      <c r="K1600" s="2" t="s">
        <v>21</v>
      </c>
      <c r="L1600" s="2">
        <v>6.92</v>
      </c>
      <c r="M1600" s="2" t="s">
        <v>22</v>
      </c>
      <c r="N1600" s="2">
        <v>99.02</v>
      </c>
      <c r="O1600" s="2" t="s">
        <v>23</v>
      </c>
      <c r="P1600" s="2">
        <v>5.12</v>
      </c>
      <c r="Q1600" s="2">
        <v>5.7</v>
      </c>
      <c r="R1600" s="3">
        <f t="shared" si="120"/>
        <v>2416.64</v>
      </c>
      <c r="S1600" s="3">
        <f t="shared" si="121"/>
        <v>2690.4</v>
      </c>
      <c r="T1600" s="3">
        <f t="shared" si="122"/>
        <v>273.76000000000022</v>
      </c>
      <c r="U1600" s="4">
        <f t="shared" si="123"/>
        <v>0.10175438596491236</v>
      </c>
      <c r="V1600" s="5">
        <f t="shared" si="124"/>
        <v>32.662399999999998</v>
      </c>
    </row>
    <row r="1601" spans="1:22" x14ac:dyDescent="0.25">
      <c r="A1601" s="2" t="s">
        <v>1635</v>
      </c>
      <c r="B1601" s="2" t="s">
        <v>32</v>
      </c>
      <c r="C1601" s="2" t="s">
        <v>43</v>
      </c>
      <c r="D1601" s="2" t="s">
        <v>20</v>
      </c>
      <c r="E1601" s="2">
        <v>372.1</v>
      </c>
      <c r="F1601" s="2">
        <v>8.67</v>
      </c>
      <c r="G1601" s="2">
        <v>25.83</v>
      </c>
      <c r="H1601" s="2">
        <v>0.2</v>
      </c>
      <c r="I1601" s="2">
        <v>1</v>
      </c>
      <c r="J1601" s="2">
        <v>7</v>
      </c>
      <c r="K1601" s="2" t="s">
        <v>21</v>
      </c>
      <c r="L1601" s="2">
        <v>5.53</v>
      </c>
      <c r="M1601" s="2" t="s">
        <v>37</v>
      </c>
      <c r="N1601" s="2">
        <v>50.16</v>
      </c>
      <c r="O1601" s="2" t="s">
        <v>24</v>
      </c>
      <c r="P1601" s="2">
        <v>4.68</v>
      </c>
      <c r="Q1601" s="2">
        <v>9.85</v>
      </c>
      <c r="R1601" s="3">
        <f t="shared" si="120"/>
        <v>1741.4280000000001</v>
      </c>
      <c r="S1601" s="3">
        <f t="shared" si="121"/>
        <v>3665.1849999999999</v>
      </c>
      <c r="T1601" s="3">
        <f t="shared" si="122"/>
        <v>1923.7569999999998</v>
      </c>
      <c r="U1601" s="4">
        <f t="shared" si="123"/>
        <v>0.52487309644670044</v>
      </c>
      <c r="V1601" s="5">
        <f t="shared" si="124"/>
        <v>20.57713</v>
      </c>
    </row>
    <row r="1602" spans="1:22" x14ac:dyDescent="0.25">
      <c r="A1602" s="2" t="s">
        <v>1636</v>
      </c>
      <c r="B1602" s="2" t="s">
        <v>26</v>
      </c>
      <c r="C1602" s="2" t="s">
        <v>43</v>
      </c>
      <c r="D1602" s="2" t="s">
        <v>28</v>
      </c>
      <c r="E1602" s="2">
        <v>551.53</v>
      </c>
      <c r="F1602" s="2">
        <v>8.2799999999999994</v>
      </c>
      <c r="G1602" s="2">
        <v>22.89</v>
      </c>
      <c r="H1602" s="2">
        <v>3.1</v>
      </c>
      <c r="I1602" s="2">
        <v>0.5</v>
      </c>
      <c r="J1602" s="2">
        <v>11</v>
      </c>
      <c r="K1602" s="2" t="s">
        <v>29</v>
      </c>
      <c r="L1602" s="2">
        <v>4.13</v>
      </c>
      <c r="M1602" s="2" t="s">
        <v>22</v>
      </c>
      <c r="N1602" s="2">
        <v>56.01</v>
      </c>
      <c r="O1602" s="2" t="s">
        <v>23</v>
      </c>
      <c r="P1602" s="2">
        <v>7.23</v>
      </c>
      <c r="Q1602" s="2">
        <v>8.24</v>
      </c>
      <c r="R1602" s="3">
        <f t="shared" si="120"/>
        <v>3987.5619000000002</v>
      </c>
      <c r="S1602" s="3">
        <f t="shared" si="121"/>
        <v>4544.6071999999995</v>
      </c>
      <c r="T1602" s="3">
        <f t="shared" si="122"/>
        <v>557.04529999999932</v>
      </c>
      <c r="U1602" s="4">
        <f t="shared" si="123"/>
        <v>0.12257281553398044</v>
      </c>
      <c r="V1602" s="5">
        <f t="shared" si="124"/>
        <v>22.778188999999998</v>
      </c>
    </row>
    <row r="1603" spans="1:22" x14ac:dyDescent="0.25">
      <c r="A1603" s="2" t="s">
        <v>1637</v>
      </c>
      <c r="B1603" s="2" t="s">
        <v>18</v>
      </c>
      <c r="C1603" s="2" t="s">
        <v>27</v>
      </c>
      <c r="D1603" s="2" t="s">
        <v>28</v>
      </c>
      <c r="E1603" s="2">
        <v>416.57</v>
      </c>
      <c r="F1603" s="2">
        <v>10.45</v>
      </c>
      <c r="G1603" s="2">
        <v>36.22</v>
      </c>
      <c r="H1603" s="2">
        <v>1.5</v>
      </c>
      <c r="I1603" s="2">
        <v>2.4</v>
      </c>
      <c r="J1603" s="2">
        <v>9</v>
      </c>
      <c r="K1603" s="2" t="s">
        <v>29</v>
      </c>
      <c r="L1603" s="2">
        <v>4.78</v>
      </c>
      <c r="M1603" s="2" t="s">
        <v>40</v>
      </c>
      <c r="N1603" s="2">
        <v>77.349999999999994</v>
      </c>
      <c r="O1603" s="2" t="s">
        <v>24</v>
      </c>
      <c r="P1603" s="2">
        <v>7.12</v>
      </c>
      <c r="Q1603" s="2">
        <v>13.5</v>
      </c>
      <c r="R1603" s="3">
        <f t="shared" ref="R1603:R1666" si="125">E1603*P1603</f>
        <v>2965.9784</v>
      </c>
      <c r="S1603" s="3">
        <f t="shared" ref="S1603:S1666" si="126">E1603*Q1603</f>
        <v>5623.6949999999997</v>
      </c>
      <c r="T1603" s="3">
        <f t="shared" ref="T1603:T1666" si="127">S1603-R1603</f>
        <v>2657.7165999999997</v>
      </c>
      <c r="U1603" s="4">
        <f t="shared" ref="U1603:U1666" si="128">T1603/S1603</f>
        <v>0.47259259259259256</v>
      </c>
      <c r="V1603" s="5">
        <f t="shared" ref="V1603:V1666" si="129">E1603*L1603/100</f>
        <v>19.912046</v>
      </c>
    </row>
    <row r="1604" spans="1:22" x14ac:dyDescent="0.25">
      <c r="A1604" s="2" t="s">
        <v>1638</v>
      </c>
      <c r="B1604" s="2" t="s">
        <v>45</v>
      </c>
      <c r="C1604" s="2" t="s">
        <v>43</v>
      </c>
      <c r="D1604" s="2" t="s">
        <v>28</v>
      </c>
      <c r="E1604" s="2">
        <v>718.41</v>
      </c>
      <c r="F1604" s="2">
        <v>16.809999999999999</v>
      </c>
      <c r="G1604" s="2">
        <v>24.45</v>
      </c>
      <c r="H1604" s="2">
        <v>0.7</v>
      </c>
      <c r="I1604" s="2">
        <v>3.5</v>
      </c>
      <c r="J1604" s="2">
        <v>17</v>
      </c>
      <c r="K1604" s="2" t="s">
        <v>21</v>
      </c>
      <c r="L1604" s="2">
        <v>0.62</v>
      </c>
      <c r="M1604" s="2" t="s">
        <v>40</v>
      </c>
      <c r="N1604" s="2">
        <v>97.79</v>
      </c>
      <c r="O1604" s="2" t="s">
        <v>30</v>
      </c>
      <c r="P1604" s="2">
        <v>7.41</v>
      </c>
      <c r="Q1604" s="2">
        <v>12.08</v>
      </c>
      <c r="R1604" s="3">
        <f t="shared" si="125"/>
        <v>5323.4180999999999</v>
      </c>
      <c r="S1604" s="3">
        <f t="shared" si="126"/>
        <v>8678.3927999999996</v>
      </c>
      <c r="T1604" s="3">
        <f t="shared" si="127"/>
        <v>3354.9746999999998</v>
      </c>
      <c r="U1604" s="4">
        <f t="shared" si="128"/>
        <v>0.38658940397350994</v>
      </c>
      <c r="V1604" s="5">
        <f t="shared" si="129"/>
        <v>4.454142</v>
      </c>
    </row>
    <row r="1605" spans="1:22" x14ac:dyDescent="0.25">
      <c r="A1605" s="2" t="s">
        <v>1639</v>
      </c>
      <c r="B1605" s="2" t="s">
        <v>32</v>
      </c>
      <c r="C1605" s="2" t="s">
        <v>27</v>
      </c>
      <c r="D1605" s="2" t="s">
        <v>28</v>
      </c>
      <c r="E1605" s="2">
        <v>557.04999999999995</v>
      </c>
      <c r="F1605" s="2">
        <v>12.16</v>
      </c>
      <c r="G1605" s="2">
        <v>34.35</v>
      </c>
      <c r="H1605" s="2">
        <v>2.1</v>
      </c>
      <c r="I1605" s="2">
        <v>0.2</v>
      </c>
      <c r="J1605" s="2">
        <v>9</v>
      </c>
      <c r="K1605" s="2" t="s">
        <v>34</v>
      </c>
      <c r="L1605" s="2">
        <v>7.82</v>
      </c>
      <c r="M1605" s="2" t="s">
        <v>37</v>
      </c>
      <c r="N1605" s="2">
        <v>99.71</v>
      </c>
      <c r="O1605" s="2" t="s">
        <v>24</v>
      </c>
      <c r="P1605" s="2">
        <v>4.1100000000000003</v>
      </c>
      <c r="Q1605" s="2">
        <v>13.69</v>
      </c>
      <c r="R1605" s="3">
        <f t="shared" si="125"/>
        <v>2289.4755</v>
      </c>
      <c r="S1605" s="3">
        <f t="shared" si="126"/>
        <v>7626.0144999999993</v>
      </c>
      <c r="T1605" s="3">
        <f t="shared" si="127"/>
        <v>5336.5389999999989</v>
      </c>
      <c r="U1605" s="4">
        <f t="shared" si="128"/>
        <v>0.69978086194302402</v>
      </c>
      <c r="V1605" s="5">
        <f t="shared" si="129"/>
        <v>43.561309999999992</v>
      </c>
    </row>
    <row r="1606" spans="1:22" x14ac:dyDescent="0.25">
      <c r="A1606" s="2" t="s">
        <v>1640</v>
      </c>
      <c r="B1606" s="2" t="s">
        <v>26</v>
      </c>
      <c r="C1606" s="2" t="s">
        <v>33</v>
      </c>
      <c r="D1606" s="2" t="s">
        <v>20</v>
      </c>
      <c r="E1606" s="2">
        <v>441.94</v>
      </c>
      <c r="F1606" s="2">
        <v>15.2</v>
      </c>
      <c r="G1606" s="2">
        <v>38.869999999999997</v>
      </c>
      <c r="H1606" s="2">
        <v>2.1</v>
      </c>
      <c r="I1606" s="2">
        <v>0.3</v>
      </c>
      <c r="J1606" s="2">
        <v>3</v>
      </c>
      <c r="K1606" s="2" t="s">
        <v>21</v>
      </c>
      <c r="L1606" s="2">
        <v>0.89</v>
      </c>
      <c r="M1606" s="2" t="s">
        <v>37</v>
      </c>
      <c r="N1606" s="2">
        <v>78.37</v>
      </c>
      <c r="O1606" s="2" t="s">
        <v>30</v>
      </c>
      <c r="P1606" s="2">
        <v>5</v>
      </c>
      <c r="Q1606" s="2">
        <v>5.46</v>
      </c>
      <c r="R1606" s="3">
        <f t="shared" si="125"/>
        <v>2209.6999999999998</v>
      </c>
      <c r="S1606" s="3">
        <f t="shared" si="126"/>
        <v>2412.9924000000001</v>
      </c>
      <c r="T1606" s="3">
        <f t="shared" si="127"/>
        <v>203.29240000000027</v>
      </c>
      <c r="U1606" s="4">
        <f t="shared" si="128"/>
        <v>8.4249084249084352E-2</v>
      </c>
      <c r="V1606" s="5">
        <f t="shared" si="129"/>
        <v>3.9332659999999997</v>
      </c>
    </row>
    <row r="1607" spans="1:22" x14ac:dyDescent="0.25">
      <c r="A1607" s="2" t="s">
        <v>1641</v>
      </c>
      <c r="B1607" s="2" t="s">
        <v>18</v>
      </c>
      <c r="C1607" s="2" t="s">
        <v>19</v>
      </c>
      <c r="D1607" s="2" t="s">
        <v>28</v>
      </c>
      <c r="E1607" s="2">
        <v>438.86</v>
      </c>
      <c r="F1607" s="2">
        <v>17.18</v>
      </c>
      <c r="G1607" s="2">
        <v>30.56</v>
      </c>
      <c r="H1607" s="2">
        <v>0.5</v>
      </c>
      <c r="I1607" s="2">
        <v>0.7</v>
      </c>
      <c r="J1607" s="2">
        <v>22</v>
      </c>
      <c r="K1607" s="2" t="s">
        <v>21</v>
      </c>
      <c r="L1607" s="2">
        <v>8.3800000000000008</v>
      </c>
      <c r="M1607" s="2" t="s">
        <v>37</v>
      </c>
      <c r="N1607" s="2">
        <v>58.69</v>
      </c>
      <c r="O1607" s="2" t="s">
        <v>30</v>
      </c>
      <c r="P1607" s="2">
        <v>4.47</v>
      </c>
      <c r="Q1607" s="2">
        <v>12.21</v>
      </c>
      <c r="R1607" s="3">
        <f t="shared" si="125"/>
        <v>1961.7041999999999</v>
      </c>
      <c r="S1607" s="3">
        <f t="shared" si="126"/>
        <v>5358.4806000000008</v>
      </c>
      <c r="T1607" s="3">
        <f t="shared" si="127"/>
        <v>3396.7764000000006</v>
      </c>
      <c r="U1607" s="4">
        <f t="shared" si="128"/>
        <v>0.63390663390663393</v>
      </c>
      <c r="V1607" s="5">
        <f t="shared" si="129"/>
        <v>36.776468000000001</v>
      </c>
    </row>
    <row r="1608" spans="1:22" x14ac:dyDescent="0.25">
      <c r="A1608" s="2" t="s">
        <v>1642</v>
      </c>
      <c r="B1608" s="2" t="s">
        <v>45</v>
      </c>
      <c r="C1608" s="2" t="s">
        <v>33</v>
      </c>
      <c r="D1608" s="2" t="s">
        <v>28</v>
      </c>
      <c r="E1608" s="2">
        <v>490.71</v>
      </c>
      <c r="F1608" s="2">
        <v>12.08</v>
      </c>
      <c r="G1608" s="2">
        <v>30.8</v>
      </c>
      <c r="H1608" s="2">
        <v>0.1</v>
      </c>
      <c r="I1608" s="2">
        <v>0.1</v>
      </c>
      <c r="J1608" s="2">
        <v>8</v>
      </c>
      <c r="K1608" s="2" t="s">
        <v>34</v>
      </c>
      <c r="L1608" s="2">
        <v>5.64</v>
      </c>
      <c r="M1608" s="2" t="s">
        <v>40</v>
      </c>
      <c r="N1608" s="2">
        <v>58.15</v>
      </c>
      <c r="O1608" s="2" t="s">
        <v>30</v>
      </c>
      <c r="P1608" s="2">
        <v>6.78</v>
      </c>
      <c r="Q1608" s="2">
        <v>10.4</v>
      </c>
      <c r="R1608" s="3">
        <f t="shared" si="125"/>
        <v>3327.0138000000002</v>
      </c>
      <c r="S1608" s="3">
        <f t="shared" si="126"/>
        <v>5103.384</v>
      </c>
      <c r="T1608" s="3">
        <f t="shared" si="127"/>
        <v>1776.3701999999998</v>
      </c>
      <c r="U1608" s="4">
        <f t="shared" si="128"/>
        <v>0.34807692307692306</v>
      </c>
      <c r="V1608" s="5">
        <f t="shared" si="129"/>
        <v>27.676043999999997</v>
      </c>
    </row>
    <row r="1609" spans="1:22" x14ac:dyDescent="0.25">
      <c r="A1609" s="2" t="s">
        <v>1643</v>
      </c>
      <c r="B1609" s="2" t="s">
        <v>32</v>
      </c>
      <c r="C1609" s="2" t="s">
        <v>27</v>
      </c>
      <c r="D1609" s="2" t="s">
        <v>28</v>
      </c>
      <c r="E1609" s="2">
        <v>476.05</v>
      </c>
      <c r="F1609" s="2">
        <v>9.91</v>
      </c>
      <c r="G1609" s="2">
        <v>29.22</v>
      </c>
      <c r="H1609" s="2">
        <v>1.1000000000000001</v>
      </c>
      <c r="I1609" s="2">
        <v>0.6</v>
      </c>
      <c r="J1609" s="2">
        <v>19</v>
      </c>
      <c r="K1609" s="2" t="s">
        <v>21</v>
      </c>
      <c r="L1609" s="2">
        <v>5.51</v>
      </c>
      <c r="M1609" s="2" t="s">
        <v>37</v>
      </c>
      <c r="N1609" s="2">
        <v>88.19</v>
      </c>
      <c r="O1609" s="2" t="s">
        <v>23</v>
      </c>
      <c r="P1609" s="2">
        <v>6.23</v>
      </c>
      <c r="Q1609" s="2">
        <v>13.25</v>
      </c>
      <c r="R1609" s="3">
        <f t="shared" si="125"/>
        <v>2965.7915000000003</v>
      </c>
      <c r="S1609" s="3">
        <f t="shared" si="126"/>
        <v>6307.6625000000004</v>
      </c>
      <c r="T1609" s="3">
        <f t="shared" si="127"/>
        <v>3341.8710000000001</v>
      </c>
      <c r="U1609" s="4">
        <f t="shared" si="128"/>
        <v>0.52981132075471693</v>
      </c>
      <c r="V1609" s="5">
        <f t="shared" si="129"/>
        <v>26.230354999999999</v>
      </c>
    </row>
    <row r="1610" spans="1:22" x14ac:dyDescent="0.25">
      <c r="A1610" s="2" t="s">
        <v>1644</v>
      </c>
      <c r="B1610" s="2" t="s">
        <v>45</v>
      </c>
      <c r="C1610" s="2" t="s">
        <v>19</v>
      </c>
      <c r="D1610" s="2" t="s">
        <v>28</v>
      </c>
      <c r="E1610" s="2">
        <v>611.67999999999995</v>
      </c>
      <c r="F1610" s="2">
        <v>13.17</v>
      </c>
      <c r="G1610" s="2">
        <v>26.52</v>
      </c>
      <c r="H1610" s="2">
        <v>1.7</v>
      </c>
      <c r="I1610" s="2">
        <v>0.9</v>
      </c>
      <c r="J1610" s="2">
        <v>20</v>
      </c>
      <c r="K1610" s="2" t="s">
        <v>29</v>
      </c>
      <c r="L1610" s="2">
        <v>7.19</v>
      </c>
      <c r="M1610" s="2" t="s">
        <v>22</v>
      </c>
      <c r="N1610" s="2">
        <v>79.599999999999994</v>
      </c>
      <c r="O1610" s="2" t="s">
        <v>24</v>
      </c>
      <c r="P1610" s="2">
        <v>5.31</v>
      </c>
      <c r="Q1610" s="2">
        <v>10.07</v>
      </c>
      <c r="R1610" s="3">
        <f t="shared" si="125"/>
        <v>3248.0207999999993</v>
      </c>
      <c r="S1610" s="3">
        <f t="shared" si="126"/>
        <v>6159.6175999999996</v>
      </c>
      <c r="T1610" s="3">
        <f t="shared" si="127"/>
        <v>2911.5968000000003</v>
      </c>
      <c r="U1610" s="4">
        <f t="shared" si="128"/>
        <v>0.47269116186693155</v>
      </c>
      <c r="V1610" s="5">
        <f t="shared" si="129"/>
        <v>43.979791999999996</v>
      </c>
    </row>
    <row r="1611" spans="1:22" x14ac:dyDescent="0.25">
      <c r="A1611" s="2" t="s">
        <v>1645</v>
      </c>
      <c r="B1611" s="2" t="s">
        <v>18</v>
      </c>
      <c r="C1611" s="2" t="s">
        <v>27</v>
      </c>
      <c r="D1611" s="2" t="s">
        <v>20</v>
      </c>
      <c r="E1611" s="2">
        <v>518.64</v>
      </c>
      <c r="F1611" s="2">
        <v>17.079999999999998</v>
      </c>
      <c r="G1611" s="2">
        <v>29.51</v>
      </c>
      <c r="H1611" s="2">
        <v>4.2</v>
      </c>
      <c r="I1611" s="2">
        <v>0.7</v>
      </c>
      <c r="J1611" s="2">
        <v>16</v>
      </c>
      <c r="K1611" s="2" t="s">
        <v>34</v>
      </c>
      <c r="L1611" s="2">
        <v>8.67</v>
      </c>
      <c r="M1611" s="2" t="s">
        <v>37</v>
      </c>
      <c r="N1611" s="2">
        <v>77.44</v>
      </c>
      <c r="O1611" s="2" t="s">
        <v>24</v>
      </c>
      <c r="P1611" s="2">
        <v>8.5</v>
      </c>
      <c r="Q1611" s="2">
        <v>10.4</v>
      </c>
      <c r="R1611" s="3">
        <f t="shared" si="125"/>
        <v>4408.4399999999996</v>
      </c>
      <c r="S1611" s="3">
        <f t="shared" si="126"/>
        <v>5393.8559999999998</v>
      </c>
      <c r="T1611" s="3">
        <f t="shared" si="127"/>
        <v>985.41600000000017</v>
      </c>
      <c r="U1611" s="4">
        <f t="shared" si="128"/>
        <v>0.18269230769230774</v>
      </c>
      <c r="V1611" s="5">
        <f t="shared" si="129"/>
        <v>44.966087999999999</v>
      </c>
    </row>
    <row r="1612" spans="1:22" x14ac:dyDescent="0.25">
      <c r="A1612" s="2" t="s">
        <v>1646</v>
      </c>
      <c r="B1612" s="2" t="s">
        <v>32</v>
      </c>
      <c r="C1612" s="2" t="s">
        <v>19</v>
      </c>
      <c r="D1612" s="2" t="s">
        <v>20</v>
      </c>
      <c r="E1612" s="2">
        <v>426.84</v>
      </c>
      <c r="F1612" s="2">
        <v>16.04</v>
      </c>
      <c r="G1612" s="2">
        <v>32.06</v>
      </c>
      <c r="H1612" s="2">
        <v>5.3</v>
      </c>
      <c r="I1612" s="2">
        <v>0.4</v>
      </c>
      <c r="J1612" s="2">
        <v>7</v>
      </c>
      <c r="K1612" s="2" t="s">
        <v>34</v>
      </c>
      <c r="L1612" s="2">
        <v>9.4600000000000009</v>
      </c>
      <c r="M1612" s="2" t="s">
        <v>22</v>
      </c>
      <c r="N1612" s="2">
        <v>73.290000000000006</v>
      </c>
      <c r="O1612" s="2" t="s">
        <v>24</v>
      </c>
      <c r="P1612" s="2">
        <v>3.66</v>
      </c>
      <c r="Q1612" s="2">
        <v>5.52</v>
      </c>
      <c r="R1612" s="3">
        <f t="shared" si="125"/>
        <v>1562.2344000000001</v>
      </c>
      <c r="S1612" s="3">
        <f t="shared" si="126"/>
        <v>2356.1567999999997</v>
      </c>
      <c r="T1612" s="3">
        <f t="shared" si="127"/>
        <v>793.9223999999997</v>
      </c>
      <c r="U1612" s="4">
        <f t="shared" si="128"/>
        <v>0.33695652173913032</v>
      </c>
      <c r="V1612" s="5">
        <f t="shared" si="129"/>
        <v>40.379064</v>
      </c>
    </row>
    <row r="1613" spans="1:22" x14ac:dyDescent="0.25">
      <c r="A1613" s="2" t="s">
        <v>1647</v>
      </c>
      <c r="B1613" s="2" t="s">
        <v>45</v>
      </c>
      <c r="C1613" s="2" t="s">
        <v>19</v>
      </c>
      <c r="D1613" s="2" t="s">
        <v>20</v>
      </c>
      <c r="E1613" s="2">
        <v>689.04</v>
      </c>
      <c r="F1613" s="2">
        <v>8.66</v>
      </c>
      <c r="G1613" s="2">
        <v>39.72</v>
      </c>
      <c r="H1613" s="2">
        <v>1.5</v>
      </c>
      <c r="I1613" s="2">
        <v>0.8</v>
      </c>
      <c r="J1613" s="2">
        <v>28</v>
      </c>
      <c r="K1613" s="2" t="s">
        <v>21</v>
      </c>
      <c r="L1613" s="2">
        <v>5.66</v>
      </c>
      <c r="M1613" s="2" t="s">
        <v>40</v>
      </c>
      <c r="N1613" s="2">
        <v>86.26</v>
      </c>
      <c r="O1613" s="2" t="s">
        <v>30</v>
      </c>
      <c r="P1613" s="2">
        <v>9.82</v>
      </c>
      <c r="Q1613" s="2">
        <v>11.69</v>
      </c>
      <c r="R1613" s="3">
        <f t="shared" si="125"/>
        <v>6766.3728000000001</v>
      </c>
      <c r="S1613" s="3">
        <f t="shared" si="126"/>
        <v>8054.8775999999989</v>
      </c>
      <c r="T1613" s="3">
        <f t="shared" si="127"/>
        <v>1288.5047999999988</v>
      </c>
      <c r="U1613" s="4">
        <f t="shared" si="128"/>
        <v>0.15996578272027362</v>
      </c>
      <c r="V1613" s="5">
        <f t="shared" si="129"/>
        <v>38.999663999999996</v>
      </c>
    </row>
    <row r="1614" spans="1:22" x14ac:dyDescent="0.25">
      <c r="A1614" s="2" t="s">
        <v>1648</v>
      </c>
      <c r="B1614" s="2" t="s">
        <v>26</v>
      </c>
      <c r="C1614" s="2" t="s">
        <v>19</v>
      </c>
      <c r="D1614" s="2" t="s">
        <v>28</v>
      </c>
      <c r="E1614" s="2">
        <v>504.93</v>
      </c>
      <c r="F1614" s="2">
        <v>14.93</v>
      </c>
      <c r="G1614" s="2">
        <v>38.76</v>
      </c>
      <c r="H1614" s="2">
        <v>2.8</v>
      </c>
      <c r="I1614" s="2">
        <v>3.2</v>
      </c>
      <c r="J1614" s="2">
        <v>7</v>
      </c>
      <c r="K1614" s="2" t="s">
        <v>29</v>
      </c>
      <c r="L1614" s="2">
        <v>1.93</v>
      </c>
      <c r="M1614" s="2" t="s">
        <v>22</v>
      </c>
      <c r="N1614" s="2">
        <v>92.9</v>
      </c>
      <c r="O1614" s="2" t="s">
        <v>23</v>
      </c>
      <c r="P1614" s="2">
        <v>3.82</v>
      </c>
      <c r="Q1614" s="2">
        <v>7.73</v>
      </c>
      <c r="R1614" s="3">
        <f t="shared" si="125"/>
        <v>1928.8326</v>
      </c>
      <c r="S1614" s="3">
        <f t="shared" si="126"/>
        <v>3903.1089000000002</v>
      </c>
      <c r="T1614" s="3">
        <f t="shared" si="127"/>
        <v>1974.2763000000002</v>
      </c>
      <c r="U1614" s="4">
        <f t="shared" si="128"/>
        <v>0.50582147477360939</v>
      </c>
      <c r="V1614" s="5">
        <f t="shared" si="129"/>
        <v>9.7451489999999996</v>
      </c>
    </row>
    <row r="1615" spans="1:22" x14ac:dyDescent="0.25">
      <c r="A1615" s="2" t="s">
        <v>1649</v>
      </c>
      <c r="B1615" s="2" t="s">
        <v>32</v>
      </c>
      <c r="C1615" s="2" t="s">
        <v>19</v>
      </c>
      <c r="D1615" s="2" t="s">
        <v>20</v>
      </c>
      <c r="E1615" s="2">
        <v>576.88</v>
      </c>
      <c r="F1615" s="2">
        <v>13.72</v>
      </c>
      <c r="G1615" s="2">
        <v>37.24</v>
      </c>
      <c r="H1615" s="2">
        <v>1.2</v>
      </c>
      <c r="I1615" s="2">
        <v>0.2</v>
      </c>
      <c r="J1615" s="2">
        <v>20</v>
      </c>
      <c r="K1615" s="2" t="s">
        <v>29</v>
      </c>
      <c r="L1615" s="2">
        <v>8.85</v>
      </c>
      <c r="M1615" s="2" t="s">
        <v>22</v>
      </c>
      <c r="N1615" s="2">
        <v>65.150000000000006</v>
      </c>
      <c r="O1615" s="2" t="s">
        <v>24</v>
      </c>
      <c r="P1615" s="2">
        <v>8.41</v>
      </c>
      <c r="Q1615" s="2">
        <v>5.2</v>
      </c>
      <c r="R1615" s="3">
        <f t="shared" si="125"/>
        <v>4851.5608000000002</v>
      </c>
      <c r="S1615" s="3">
        <f t="shared" si="126"/>
        <v>2999.7760000000003</v>
      </c>
      <c r="T1615" s="3">
        <f t="shared" si="127"/>
        <v>-1851.7847999999999</v>
      </c>
      <c r="U1615" s="4">
        <f t="shared" si="128"/>
        <v>-0.61730769230769222</v>
      </c>
      <c r="V1615" s="5">
        <f t="shared" si="129"/>
        <v>51.053879999999999</v>
      </c>
    </row>
    <row r="1616" spans="1:22" x14ac:dyDescent="0.25">
      <c r="A1616" s="2" t="s">
        <v>1650</v>
      </c>
      <c r="B1616" s="2" t="s">
        <v>45</v>
      </c>
      <c r="C1616" s="2" t="s">
        <v>27</v>
      </c>
      <c r="D1616" s="2" t="s">
        <v>28</v>
      </c>
      <c r="E1616" s="2">
        <v>439.18</v>
      </c>
      <c r="F1616" s="2">
        <v>17.07</v>
      </c>
      <c r="G1616" s="2">
        <v>37.78</v>
      </c>
      <c r="H1616" s="2">
        <v>2.7</v>
      </c>
      <c r="I1616" s="2">
        <v>1.1000000000000001</v>
      </c>
      <c r="J1616" s="2">
        <v>25</v>
      </c>
      <c r="K1616" s="2" t="s">
        <v>29</v>
      </c>
      <c r="L1616" s="2">
        <v>0.89</v>
      </c>
      <c r="M1616" s="2" t="s">
        <v>22</v>
      </c>
      <c r="N1616" s="2">
        <v>61.05</v>
      </c>
      <c r="O1616" s="2" t="s">
        <v>24</v>
      </c>
      <c r="P1616" s="2">
        <v>5.58</v>
      </c>
      <c r="Q1616" s="2">
        <v>5.66</v>
      </c>
      <c r="R1616" s="3">
        <f t="shared" si="125"/>
        <v>2450.6244000000002</v>
      </c>
      <c r="S1616" s="3">
        <f t="shared" si="126"/>
        <v>2485.7588000000001</v>
      </c>
      <c r="T1616" s="3">
        <f t="shared" si="127"/>
        <v>35.134399999999914</v>
      </c>
      <c r="U1616" s="4">
        <f t="shared" si="128"/>
        <v>1.4134275618374523E-2</v>
      </c>
      <c r="V1616" s="5">
        <f t="shared" si="129"/>
        <v>3.9087019999999999</v>
      </c>
    </row>
    <row r="1617" spans="1:22" x14ac:dyDescent="0.25">
      <c r="A1617" s="2" t="s">
        <v>1651</v>
      </c>
      <c r="B1617" s="2" t="s">
        <v>18</v>
      </c>
      <c r="C1617" s="2" t="s">
        <v>19</v>
      </c>
      <c r="D1617" s="2" t="s">
        <v>20</v>
      </c>
      <c r="E1617" s="2">
        <v>536.30999999999995</v>
      </c>
      <c r="F1617" s="2">
        <v>9.2200000000000006</v>
      </c>
      <c r="G1617" s="2">
        <v>29.36</v>
      </c>
      <c r="H1617" s="2">
        <v>0.5</v>
      </c>
      <c r="I1617" s="2">
        <v>0</v>
      </c>
      <c r="J1617" s="2">
        <v>13</v>
      </c>
      <c r="K1617" s="2" t="s">
        <v>21</v>
      </c>
      <c r="L1617" s="2">
        <v>8.17</v>
      </c>
      <c r="M1617" s="2" t="s">
        <v>40</v>
      </c>
      <c r="N1617" s="2">
        <v>83.51</v>
      </c>
      <c r="O1617" s="2" t="s">
        <v>23</v>
      </c>
      <c r="P1617" s="2">
        <v>9.06</v>
      </c>
      <c r="Q1617" s="2">
        <v>14.57</v>
      </c>
      <c r="R1617" s="3">
        <f t="shared" si="125"/>
        <v>4858.9686000000002</v>
      </c>
      <c r="S1617" s="3">
        <f t="shared" si="126"/>
        <v>7814.0366999999997</v>
      </c>
      <c r="T1617" s="3">
        <f t="shared" si="127"/>
        <v>2955.0680999999995</v>
      </c>
      <c r="U1617" s="4">
        <f t="shared" si="128"/>
        <v>0.37817433081674667</v>
      </c>
      <c r="V1617" s="5">
        <f t="shared" si="129"/>
        <v>43.816526999999994</v>
      </c>
    </row>
    <row r="1618" spans="1:22" x14ac:dyDescent="0.25">
      <c r="A1618" s="2" t="s">
        <v>1652</v>
      </c>
      <c r="B1618" s="2" t="s">
        <v>18</v>
      </c>
      <c r="C1618" s="2" t="s">
        <v>19</v>
      </c>
      <c r="D1618" s="2" t="s">
        <v>20</v>
      </c>
      <c r="E1618" s="2">
        <v>531.11</v>
      </c>
      <c r="F1618" s="2">
        <v>13.34</v>
      </c>
      <c r="G1618" s="2">
        <v>33.15</v>
      </c>
      <c r="H1618" s="2">
        <v>0.9</v>
      </c>
      <c r="I1618" s="2">
        <v>0.1</v>
      </c>
      <c r="J1618" s="2">
        <v>3</v>
      </c>
      <c r="K1618" s="2" t="s">
        <v>21</v>
      </c>
      <c r="L1618" s="2">
        <v>6.96</v>
      </c>
      <c r="M1618" s="2" t="s">
        <v>22</v>
      </c>
      <c r="N1618" s="2">
        <v>95.74</v>
      </c>
      <c r="O1618" s="2" t="s">
        <v>24</v>
      </c>
      <c r="P1618" s="2">
        <v>3.52</v>
      </c>
      <c r="Q1618" s="2">
        <v>8.4600000000000009</v>
      </c>
      <c r="R1618" s="3">
        <f t="shared" si="125"/>
        <v>1869.5072</v>
      </c>
      <c r="S1618" s="3">
        <f t="shared" si="126"/>
        <v>4493.1906000000008</v>
      </c>
      <c r="T1618" s="3">
        <f t="shared" si="127"/>
        <v>2623.6834000000008</v>
      </c>
      <c r="U1618" s="4">
        <f t="shared" si="128"/>
        <v>0.58392434988179676</v>
      </c>
      <c r="V1618" s="5">
        <f t="shared" si="129"/>
        <v>36.965255999999997</v>
      </c>
    </row>
    <row r="1619" spans="1:22" x14ac:dyDescent="0.25">
      <c r="A1619" s="2" t="s">
        <v>1653</v>
      </c>
      <c r="B1619" s="2" t="s">
        <v>32</v>
      </c>
      <c r="C1619" s="2" t="s">
        <v>33</v>
      </c>
      <c r="D1619" s="2" t="s">
        <v>20</v>
      </c>
      <c r="E1619" s="2">
        <v>311.04000000000002</v>
      </c>
      <c r="F1619" s="2">
        <v>16.79</v>
      </c>
      <c r="G1619" s="2">
        <v>37.9</v>
      </c>
      <c r="H1619" s="2">
        <v>2</v>
      </c>
      <c r="I1619" s="2">
        <v>0.8</v>
      </c>
      <c r="J1619" s="2">
        <v>12</v>
      </c>
      <c r="K1619" s="2" t="s">
        <v>29</v>
      </c>
      <c r="L1619" s="2">
        <v>9.09</v>
      </c>
      <c r="M1619" s="2" t="s">
        <v>22</v>
      </c>
      <c r="N1619" s="2">
        <v>67.41</v>
      </c>
      <c r="O1619" s="2" t="s">
        <v>23</v>
      </c>
      <c r="P1619" s="2">
        <v>5.62</v>
      </c>
      <c r="Q1619" s="2">
        <v>13.68</v>
      </c>
      <c r="R1619" s="3">
        <f t="shared" si="125"/>
        <v>1748.0448000000001</v>
      </c>
      <c r="S1619" s="3">
        <f t="shared" si="126"/>
        <v>4255.0272000000004</v>
      </c>
      <c r="T1619" s="3">
        <f t="shared" si="127"/>
        <v>2506.9824000000003</v>
      </c>
      <c r="U1619" s="4">
        <f t="shared" si="128"/>
        <v>0.58918128654970758</v>
      </c>
      <c r="V1619" s="5">
        <f t="shared" si="129"/>
        <v>28.273536</v>
      </c>
    </row>
    <row r="1620" spans="1:22" x14ac:dyDescent="0.25">
      <c r="A1620" s="2" t="s">
        <v>1654</v>
      </c>
      <c r="B1620" s="2" t="s">
        <v>45</v>
      </c>
      <c r="C1620" s="2" t="s">
        <v>43</v>
      </c>
      <c r="D1620" s="2" t="s">
        <v>20</v>
      </c>
      <c r="E1620" s="2">
        <v>701.53</v>
      </c>
      <c r="F1620" s="2">
        <v>12.1</v>
      </c>
      <c r="G1620" s="2">
        <v>27.86</v>
      </c>
      <c r="H1620" s="2">
        <v>0</v>
      </c>
      <c r="I1620" s="2">
        <v>0.1</v>
      </c>
      <c r="J1620" s="2">
        <v>24</v>
      </c>
      <c r="K1620" s="2" t="s">
        <v>21</v>
      </c>
      <c r="L1620" s="2">
        <v>9.0299999999999994</v>
      </c>
      <c r="M1620" s="2" t="s">
        <v>37</v>
      </c>
      <c r="N1620" s="2">
        <v>63.62</v>
      </c>
      <c r="O1620" s="2" t="s">
        <v>23</v>
      </c>
      <c r="P1620" s="2">
        <v>5.35</v>
      </c>
      <c r="Q1620" s="2">
        <v>14.6</v>
      </c>
      <c r="R1620" s="3">
        <f t="shared" si="125"/>
        <v>3753.1854999999996</v>
      </c>
      <c r="S1620" s="3">
        <f t="shared" si="126"/>
        <v>10242.338</v>
      </c>
      <c r="T1620" s="3">
        <f t="shared" si="127"/>
        <v>6489.1525000000001</v>
      </c>
      <c r="U1620" s="4">
        <f t="shared" si="128"/>
        <v>0.63356164383561642</v>
      </c>
      <c r="V1620" s="5">
        <f t="shared" si="129"/>
        <v>63.348158999999995</v>
      </c>
    </row>
    <row r="1621" spans="1:22" x14ac:dyDescent="0.25">
      <c r="A1621" s="2" t="s">
        <v>1655</v>
      </c>
      <c r="B1621" s="2" t="s">
        <v>32</v>
      </c>
      <c r="C1621" s="2" t="s">
        <v>43</v>
      </c>
      <c r="D1621" s="2" t="s">
        <v>20</v>
      </c>
      <c r="E1621" s="2">
        <v>629.05999999999995</v>
      </c>
      <c r="F1621" s="2">
        <v>12.82</v>
      </c>
      <c r="G1621" s="2">
        <v>39.24</v>
      </c>
      <c r="H1621" s="2">
        <v>2.6</v>
      </c>
      <c r="I1621" s="2">
        <v>0</v>
      </c>
      <c r="J1621" s="2">
        <v>8</v>
      </c>
      <c r="K1621" s="2" t="s">
        <v>29</v>
      </c>
      <c r="L1621" s="2">
        <v>1</v>
      </c>
      <c r="M1621" s="2" t="s">
        <v>37</v>
      </c>
      <c r="N1621" s="2">
        <v>61.31</v>
      </c>
      <c r="O1621" s="2" t="s">
        <v>24</v>
      </c>
      <c r="P1621" s="2">
        <v>9.9499999999999993</v>
      </c>
      <c r="Q1621" s="2">
        <v>14.43</v>
      </c>
      <c r="R1621" s="3">
        <f t="shared" si="125"/>
        <v>6259.146999999999</v>
      </c>
      <c r="S1621" s="3">
        <f t="shared" si="126"/>
        <v>9077.3357999999989</v>
      </c>
      <c r="T1621" s="3">
        <f t="shared" si="127"/>
        <v>2818.1887999999999</v>
      </c>
      <c r="U1621" s="4">
        <f t="shared" si="128"/>
        <v>0.3104643104643105</v>
      </c>
      <c r="V1621" s="5">
        <f t="shared" si="129"/>
        <v>6.2905999999999995</v>
      </c>
    </row>
    <row r="1622" spans="1:22" x14ac:dyDescent="0.25">
      <c r="A1622" s="2" t="s">
        <v>1656</v>
      </c>
      <c r="B1622" s="2" t="s">
        <v>32</v>
      </c>
      <c r="C1622" s="2" t="s">
        <v>33</v>
      </c>
      <c r="D1622" s="2" t="s">
        <v>28</v>
      </c>
      <c r="E1622" s="2">
        <v>460.28</v>
      </c>
      <c r="F1622" s="2">
        <v>8.6999999999999993</v>
      </c>
      <c r="G1622" s="2">
        <v>28.32</v>
      </c>
      <c r="H1622" s="2">
        <v>3.6</v>
      </c>
      <c r="I1622" s="2">
        <v>0.2</v>
      </c>
      <c r="J1622" s="2">
        <v>13</v>
      </c>
      <c r="K1622" s="2" t="s">
        <v>21</v>
      </c>
      <c r="L1622" s="2">
        <v>6.29</v>
      </c>
      <c r="M1622" s="2" t="s">
        <v>37</v>
      </c>
      <c r="N1622" s="2">
        <v>62.72</v>
      </c>
      <c r="O1622" s="2" t="s">
        <v>23</v>
      </c>
      <c r="P1622" s="2">
        <v>9.9</v>
      </c>
      <c r="Q1622" s="2">
        <v>13.82</v>
      </c>
      <c r="R1622" s="3">
        <f t="shared" si="125"/>
        <v>4556.7719999999999</v>
      </c>
      <c r="S1622" s="3">
        <f t="shared" si="126"/>
        <v>6361.0695999999998</v>
      </c>
      <c r="T1622" s="3">
        <f t="shared" si="127"/>
        <v>1804.2975999999999</v>
      </c>
      <c r="U1622" s="4">
        <f t="shared" si="128"/>
        <v>0.28364688856729375</v>
      </c>
      <c r="V1622" s="5">
        <f t="shared" si="129"/>
        <v>28.951612000000001</v>
      </c>
    </row>
    <row r="1623" spans="1:22" x14ac:dyDescent="0.25">
      <c r="A1623" s="2" t="s">
        <v>1657</v>
      </c>
      <c r="B1623" s="2" t="s">
        <v>45</v>
      </c>
      <c r="C1623" s="2" t="s">
        <v>33</v>
      </c>
      <c r="D1623" s="2" t="s">
        <v>20</v>
      </c>
      <c r="E1623" s="2">
        <v>389.77</v>
      </c>
      <c r="F1623" s="2">
        <v>10.78</v>
      </c>
      <c r="G1623" s="2">
        <v>32.020000000000003</v>
      </c>
      <c r="H1623" s="2">
        <v>1</v>
      </c>
      <c r="I1623" s="2">
        <v>0.8</v>
      </c>
      <c r="J1623" s="2">
        <v>20</v>
      </c>
      <c r="K1623" s="2" t="s">
        <v>34</v>
      </c>
      <c r="L1623" s="2">
        <v>1.68</v>
      </c>
      <c r="M1623" s="2" t="s">
        <v>22</v>
      </c>
      <c r="N1623" s="2">
        <v>56.75</v>
      </c>
      <c r="O1623" s="2" t="s">
        <v>23</v>
      </c>
      <c r="P1623" s="2">
        <v>4.33</v>
      </c>
      <c r="Q1623" s="2">
        <v>13.95</v>
      </c>
      <c r="R1623" s="3">
        <f t="shared" si="125"/>
        <v>1687.7040999999999</v>
      </c>
      <c r="S1623" s="3">
        <f t="shared" si="126"/>
        <v>5437.2914999999994</v>
      </c>
      <c r="T1623" s="3">
        <f t="shared" si="127"/>
        <v>3749.5873999999994</v>
      </c>
      <c r="U1623" s="4">
        <f t="shared" si="128"/>
        <v>0.68960573476702502</v>
      </c>
      <c r="V1623" s="5">
        <f t="shared" si="129"/>
        <v>6.5481359999999995</v>
      </c>
    </row>
    <row r="1624" spans="1:22" x14ac:dyDescent="0.25">
      <c r="A1624" s="2" t="s">
        <v>1658</v>
      </c>
      <c r="B1624" s="2" t="s">
        <v>45</v>
      </c>
      <c r="C1624" s="2" t="s">
        <v>27</v>
      </c>
      <c r="D1624" s="2" t="s">
        <v>28</v>
      </c>
      <c r="E1624" s="2">
        <v>534.76</v>
      </c>
      <c r="F1624" s="2">
        <v>11.25</v>
      </c>
      <c r="G1624" s="2">
        <v>34.200000000000003</v>
      </c>
      <c r="H1624" s="2">
        <v>1.2</v>
      </c>
      <c r="I1624" s="2">
        <v>1.2</v>
      </c>
      <c r="J1624" s="2">
        <v>16</v>
      </c>
      <c r="K1624" s="2" t="s">
        <v>34</v>
      </c>
      <c r="L1624" s="2">
        <v>1.25</v>
      </c>
      <c r="M1624" s="2" t="s">
        <v>22</v>
      </c>
      <c r="N1624" s="2">
        <v>79.84</v>
      </c>
      <c r="O1624" s="2" t="s">
        <v>24</v>
      </c>
      <c r="P1624" s="2">
        <v>7.41</v>
      </c>
      <c r="Q1624" s="2">
        <v>7.89</v>
      </c>
      <c r="R1624" s="3">
        <f t="shared" si="125"/>
        <v>3962.5716000000002</v>
      </c>
      <c r="S1624" s="3">
        <f t="shared" si="126"/>
        <v>4219.2563999999993</v>
      </c>
      <c r="T1624" s="3">
        <f t="shared" si="127"/>
        <v>256.68479999999909</v>
      </c>
      <c r="U1624" s="4">
        <f t="shared" si="128"/>
        <v>6.0836501901140476E-2</v>
      </c>
      <c r="V1624" s="5">
        <f t="shared" si="129"/>
        <v>6.6845000000000008</v>
      </c>
    </row>
    <row r="1625" spans="1:22" x14ac:dyDescent="0.25">
      <c r="A1625" s="2" t="s">
        <v>1659</v>
      </c>
      <c r="B1625" s="2" t="s">
        <v>26</v>
      </c>
      <c r="C1625" s="2" t="s">
        <v>27</v>
      </c>
      <c r="D1625" s="2" t="s">
        <v>28</v>
      </c>
      <c r="E1625" s="2">
        <v>508.67</v>
      </c>
      <c r="F1625" s="2">
        <v>17.45</v>
      </c>
      <c r="G1625" s="2">
        <v>39.01</v>
      </c>
      <c r="H1625" s="2">
        <v>3.8</v>
      </c>
      <c r="I1625" s="2">
        <v>0.2</v>
      </c>
      <c r="J1625" s="2">
        <v>7</v>
      </c>
      <c r="K1625" s="2" t="s">
        <v>21</v>
      </c>
      <c r="L1625" s="2">
        <v>4.76</v>
      </c>
      <c r="M1625" s="2" t="s">
        <v>40</v>
      </c>
      <c r="N1625" s="2">
        <v>64.040000000000006</v>
      </c>
      <c r="O1625" s="2" t="s">
        <v>30</v>
      </c>
      <c r="P1625" s="2">
        <v>6.75</v>
      </c>
      <c r="Q1625" s="2">
        <v>6.51</v>
      </c>
      <c r="R1625" s="3">
        <f t="shared" si="125"/>
        <v>3433.5225</v>
      </c>
      <c r="S1625" s="3">
        <f t="shared" si="126"/>
        <v>3311.4416999999999</v>
      </c>
      <c r="T1625" s="3">
        <f t="shared" si="127"/>
        <v>-122.08080000000018</v>
      </c>
      <c r="U1625" s="4">
        <f t="shared" si="128"/>
        <v>-3.6866359447004664E-2</v>
      </c>
      <c r="V1625" s="5">
        <f t="shared" si="129"/>
        <v>24.212692000000001</v>
      </c>
    </row>
    <row r="1626" spans="1:22" x14ac:dyDescent="0.25">
      <c r="A1626" s="2" t="s">
        <v>1660</v>
      </c>
      <c r="B1626" s="2" t="s">
        <v>45</v>
      </c>
      <c r="C1626" s="2" t="s">
        <v>27</v>
      </c>
      <c r="D1626" s="2" t="s">
        <v>28</v>
      </c>
      <c r="E1626" s="2">
        <v>535.57000000000005</v>
      </c>
      <c r="F1626" s="2">
        <v>10.83</v>
      </c>
      <c r="G1626" s="2">
        <v>24.89</v>
      </c>
      <c r="H1626" s="2">
        <v>3</v>
      </c>
      <c r="I1626" s="2">
        <v>1.1000000000000001</v>
      </c>
      <c r="J1626" s="2">
        <v>4</v>
      </c>
      <c r="K1626" s="2" t="s">
        <v>21</v>
      </c>
      <c r="L1626" s="2">
        <v>1.43</v>
      </c>
      <c r="M1626" s="2" t="s">
        <v>22</v>
      </c>
      <c r="N1626" s="2">
        <v>80.75</v>
      </c>
      <c r="O1626" s="2" t="s">
        <v>24</v>
      </c>
      <c r="P1626" s="2">
        <v>4.08</v>
      </c>
      <c r="Q1626" s="2">
        <v>11.39</v>
      </c>
      <c r="R1626" s="3">
        <f t="shared" si="125"/>
        <v>2185.1256000000003</v>
      </c>
      <c r="S1626" s="3">
        <f t="shared" si="126"/>
        <v>6100.1423000000004</v>
      </c>
      <c r="T1626" s="3">
        <f t="shared" si="127"/>
        <v>3915.0167000000001</v>
      </c>
      <c r="U1626" s="4">
        <f t="shared" si="128"/>
        <v>0.64179104477611937</v>
      </c>
      <c r="V1626" s="5">
        <f t="shared" si="129"/>
        <v>7.6586509999999999</v>
      </c>
    </row>
    <row r="1627" spans="1:22" x14ac:dyDescent="0.25">
      <c r="A1627" s="2" t="s">
        <v>1661</v>
      </c>
      <c r="B1627" s="2" t="s">
        <v>18</v>
      </c>
      <c r="C1627" s="2" t="s">
        <v>33</v>
      </c>
      <c r="D1627" s="2" t="s">
        <v>28</v>
      </c>
      <c r="E1627" s="2">
        <v>519.16</v>
      </c>
      <c r="F1627" s="2">
        <v>12.61</v>
      </c>
      <c r="G1627" s="2">
        <v>34.92</v>
      </c>
      <c r="H1627" s="2">
        <v>0.7</v>
      </c>
      <c r="I1627" s="2">
        <v>0.2</v>
      </c>
      <c r="J1627" s="2">
        <v>29</v>
      </c>
      <c r="K1627" s="2" t="s">
        <v>29</v>
      </c>
      <c r="L1627" s="2">
        <v>7.42</v>
      </c>
      <c r="M1627" s="2" t="s">
        <v>22</v>
      </c>
      <c r="N1627" s="2">
        <v>54.15</v>
      </c>
      <c r="O1627" s="2" t="s">
        <v>24</v>
      </c>
      <c r="P1627" s="2">
        <v>4.17</v>
      </c>
      <c r="Q1627" s="2">
        <v>9.8800000000000008</v>
      </c>
      <c r="R1627" s="3">
        <f t="shared" si="125"/>
        <v>2164.8971999999999</v>
      </c>
      <c r="S1627" s="3">
        <f t="shared" si="126"/>
        <v>5129.3008</v>
      </c>
      <c r="T1627" s="3">
        <f t="shared" si="127"/>
        <v>2964.4036000000001</v>
      </c>
      <c r="U1627" s="4">
        <f t="shared" si="128"/>
        <v>0.57793522267206476</v>
      </c>
      <c r="V1627" s="5">
        <f t="shared" si="129"/>
        <v>38.521671999999995</v>
      </c>
    </row>
    <row r="1628" spans="1:22" x14ac:dyDescent="0.25">
      <c r="A1628" s="2" t="s">
        <v>1662</v>
      </c>
      <c r="B1628" s="2" t="s">
        <v>32</v>
      </c>
      <c r="C1628" s="2" t="s">
        <v>33</v>
      </c>
      <c r="D1628" s="2" t="s">
        <v>28</v>
      </c>
      <c r="E1628" s="2">
        <v>550.62</v>
      </c>
      <c r="F1628" s="2">
        <v>14.71</v>
      </c>
      <c r="G1628" s="2">
        <v>30.42</v>
      </c>
      <c r="H1628" s="2">
        <v>0.8</v>
      </c>
      <c r="I1628" s="2">
        <v>1</v>
      </c>
      <c r="J1628" s="2">
        <v>12</v>
      </c>
      <c r="K1628" s="2" t="s">
        <v>34</v>
      </c>
      <c r="L1628" s="2">
        <v>9.6999999999999993</v>
      </c>
      <c r="M1628" s="2" t="s">
        <v>40</v>
      </c>
      <c r="N1628" s="2">
        <v>55.77</v>
      </c>
      <c r="O1628" s="2" t="s">
        <v>30</v>
      </c>
      <c r="P1628" s="2">
        <v>9.92</v>
      </c>
      <c r="Q1628" s="2">
        <v>5.99</v>
      </c>
      <c r="R1628" s="3">
        <f t="shared" si="125"/>
        <v>5462.1504000000004</v>
      </c>
      <c r="S1628" s="3">
        <f t="shared" si="126"/>
        <v>3298.2138</v>
      </c>
      <c r="T1628" s="3">
        <f t="shared" si="127"/>
        <v>-2163.9366000000005</v>
      </c>
      <c r="U1628" s="4">
        <f t="shared" si="128"/>
        <v>-0.65609348914858112</v>
      </c>
      <c r="V1628" s="5">
        <f t="shared" si="129"/>
        <v>53.410139999999991</v>
      </c>
    </row>
    <row r="1629" spans="1:22" x14ac:dyDescent="0.25">
      <c r="A1629" s="2" t="s">
        <v>1663</v>
      </c>
      <c r="B1629" s="2" t="s">
        <v>32</v>
      </c>
      <c r="C1629" s="2" t="s">
        <v>19</v>
      </c>
      <c r="D1629" s="2" t="s">
        <v>20</v>
      </c>
      <c r="E1629" s="2">
        <v>644.73</v>
      </c>
      <c r="F1629" s="2">
        <v>9.6199999999999992</v>
      </c>
      <c r="G1629" s="2">
        <v>25.37</v>
      </c>
      <c r="H1629" s="2">
        <v>2.2999999999999998</v>
      </c>
      <c r="I1629" s="2">
        <v>0.5</v>
      </c>
      <c r="J1629" s="2">
        <v>17</v>
      </c>
      <c r="K1629" s="2" t="s">
        <v>29</v>
      </c>
      <c r="L1629" s="2">
        <v>5.91</v>
      </c>
      <c r="M1629" s="2" t="s">
        <v>22</v>
      </c>
      <c r="N1629" s="2">
        <v>76.81</v>
      </c>
      <c r="O1629" s="2" t="s">
        <v>23</v>
      </c>
      <c r="P1629" s="2">
        <v>6.17</v>
      </c>
      <c r="Q1629" s="2">
        <v>11.78</v>
      </c>
      <c r="R1629" s="3">
        <f t="shared" si="125"/>
        <v>3977.9841000000001</v>
      </c>
      <c r="S1629" s="3">
        <f t="shared" si="126"/>
        <v>7594.9193999999998</v>
      </c>
      <c r="T1629" s="3">
        <f t="shared" si="127"/>
        <v>3616.9352999999996</v>
      </c>
      <c r="U1629" s="4">
        <f t="shared" si="128"/>
        <v>0.47623089983022066</v>
      </c>
      <c r="V1629" s="5">
        <f t="shared" si="129"/>
        <v>38.103543000000002</v>
      </c>
    </row>
    <row r="1630" spans="1:22" x14ac:dyDescent="0.25">
      <c r="A1630" s="2" t="s">
        <v>1664</v>
      </c>
      <c r="B1630" s="2" t="s">
        <v>18</v>
      </c>
      <c r="C1630" s="2" t="s">
        <v>27</v>
      </c>
      <c r="D1630" s="2" t="s">
        <v>20</v>
      </c>
      <c r="E1630" s="2">
        <v>556.80999999999995</v>
      </c>
      <c r="F1630" s="2">
        <v>12.86</v>
      </c>
      <c r="G1630" s="2">
        <v>35.53</v>
      </c>
      <c r="H1630" s="2">
        <v>1.7</v>
      </c>
      <c r="I1630" s="2">
        <v>1.1000000000000001</v>
      </c>
      <c r="J1630" s="2">
        <v>1</v>
      </c>
      <c r="K1630" s="2" t="s">
        <v>21</v>
      </c>
      <c r="L1630" s="2">
        <v>2.73</v>
      </c>
      <c r="M1630" s="2" t="s">
        <v>40</v>
      </c>
      <c r="N1630" s="2">
        <v>75.58</v>
      </c>
      <c r="O1630" s="2" t="s">
        <v>24</v>
      </c>
      <c r="P1630" s="2">
        <v>3.88</v>
      </c>
      <c r="Q1630" s="2">
        <v>10.63</v>
      </c>
      <c r="R1630" s="3">
        <f t="shared" si="125"/>
        <v>2160.4227999999998</v>
      </c>
      <c r="S1630" s="3">
        <f t="shared" si="126"/>
        <v>5918.8903</v>
      </c>
      <c r="T1630" s="3">
        <f t="shared" si="127"/>
        <v>3758.4675000000002</v>
      </c>
      <c r="U1630" s="4">
        <f t="shared" si="128"/>
        <v>0.63499529633113827</v>
      </c>
      <c r="V1630" s="5">
        <f t="shared" si="129"/>
        <v>15.200912999999998</v>
      </c>
    </row>
    <row r="1631" spans="1:22" x14ac:dyDescent="0.25">
      <c r="A1631" s="2" t="s">
        <v>1665</v>
      </c>
      <c r="B1631" s="2" t="s">
        <v>45</v>
      </c>
      <c r="C1631" s="2" t="s">
        <v>27</v>
      </c>
      <c r="D1631" s="2" t="s">
        <v>20</v>
      </c>
      <c r="E1631" s="2">
        <v>395.03</v>
      </c>
      <c r="F1631" s="2">
        <v>15.39</v>
      </c>
      <c r="G1631" s="2">
        <v>31.04</v>
      </c>
      <c r="H1631" s="2">
        <v>0.4</v>
      </c>
      <c r="I1631" s="2">
        <v>5.3</v>
      </c>
      <c r="J1631" s="2">
        <v>17</v>
      </c>
      <c r="K1631" s="2" t="s">
        <v>29</v>
      </c>
      <c r="L1631" s="2">
        <v>8.51</v>
      </c>
      <c r="M1631" s="2" t="s">
        <v>40</v>
      </c>
      <c r="N1631" s="2">
        <v>63.58</v>
      </c>
      <c r="O1631" s="2" t="s">
        <v>30</v>
      </c>
      <c r="P1631" s="2">
        <v>4.5</v>
      </c>
      <c r="Q1631" s="2">
        <v>13.63</v>
      </c>
      <c r="R1631" s="3">
        <f t="shared" si="125"/>
        <v>1777.6349999999998</v>
      </c>
      <c r="S1631" s="3">
        <f t="shared" si="126"/>
        <v>5384.2588999999998</v>
      </c>
      <c r="T1631" s="3">
        <f t="shared" si="127"/>
        <v>3606.6239</v>
      </c>
      <c r="U1631" s="4">
        <f t="shared" si="128"/>
        <v>0.66984592809977994</v>
      </c>
      <c r="V1631" s="5">
        <f t="shared" si="129"/>
        <v>33.617052999999999</v>
      </c>
    </row>
    <row r="1632" spans="1:22" x14ac:dyDescent="0.25">
      <c r="A1632" s="2" t="s">
        <v>1666</v>
      </c>
      <c r="B1632" s="2" t="s">
        <v>18</v>
      </c>
      <c r="C1632" s="2" t="s">
        <v>27</v>
      </c>
      <c r="D1632" s="2" t="s">
        <v>20</v>
      </c>
      <c r="E1632" s="2">
        <v>636.26</v>
      </c>
      <c r="F1632" s="2">
        <v>16.670000000000002</v>
      </c>
      <c r="G1632" s="2">
        <v>33.22</v>
      </c>
      <c r="H1632" s="2">
        <v>0.7</v>
      </c>
      <c r="I1632" s="2">
        <v>2.8</v>
      </c>
      <c r="J1632" s="2">
        <v>2</v>
      </c>
      <c r="K1632" s="2" t="s">
        <v>29</v>
      </c>
      <c r="L1632" s="2">
        <v>8.6</v>
      </c>
      <c r="M1632" s="2" t="s">
        <v>37</v>
      </c>
      <c r="N1632" s="2">
        <v>91.36</v>
      </c>
      <c r="O1632" s="2" t="s">
        <v>30</v>
      </c>
      <c r="P1632" s="2">
        <v>4.88</v>
      </c>
      <c r="Q1632" s="2">
        <v>11.09</v>
      </c>
      <c r="R1632" s="3">
        <f t="shared" si="125"/>
        <v>3104.9487999999997</v>
      </c>
      <c r="S1632" s="3">
        <f t="shared" si="126"/>
        <v>7056.1233999999995</v>
      </c>
      <c r="T1632" s="3">
        <f t="shared" si="127"/>
        <v>3951.1745999999998</v>
      </c>
      <c r="U1632" s="4">
        <f t="shared" si="128"/>
        <v>0.55996393146979262</v>
      </c>
      <c r="V1632" s="5">
        <f t="shared" si="129"/>
        <v>54.71835999999999</v>
      </c>
    </row>
    <row r="1633" spans="1:22" x14ac:dyDescent="0.25">
      <c r="A1633" s="2" t="s">
        <v>1667</v>
      </c>
      <c r="B1633" s="2" t="s">
        <v>18</v>
      </c>
      <c r="C1633" s="2" t="s">
        <v>43</v>
      </c>
      <c r="D1633" s="2" t="s">
        <v>28</v>
      </c>
      <c r="E1633" s="2">
        <v>664.06</v>
      </c>
      <c r="F1633" s="2">
        <v>14.26</v>
      </c>
      <c r="G1633" s="2">
        <v>26.46</v>
      </c>
      <c r="H1633" s="2">
        <v>4.5999999999999996</v>
      </c>
      <c r="I1633" s="2">
        <v>0</v>
      </c>
      <c r="J1633" s="2">
        <v>6</v>
      </c>
      <c r="K1633" s="2" t="s">
        <v>21</v>
      </c>
      <c r="L1633" s="2">
        <v>7.46</v>
      </c>
      <c r="M1633" s="2" t="s">
        <v>22</v>
      </c>
      <c r="N1633" s="2">
        <v>59.35</v>
      </c>
      <c r="O1633" s="2" t="s">
        <v>24</v>
      </c>
      <c r="P1633" s="2">
        <v>6.58</v>
      </c>
      <c r="Q1633" s="2">
        <v>10.74</v>
      </c>
      <c r="R1633" s="3">
        <f t="shared" si="125"/>
        <v>4369.5147999999999</v>
      </c>
      <c r="S1633" s="3">
        <f t="shared" si="126"/>
        <v>7132.0043999999998</v>
      </c>
      <c r="T1633" s="3">
        <f t="shared" si="127"/>
        <v>2762.4895999999999</v>
      </c>
      <c r="U1633" s="4">
        <f t="shared" si="128"/>
        <v>0.38733705772811916</v>
      </c>
      <c r="V1633" s="5">
        <f t="shared" si="129"/>
        <v>49.538876000000002</v>
      </c>
    </row>
    <row r="1634" spans="1:22" x14ac:dyDescent="0.25">
      <c r="A1634" s="2" t="s">
        <v>1668</v>
      </c>
      <c r="B1634" s="2" t="s">
        <v>26</v>
      </c>
      <c r="C1634" s="2" t="s">
        <v>19</v>
      </c>
      <c r="D1634" s="2" t="s">
        <v>20</v>
      </c>
      <c r="E1634" s="2">
        <v>815.21</v>
      </c>
      <c r="F1634" s="2">
        <v>14.69</v>
      </c>
      <c r="G1634" s="2">
        <v>29.63</v>
      </c>
      <c r="H1634" s="2">
        <v>2.2999999999999998</v>
      </c>
      <c r="I1634" s="2">
        <v>2.2000000000000002</v>
      </c>
      <c r="J1634" s="2">
        <v>12</v>
      </c>
      <c r="K1634" s="2" t="s">
        <v>34</v>
      </c>
      <c r="L1634" s="2">
        <v>6.34</v>
      </c>
      <c r="M1634" s="2" t="s">
        <v>37</v>
      </c>
      <c r="N1634" s="2">
        <v>68.03</v>
      </c>
      <c r="O1634" s="2" t="s">
        <v>24</v>
      </c>
      <c r="P1634" s="2">
        <v>5.35</v>
      </c>
      <c r="Q1634" s="2">
        <v>9.41</v>
      </c>
      <c r="R1634" s="3">
        <f t="shared" si="125"/>
        <v>4361.3734999999997</v>
      </c>
      <c r="S1634" s="3">
        <f t="shared" si="126"/>
        <v>7671.1261000000004</v>
      </c>
      <c r="T1634" s="3">
        <f t="shared" si="127"/>
        <v>3309.7526000000007</v>
      </c>
      <c r="U1634" s="4">
        <f t="shared" si="128"/>
        <v>0.43145589798087147</v>
      </c>
      <c r="V1634" s="5">
        <f t="shared" si="129"/>
        <v>51.684314000000001</v>
      </c>
    </row>
    <row r="1635" spans="1:22" x14ac:dyDescent="0.25">
      <c r="A1635" s="2" t="s">
        <v>1669</v>
      </c>
      <c r="B1635" s="2" t="s">
        <v>18</v>
      </c>
      <c r="C1635" s="2" t="s">
        <v>27</v>
      </c>
      <c r="D1635" s="2" t="s">
        <v>20</v>
      </c>
      <c r="E1635" s="2">
        <v>387.65</v>
      </c>
      <c r="F1635" s="2">
        <v>9.26</v>
      </c>
      <c r="G1635" s="2">
        <v>32.35</v>
      </c>
      <c r="H1635" s="2">
        <v>8.5</v>
      </c>
      <c r="I1635" s="2">
        <v>0.1</v>
      </c>
      <c r="J1635" s="2">
        <v>26</v>
      </c>
      <c r="K1635" s="2" t="s">
        <v>29</v>
      </c>
      <c r="L1635" s="2">
        <v>8.74</v>
      </c>
      <c r="M1635" s="2" t="s">
        <v>22</v>
      </c>
      <c r="N1635" s="2">
        <v>77.78</v>
      </c>
      <c r="O1635" s="2" t="s">
        <v>30</v>
      </c>
      <c r="P1635" s="2">
        <v>6.19</v>
      </c>
      <c r="Q1635" s="2">
        <v>9.6300000000000008</v>
      </c>
      <c r="R1635" s="3">
        <f t="shared" si="125"/>
        <v>2399.5535</v>
      </c>
      <c r="S1635" s="3">
        <f t="shared" si="126"/>
        <v>3733.0695000000001</v>
      </c>
      <c r="T1635" s="3">
        <f t="shared" si="127"/>
        <v>1333.5160000000001</v>
      </c>
      <c r="U1635" s="4">
        <f t="shared" si="128"/>
        <v>0.3572170301142264</v>
      </c>
      <c r="V1635" s="5">
        <f t="shared" si="129"/>
        <v>33.880609999999997</v>
      </c>
    </row>
    <row r="1636" spans="1:22" x14ac:dyDescent="0.25">
      <c r="A1636" s="2" t="s">
        <v>1670</v>
      </c>
      <c r="B1636" s="2" t="s">
        <v>32</v>
      </c>
      <c r="C1636" s="2" t="s">
        <v>27</v>
      </c>
      <c r="D1636" s="2" t="s">
        <v>28</v>
      </c>
      <c r="E1636" s="2">
        <v>524.29</v>
      </c>
      <c r="F1636" s="2">
        <v>17.46</v>
      </c>
      <c r="G1636" s="2">
        <v>28.1</v>
      </c>
      <c r="H1636" s="2">
        <v>2.9</v>
      </c>
      <c r="I1636" s="2">
        <v>3.1</v>
      </c>
      <c r="J1636" s="2">
        <v>11</v>
      </c>
      <c r="K1636" s="2" t="s">
        <v>21</v>
      </c>
      <c r="L1636" s="2">
        <v>2.0499999999999998</v>
      </c>
      <c r="M1636" s="2" t="s">
        <v>37</v>
      </c>
      <c r="N1636" s="2">
        <v>93.36</v>
      </c>
      <c r="O1636" s="2" t="s">
        <v>24</v>
      </c>
      <c r="P1636" s="2">
        <v>4.17</v>
      </c>
      <c r="Q1636" s="2">
        <v>14.54</v>
      </c>
      <c r="R1636" s="3">
        <f t="shared" si="125"/>
        <v>2186.2892999999999</v>
      </c>
      <c r="S1636" s="3">
        <f t="shared" si="126"/>
        <v>7623.1765999999989</v>
      </c>
      <c r="T1636" s="3">
        <f t="shared" si="127"/>
        <v>5436.8872999999985</v>
      </c>
      <c r="U1636" s="4">
        <f t="shared" si="128"/>
        <v>0.71320495185694621</v>
      </c>
      <c r="V1636" s="5">
        <f t="shared" si="129"/>
        <v>10.747944999999998</v>
      </c>
    </row>
    <row r="1637" spans="1:22" x14ac:dyDescent="0.25">
      <c r="A1637" s="2" t="s">
        <v>1671</v>
      </c>
      <c r="B1637" s="2" t="s">
        <v>18</v>
      </c>
      <c r="C1637" s="2" t="s">
        <v>27</v>
      </c>
      <c r="D1637" s="2" t="s">
        <v>28</v>
      </c>
      <c r="E1637" s="2">
        <v>291.79000000000002</v>
      </c>
      <c r="F1637" s="2">
        <v>9.33</v>
      </c>
      <c r="G1637" s="2">
        <v>23.97</v>
      </c>
      <c r="H1637" s="2">
        <v>5.7</v>
      </c>
      <c r="I1637" s="2">
        <v>0.3</v>
      </c>
      <c r="J1637" s="2">
        <v>21</v>
      </c>
      <c r="K1637" s="2" t="s">
        <v>29</v>
      </c>
      <c r="L1637" s="2">
        <v>9.35</v>
      </c>
      <c r="M1637" s="2" t="s">
        <v>40</v>
      </c>
      <c r="N1637" s="2">
        <v>70.930000000000007</v>
      </c>
      <c r="O1637" s="2" t="s">
        <v>30</v>
      </c>
      <c r="P1637" s="2">
        <v>5.29</v>
      </c>
      <c r="Q1637" s="2">
        <v>6.38</v>
      </c>
      <c r="R1637" s="3">
        <f t="shared" si="125"/>
        <v>1543.5691000000002</v>
      </c>
      <c r="S1637" s="3">
        <f t="shared" si="126"/>
        <v>1861.6202000000001</v>
      </c>
      <c r="T1637" s="3">
        <f t="shared" si="127"/>
        <v>318.05109999999991</v>
      </c>
      <c r="U1637" s="4">
        <f t="shared" si="128"/>
        <v>0.17084639498432597</v>
      </c>
      <c r="V1637" s="5">
        <f t="shared" si="129"/>
        <v>27.282364999999999</v>
      </c>
    </row>
    <row r="1638" spans="1:22" x14ac:dyDescent="0.25">
      <c r="A1638" s="2" t="s">
        <v>1672</v>
      </c>
      <c r="B1638" s="2" t="s">
        <v>32</v>
      </c>
      <c r="C1638" s="2" t="s">
        <v>43</v>
      </c>
      <c r="D1638" s="2" t="s">
        <v>20</v>
      </c>
      <c r="E1638" s="2">
        <v>555.30999999999995</v>
      </c>
      <c r="F1638" s="2">
        <v>15.75</v>
      </c>
      <c r="G1638" s="2">
        <v>39.229999999999997</v>
      </c>
      <c r="H1638" s="2">
        <v>0.5</v>
      </c>
      <c r="I1638" s="2">
        <v>0.5</v>
      </c>
      <c r="J1638" s="2">
        <v>11</v>
      </c>
      <c r="K1638" s="2" t="s">
        <v>21</v>
      </c>
      <c r="L1638" s="2">
        <v>9.5</v>
      </c>
      <c r="M1638" s="2" t="s">
        <v>40</v>
      </c>
      <c r="N1638" s="2">
        <v>69.930000000000007</v>
      </c>
      <c r="O1638" s="2" t="s">
        <v>24</v>
      </c>
      <c r="P1638" s="2">
        <v>3.49</v>
      </c>
      <c r="Q1638" s="2">
        <v>9.4600000000000009</v>
      </c>
      <c r="R1638" s="3">
        <f t="shared" si="125"/>
        <v>1938.0319</v>
      </c>
      <c r="S1638" s="3">
        <f t="shared" si="126"/>
        <v>5253.2326000000003</v>
      </c>
      <c r="T1638" s="3">
        <f t="shared" si="127"/>
        <v>3315.2007000000003</v>
      </c>
      <c r="U1638" s="4">
        <f t="shared" si="128"/>
        <v>0.63107822410147996</v>
      </c>
      <c r="V1638" s="5">
        <f t="shared" si="129"/>
        <v>52.754449999999999</v>
      </c>
    </row>
    <row r="1639" spans="1:22" x14ac:dyDescent="0.25">
      <c r="A1639" s="2" t="s">
        <v>1673</v>
      </c>
      <c r="B1639" s="2" t="s">
        <v>32</v>
      </c>
      <c r="C1639" s="2" t="s">
        <v>43</v>
      </c>
      <c r="D1639" s="2" t="s">
        <v>20</v>
      </c>
      <c r="E1639" s="2">
        <v>445.18</v>
      </c>
      <c r="F1639" s="2">
        <v>10.65</v>
      </c>
      <c r="G1639" s="2">
        <v>30.23</v>
      </c>
      <c r="H1639" s="2">
        <v>3</v>
      </c>
      <c r="I1639" s="2">
        <v>0.1</v>
      </c>
      <c r="J1639" s="2">
        <v>18</v>
      </c>
      <c r="K1639" s="2" t="s">
        <v>21</v>
      </c>
      <c r="L1639" s="2">
        <v>8.7799999999999994</v>
      </c>
      <c r="M1639" s="2" t="s">
        <v>40</v>
      </c>
      <c r="N1639" s="2">
        <v>78.98</v>
      </c>
      <c r="O1639" s="2" t="s">
        <v>30</v>
      </c>
      <c r="P1639" s="2">
        <v>9.23</v>
      </c>
      <c r="Q1639" s="2">
        <v>11.56</v>
      </c>
      <c r="R1639" s="3">
        <f t="shared" si="125"/>
        <v>4109.0114000000003</v>
      </c>
      <c r="S1639" s="3">
        <f t="shared" si="126"/>
        <v>5146.2808000000005</v>
      </c>
      <c r="T1639" s="3">
        <f t="shared" si="127"/>
        <v>1037.2694000000001</v>
      </c>
      <c r="U1639" s="4">
        <f t="shared" si="128"/>
        <v>0.20155709342560554</v>
      </c>
      <c r="V1639" s="5">
        <f t="shared" si="129"/>
        <v>39.086804000000001</v>
      </c>
    </row>
    <row r="1640" spans="1:22" x14ac:dyDescent="0.25">
      <c r="A1640" s="2" t="s">
        <v>1674</v>
      </c>
      <c r="B1640" s="2" t="s">
        <v>32</v>
      </c>
      <c r="C1640" s="2" t="s">
        <v>33</v>
      </c>
      <c r="D1640" s="2" t="s">
        <v>28</v>
      </c>
      <c r="E1640" s="2">
        <v>692.34</v>
      </c>
      <c r="F1640" s="2">
        <v>17.34</v>
      </c>
      <c r="G1640" s="2">
        <v>34.68</v>
      </c>
      <c r="H1640" s="2">
        <v>0</v>
      </c>
      <c r="I1640" s="2">
        <v>0.1</v>
      </c>
      <c r="J1640" s="2">
        <v>8</v>
      </c>
      <c r="K1640" s="2" t="s">
        <v>21</v>
      </c>
      <c r="L1640" s="2">
        <v>2.88</v>
      </c>
      <c r="M1640" s="2" t="s">
        <v>40</v>
      </c>
      <c r="N1640" s="2">
        <v>65.83</v>
      </c>
      <c r="O1640" s="2" t="s">
        <v>24</v>
      </c>
      <c r="P1640" s="2">
        <v>4.3899999999999997</v>
      </c>
      <c r="Q1640" s="2">
        <v>9.33</v>
      </c>
      <c r="R1640" s="3">
        <f t="shared" si="125"/>
        <v>3039.3725999999997</v>
      </c>
      <c r="S1640" s="3">
        <f t="shared" si="126"/>
        <v>6459.5322000000006</v>
      </c>
      <c r="T1640" s="3">
        <f t="shared" si="127"/>
        <v>3420.1596000000009</v>
      </c>
      <c r="U1640" s="4">
        <f t="shared" si="128"/>
        <v>0.52947481243301187</v>
      </c>
      <c r="V1640" s="5">
        <f t="shared" si="129"/>
        <v>19.939392000000002</v>
      </c>
    </row>
    <row r="1641" spans="1:22" x14ac:dyDescent="0.25">
      <c r="A1641" s="2" t="s">
        <v>1675</v>
      </c>
      <c r="B1641" s="2" t="s">
        <v>45</v>
      </c>
      <c r="C1641" s="2" t="s">
        <v>19</v>
      </c>
      <c r="D1641" s="2" t="s">
        <v>20</v>
      </c>
      <c r="E1641" s="2">
        <v>422.54</v>
      </c>
      <c r="F1641" s="2">
        <v>15.2</v>
      </c>
      <c r="G1641" s="2">
        <v>28.22</v>
      </c>
      <c r="H1641" s="2">
        <v>2.2000000000000002</v>
      </c>
      <c r="I1641" s="2">
        <v>1.3</v>
      </c>
      <c r="J1641" s="2">
        <v>25</v>
      </c>
      <c r="K1641" s="2" t="s">
        <v>34</v>
      </c>
      <c r="L1641" s="2">
        <v>8.65</v>
      </c>
      <c r="M1641" s="2" t="s">
        <v>22</v>
      </c>
      <c r="N1641" s="2">
        <v>85.46</v>
      </c>
      <c r="O1641" s="2" t="s">
        <v>24</v>
      </c>
      <c r="P1641" s="2">
        <v>8.3000000000000007</v>
      </c>
      <c r="Q1641" s="2">
        <v>7.83</v>
      </c>
      <c r="R1641" s="3">
        <f t="shared" si="125"/>
        <v>3507.0820000000003</v>
      </c>
      <c r="S1641" s="3">
        <f t="shared" si="126"/>
        <v>3308.4882000000002</v>
      </c>
      <c r="T1641" s="3">
        <f t="shared" si="127"/>
        <v>-198.5938000000001</v>
      </c>
      <c r="U1641" s="4">
        <f t="shared" si="128"/>
        <v>-6.0025542784163499E-2</v>
      </c>
      <c r="V1641" s="5">
        <f t="shared" si="129"/>
        <v>36.549710000000005</v>
      </c>
    </row>
    <row r="1642" spans="1:22" x14ac:dyDescent="0.25">
      <c r="A1642" s="2" t="s">
        <v>1676</v>
      </c>
      <c r="B1642" s="2" t="s">
        <v>26</v>
      </c>
      <c r="C1642" s="2" t="s">
        <v>33</v>
      </c>
      <c r="D1642" s="2" t="s">
        <v>20</v>
      </c>
      <c r="E1642" s="2">
        <v>331.08</v>
      </c>
      <c r="F1642" s="2">
        <v>15.54</v>
      </c>
      <c r="G1642" s="2">
        <v>27.1</v>
      </c>
      <c r="H1642" s="2">
        <v>1.3</v>
      </c>
      <c r="I1642" s="2">
        <v>2.9</v>
      </c>
      <c r="J1642" s="2">
        <v>7</v>
      </c>
      <c r="K1642" s="2" t="s">
        <v>34</v>
      </c>
      <c r="L1642" s="2">
        <v>5.23</v>
      </c>
      <c r="M1642" s="2" t="s">
        <v>22</v>
      </c>
      <c r="N1642" s="2">
        <v>62.43</v>
      </c>
      <c r="O1642" s="2" t="s">
        <v>24</v>
      </c>
      <c r="P1642" s="2">
        <v>5.45</v>
      </c>
      <c r="Q1642" s="2">
        <v>7.87</v>
      </c>
      <c r="R1642" s="3">
        <f t="shared" si="125"/>
        <v>1804.386</v>
      </c>
      <c r="S1642" s="3">
        <f t="shared" si="126"/>
        <v>2605.5996</v>
      </c>
      <c r="T1642" s="3">
        <f t="shared" si="127"/>
        <v>801.21360000000004</v>
      </c>
      <c r="U1642" s="4">
        <f t="shared" si="128"/>
        <v>0.30749682337992379</v>
      </c>
      <c r="V1642" s="5">
        <f t="shared" si="129"/>
        <v>17.315484000000001</v>
      </c>
    </row>
    <row r="1643" spans="1:22" x14ac:dyDescent="0.25">
      <c r="A1643" s="2" t="s">
        <v>1677</v>
      </c>
      <c r="B1643" s="2" t="s">
        <v>32</v>
      </c>
      <c r="C1643" s="2" t="s">
        <v>19</v>
      </c>
      <c r="D1643" s="2" t="s">
        <v>20</v>
      </c>
      <c r="E1643" s="2">
        <v>452.87</v>
      </c>
      <c r="F1643" s="2">
        <v>10.19</v>
      </c>
      <c r="G1643" s="2">
        <v>28.14</v>
      </c>
      <c r="H1643" s="2">
        <v>0.9</v>
      </c>
      <c r="I1643" s="2">
        <v>0.9</v>
      </c>
      <c r="J1643" s="2">
        <v>28</v>
      </c>
      <c r="K1643" s="2" t="s">
        <v>21</v>
      </c>
      <c r="L1643" s="2">
        <v>6.15</v>
      </c>
      <c r="M1643" s="2" t="s">
        <v>37</v>
      </c>
      <c r="N1643" s="2">
        <v>91.16</v>
      </c>
      <c r="O1643" s="2" t="s">
        <v>23</v>
      </c>
      <c r="P1643" s="2">
        <v>6.32</v>
      </c>
      <c r="Q1643" s="2">
        <v>7.34</v>
      </c>
      <c r="R1643" s="3">
        <f t="shared" si="125"/>
        <v>2862.1384000000003</v>
      </c>
      <c r="S1643" s="3">
        <f t="shared" si="126"/>
        <v>3324.0657999999999</v>
      </c>
      <c r="T1643" s="3">
        <f t="shared" si="127"/>
        <v>461.92739999999958</v>
      </c>
      <c r="U1643" s="4">
        <f t="shared" si="128"/>
        <v>0.13896457765667564</v>
      </c>
      <c r="V1643" s="5">
        <f t="shared" si="129"/>
        <v>27.851505000000003</v>
      </c>
    </row>
    <row r="1644" spans="1:22" x14ac:dyDescent="0.25">
      <c r="A1644" s="2" t="s">
        <v>1678</v>
      </c>
      <c r="B1644" s="2" t="s">
        <v>32</v>
      </c>
      <c r="C1644" s="2" t="s">
        <v>43</v>
      </c>
      <c r="D1644" s="2" t="s">
        <v>20</v>
      </c>
      <c r="E1644" s="2">
        <v>302.45</v>
      </c>
      <c r="F1644" s="2">
        <v>12.43</v>
      </c>
      <c r="G1644" s="2">
        <v>28.18</v>
      </c>
      <c r="H1644" s="2">
        <v>4</v>
      </c>
      <c r="I1644" s="2">
        <v>1.3</v>
      </c>
      <c r="J1644" s="2">
        <v>14</v>
      </c>
      <c r="K1644" s="2" t="s">
        <v>34</v>
      </c>
      <c r="L1644" s="2">
        <v>8.49</v>
      </c>
      <c r="M1644" s="2" t="s">
        <v>22</v>
      </c>
      <c r="N1644" s="2">
        <v>63.62</v>
      </c>
      <c r="O1644" s="2" t="s">
        <v>24</v>
      </c>
      <c r="P1644" s="2">
        <v>5.04</v>
      </c>
      <c r="Q1644" s="2">
        <v>8.44</v>
      </c>
      <c r="R1644" s="3">
        <f t="shared" si="125"/>
        <v>1524.348</v>
      </c>
      <c r="S1644" s="3">
        <f t="shared" si="126"/>
        <v>2552.6779999999999</v>
      </c>
      <c r="T1644" s="3">
        <f t="shared" si="127"/>
        <v>1028.33</v>
      </c>
      <c r="U1644" s="4">
        <f t="shared" si="128"/>
        <v>0.40284360189573459</v>
      </c>
      <c r="V1644" s="5">
        <f t="shared" si="129"/>
        <v>25.678004999999999</v>
      </c>
    </row>
    <row r="1645" spans="1:22" x14ac:dyDescent="0.25">
      <c r="A1645" s="2" t="s">
        <v>1679</v>
      </c>
      <c r="B1645" s="2" t="s">
        <v>45</v>
      </c>
      <c r="C1645" s="2" t="s">
        <v>27</v>
      </c>
      <c r="D1645" s="2" t="s">
        <v>28</v>
      </c>
      <c r="E1645" s="2">
        <v>575.11</v>
      </c>
      <c r="F1645" s="2">
        <v>14.18</v>
      </c>
      <c r="G1645" s="2">
        <v>30.88</v>
      </c>
      <c r="H1645" s="2">
        <v>3.9</v>
      </c>
      <c r="I1645" s="2">
        <v>1.4</v>
      </c>
      <c r="J1645" s="2">
        <v>16</v>
      </c>
      <c r="K1645" s="2" t="s">
        <v>29</v>
      </c>
      <c r="L1645" s="2">
        <v>0.78</v>
      </c>
      <c r="M1645" s="2" t="s">
        <v>22</v>
      </c>
      <c r="N1645" s="2">
        <v>99.64</v>
      </c>
      <c r="O1645" s="2" t="s">
        <v>30</v>
      </c>
      <c r="P1645" s="2">
        <v>7.88</v>
      </c>
      <c r="Q1645" s="2">
        <v>13.72</v>
      </c>
      <c r="R1645" s="3">
        <f t="shared" si="125"/>
        <v>4531.8667999999998</v>
      </c>
      <c r="S1645" s="3">
        <f t="shared" si="126"/>
        <v>7890.5092000000004</v>
      </c>
      <c r="T1645" s="3">
        <f t="shared" si="127"/>
        <v>3358.6424000000006</v>
      </c>
      <c r="U1645" s="4">
        <f t="shared" si="128"/>
        <v>0.42565597667638488</v>
      </c>
      <c r="V1645" s="5">
        <f t="shared" si="129"/>
        <v>4.4858580000000003</v>
      </c>
    </row>
    <row r="1646" spans="1:22" x14ac:dyDescent="0.25">
      <c r="A1646" s="2" t="s">
        <v>1680</v>
      </c>
      <c r="B1646" s="2" t="s">
        <v>32</v>
      </c>
      <c r="C1646" s="2" t="s">
        <v>33</v>
      </c>
      <c r="D1646" s="2" t="s">
        <v>28</v>
      </c>
      <c r="E1646" s="2">
        <v>293.49</v>
      </c>
      <c r="F1646" s="2">
        <v>15.7</v>
      </c>
      <c r="G1646" s="2">
        <v>30.87</v>
      </c>
      <c r="H1646" s="2">
        <v>0</v>
      </c>
      <c r="I1646" s="2">
        <v>0.3</v>
      </c>
      <c r="J1646" s="2">
        <v>12</v>
      </c>
      <c r="K1646" s="2" t="s">
        <v>34</v>
      </c>
      <c r="L1646" s="2">
        <v>3.95</v>
      </c>
      <c r="M1646" s="2" t="s">
        <v>37</v>
      </c>
      <c r="N1646" s="2">
        <v>65.819999999999993</v>
      </c>
      <c r="O1646" s="2" t="s">
        <v>30</v>
      </c>
      <c r="P1646" s="2">
        <v>8.91</v>
      </c>
      <c r="Q1646" s="2">
        <v>10.050000000000001</v>
      </c>
      <c r="R1646" s="3">
        <f t="shared" si="125"/>
        <v>2614.9959000000003</v>
      </c>
      <c r="S1646" s="3">
        <f t="shared" si="126"/>
        <v>2949.5745000000002</v>
      </c>
      <c r="T1646" s="3">
        <f t="shared" si="127"/>
        <v>334.57859999999982</v>
      </c>
      <c r="U1646" s="4">
        <f t="shared" si="128"/>
        <v>0.11343283582089546</v>
      </c>
      <c r="V1646" s="5">
        <f t="shared" si="129"/>
        <v>11.592855000000002</v>
      </c>
    </row>
    <row r="1647" spans="1:22" x14ac:dyDescent="0.25">
      <c r="A1647" s="2" t="s">
        <v>1681</v>
      </c>
      <c r="B1647" s="2" t="s">
        <v>18</v>
      </c>
      <c r="C1647" s="2" t="s">
        <v>27</v>
      </c>
      <c r="D1647" s="2" t="s">
        <v>28</v>
      </c>
      <c r="E1647" s="2">
        <v>502.85</v>
      </c>
      <c r="F1647" s="2">
        <v>9.0399999999999991</v>
      </c>
      <c r="G1647" s="2">
        <v>29.94</v>
      </c>
      <c r="H1647" s="2">
        <v>1.9</v>
      </c>
      <c r="I1647" s="2">
        <v>0</v>
      </c>
      <c r="J1647" s="2">
        <v>9</v>
      </c>
      <c r="K1647" s="2" t="s">
        <v>34</v>
      </c>
      <c r="L1647" s="2">
        <v>8.25</v>
      </c>
      <c r="M1647" s="2" t="s">
        <v>40</v>
      </c>
      <c r="N1647" s="2">
        <v>93.94</v>
      </c>
      <c r="O1647" s="2" t="s">
        <v>23</v>
      </c>
      <c r="P1647" s="2">
        <v>5</v>
      </c>
      <c r="Q1647" s="2">
        <v>7.4</v>
      </c>
      <c r="R1647" s="3">
        <f t="shared" si="125"/>
        <v>2514.25</v>
      </c>
      <c r="S1647" s="3">
        <f t="shared" si="126"/>
        <v>3721.09</v>
      </c>
      <c r="T1647" s="3">
        <f t="shared" si="127"/>
        <v>1206.8400000000001</v>
      </c>
      <c r="U1647" s="4">
        <f t="shared" si="128"/>
        <v>0.32432432432432434</v>
      </c>
      <c r="V1647" s="5">
        <f t="shared" si="129"/>
        <v>41.485124999999996</v>
      </c>
    </row>
    <row r="1648" spans="1:22" x14ac:dyDescent="0.25">
      <c r="A1648" s="2" t="s">
        <v>1682</v>
      </c>
      <c r="B1648" s="2" t="s">
        <v>18</v>
      </c>
      <c r="C1648" s="2" t="s">
        <v>33</v>
      </c>
      <c r="D1648" s="2" t="s">
        <v>20</v>
      </c>
      <c r="E1648" s="2">
        <v>292.22000000000003</v>
      </c>
      <c r="F1648" s="2">
        <v>17.62</v>
      </c>
      <c r="G1648" s="2">
        <v>22.7</v>
      </c>
      <c r="H1648" s="2">
        <v>0.9</v>
      </c>
      <c r="I1648" s="2">
        <v>0</v>
      </c>
      <c r="J1648" s="2">
        <v>20</v>
      </c>
      <c r="K1648" s="2" t="s">
        <v>29</v>
      </c>
      <c r="L1648" s="2">
        <v>8.23</v>
      </c>
      <c r="M1648" s="2" t="s">
        <v>37</v>
      </c>
      <c r="N1648" s="2">
        <v>69.87</v>
      </c>
      <c r="O1648" s="2" t="s">
        <v>23</v>
      </c>
      <c r="P1648" s="2">
        <v>4.7</v>
      </c>
      <c r="Q1648" s="2">
        <v>8.85</v>
      </c>
      <c r="R1648" s="3">
        <f t="shared" si="125"/>
        <v>1373.4340000000002</v>
      </c>
      <c r="S1648" s="3">
        <f t="shared" si="126"/>
        <v>2586.1469999999999</v>
      </c>
      <c r="T1648" s="3">
        <f t="shared" si="127"/>
        <v>1212.7129999999997</v>
      </c>
      <c r="U1648" s="4">
        <f t="shared" si="128"/>
        <v>0.46892655367231628</v>
      </c>
      <c r="V1648" s="5">
        <f t="shared" si="129"/>
        <v>24.049706000000004</v>
      </c>
    </row>
    <row r="1649" spans="1:22" x14ac:dyDescent="0.25">
      <c r="A1649" s="2" t="s">
        <v>1683</v>
      </c>
      <c r="B1649" s="2" t="s">
        <v>26</v>
      </c>
      <c r="C1649" s="2" t="s">
        <v>43</v>
      </c>
      <c r="D1649" s="2" t="s">
        <v>20</v>
      </c>
      <c r="E1649" s="2">
        <v>467.97</v>
      </c>
      <c r="F1649" s="2">
        <v>16.899999999999999</v>
      </c>
      <c r="G1649" s="2">
        <v>29.92</v>
      </c>
      <c r="H1649" s="2">
        <v>1.1000000000000001</v>
      </c>
      <c r="I1649" s="2">
        <v>0.4</v>
      </c>
      <c r="J1649" s="2">
        <v>29</v>
      </c>
      <c r="K1649" s="2" t="s">
        <v>29</v>
      </c>
      <c r="L1649" s="2">
        <v>8.56</v>
      </c>
      <c r="M1649" s="2" t="s">
        <v>37</v>
      </c>
      <c r="N1649" s="2">
        <v>62.3</v>
      </c>
      <c r="O1649" s="2" t="s">
        <v>23</v>
      </c>
      <c r="P1649" s="2">
        <v>7.77</v>
      </c>
      <c r="Q1649" s="2">
        <v>6.06</v>
      </c>
      <c r="R1649" s="3">
        <f t="shared" si="125"/>
        <v>3636.1269000000002</v>
      </c>
      <c r="S1649" s="3">
        <f t="shared" si="126"/>
        <v>2835.8982000000001</v>
      </c>
      <c r="T1649" s="3">
        <f t="shared" si="127"/>
        <v>-800.22870000000012</v>
      </c>
      <c r="U1649" s="4">
        <f t="shared" si="128"/>
        <v>-0.28217821782178221</v>
      </c>
      <c r="V1649" s="5">
        <f t="shared" si="129"/>
        <v>40.058232000000004</v>
      </c>
    </row>
    <row r="1650" spans="1:22" x14ac:dyDescent="0.25">
      <c r="A1650" s="2" t="s">
        <v>1684</v>
      </c>
      <c r="B1650" s="2" t="s">
        <v>32</v>
      </c>
      <c r="C1650" s="2" t="s">
        <v>43</v>
      </c>
      <c r="D1650" s="2" t="s">
        <v>20</v>
      </c>
      <c r="E1650" s="2">
        <v>664.34</v>
      </c>
      <c r="F1650" s="2">
        <v>10.7</v>
      </c>
      <c r="G1650" s="2">
        <v>23.38</v>
      </c>
      <c r="H1650" s="2">
        <v>3.6</v>
      </c>
      <c r="I1650" s="2">
        <v>0.3</v>
      </c>
      <c r="J1650" s="2">
        <v>23</v>
      </c>
      <c r="K1650" s="2" t="s">
        <v>29</v>
      </c>
      <c r="L1650" s="2">
        <v>2.11</v>
      </c>
      <c r="M1650" s="2" t="s">
        <v>40</v>
      </c>
      <c r="N1650" s="2">
        <v>61.31</v>
      </c>
      <c r="O1650" s="2" t="s">
        <v>24</v>
      </c>
      <c r="P1650" s="2">
        <v>4.37</v>
      </c>
      <c r="Q1650" s="2">
        <v>14.04</v>
      </c>
      <c r="R1650" s="3">
        <f t="shared" si="125"/>
        <v>2903.1658000000002</v>
      </c>
      <c r="S1650" s="3">
        <f t="shared" si="126"/>
        <v>9327.3335999999999</v>
      </c>
      <c r="T1650" s="3">
        <f t="shared" si="127"/>
        <v>6424.1677999999993</v>
      </c>
      <c r="U1650" s="4">
        <f t="shared" si="128"/>
        <v>0.68874643874643871</v>
      </c>
      <c r="V1650" s="5">
        <f t="shared" si="129"/>
        <v>14.017574</v>
      </c>
    </row>
    <row r="1651" spans="1:22" x14ac:dyDescent="0.25">
      <c r="A1651" s="2" t="s">
        <v>1685</v>
      </c>
      <c r="B1651" s="2" t="s">
        <v>45</v>
      </c>
      <c r="C1651" s="2" t="s">
        <v>43</v>
      </c>
      <c r="D1651" s="2" t="s">
        <v>20</v>
      </c>
      <c r="E1651" s="2">
        <v>536.05999999999995</v>
      </c>
      <c r="F1651" s="2">
        <v>16.23</v>
      </c>
      <c r="G1651" s="2">
        <v>22.52</v>
      </c>
      <c r="H1651" s="2">
        <v>0.7</v>
      </c>
      <c r="I1651" s="2">
        <v>0.1</v>
      </c>
      <c r="J1651" s="2">
        <v>21</v>
      </c>
      <c r="K1651" s="2" t="s">
        <v>21</v>
      </c>
      <c r="L1651" s="2">
        <v>7.21</v>
      </c>
      <c r="M1651" s="2" t="s">
        <v>37</v>
      </c>
      <c r="N1651" s="2">
        <v>92.51</v>
      </c>
      <c r="O1651" s="2" t="s">
        <v>24</v>
      </c>
      <c r="P1651" s="2">
        <v>7.48</v>
      </c>
      <c r="Q1651" s="2">
        <v>9.08</v>
      </c>
      <c r="R1651" s="3">
        <f t="shared" si="125"/>
        <v>4009.7287999999999</v>
      </c>
      <c r="S1651" s="3">
        <f t="shared" si="126"/>
        <v>4867.4247999999998</v>
      </c>
      <c r="T1651" s="3">
        <f t="shared" si="127"/>
        <v>857.69599999999991</v>
      </c>
      <c r="U1651" s="4">
        <f t="shared" si="128"/>
        <v>0.17621145374449337</v>
      </c>
      <c r="V1651" s="5">
        <f t="shared" si="129"/>
        <v>38.649925999999994</v>
      </c>
    </row>
    <row r="1652" spans="1:22" x14ac:dyDescent="0.25">
      <c r="A1652" s="2" t="s">
        <v>1686</v>
      </c>
      <c r="B1652" s="2" t="s">
        <v>18</v>
      </c>
      <c r="C1652" s="2" t="s">
        <v>33</v>
      </c>
      <c r="D1652" s="2" t="s">
        <v>20</v>
      </c>
      <c r="E1652" s="2">
        <v>413.65</v>
      </c>
      <c r="F1652" s="2">
        <v>13.18</v>
      </c>
      <c r="G1652" s="2">
        <v>38.65</v>
      </c>
      <c r="H1652" s="2">
        <v>5.7</v>
      </c>
      <c r="I1652" s="2">
        <v>0.2</v>
      </c>
      <c r="J1652" s="2">
        <v>16</v>
      </c>
      <c r="K1652" s="2" t="s">
        <v>29</v>
      </c>
      <c r="L1652" s="2">
        <v>1.89</v>
      </c>
      <c r="M1652" s="2" t="s">
        <v>37</v>
      </c>
      <c r="N1652" s="2">
        <v>65.44</v>
      </c>
      <c r="O1652" s="2" t="s">
        <v>30</v>
      </c>
      <c r="P1652" s="2">
        <v>3.66</v>
      </c>
      <c r="Q1652" s="2">
        <v>14.8</v>
      </c>
      <c r="R1652" s="3">
        <f t="shared" si="125"/>
        <v>1513.9590000000001</v>
      </c>
      <c r="S1652" s="3">
        <f t="shared" si="126"/>
        <v>6122.0199999999995</v>
      </c>
      <c r="T1652" s="3">
        <f t="shared" si="127"/>
        <v>4608.0609999999997</v>
      </c>
      <c r="U1652" s="4">
        <f t="shared" si="128"/>
        <v>0.75270270270270268</v>
      </c>
      <c r="V1652" s="5">
        <f t="shared" si="129"/>
        <v>7.8179849999999984</v>
      </c>
    </row>
    <row r="1653" spans="1:22" x14ac:dyDescent="0.25">
      <c r="A1653" s="2" t="s">
        <v>1687</v>
      </c>
      <c r="B1653" s="2" t="s">
        <v>45</v>
      </c>
      <c r="C1653" s="2" t="s">
        <v>19</v>
      </c>
      <c r="D1653" s="2" t="s">
        <v>28</v>
      </c>
      <c r="E1653" s="2">
        <v>496.88</v>
      </c>
      <c r="F1653" s="2">
        <v>12.62</v>
      </c>
      <c r="G1653" s="2">
        <v>32.1</v>
      </c>
      <c r="H1653" s="2">
        <v>0.4</v>
      </c>
      <c r="I1653" s="2">
        <v>0.1</v>
      </c>
      <c r="J1653" s="2">
        <v>21</v>
      </c>
      <c r="K1653" s="2" t="s">
        <v>29</v>
      </c>
      <c r="L1653" s="2">
        <v>7.96</v>
      </c>
      <c r="M1653" s="2" t="s">
        <v>37</v>
      </c>
      <c r="N1653" s="2">
        <v>66.930000000000007</v>
      </c>
      <c r="O1653" s="2" t="s">
        <v>30</v>
      </c>
      <c r="P1653" s="2">
        <v>7.34</v>
      </c>
      <c r="Q1653" s="2">
        <v>8.48</v>
      </c>
      <c r="R1653" s="3">
        <f t="shared" si="125"/>
        <v>3647.0992000000001</v>
      </c>
      <c r="S1653" s="3">
        <f t="shared" si="126"/>
        <v>4213.5424000000003</v>
      </c>
      <c r="T1653" s="3">
        <f t="shared" si="127"/>
        <v>566.44320000000016</v>
      </c>
      <c r="U1653" s="4">
        <f t="shared" si="128"/>
        <v>0.13443396226415097</v>
      </c>
      <c r="V1653" s="5">
        <f t="shared" si="129"/>
        <v>39.551648</v>
      </c>
    </row>
    <row r="1654" spans="1:22" x14ac:dyDescent="0.25">
      <c r="A1654" s="2" t="s">
        <v>1688</v>
      </c>
      <c r="B1654" s="2" t="s">
        <v>45</v>
      </c>
      <c r="C1654" s="2" t="s">
        <v>33</v>
      </c>
      <c r="D1654" s="2" t="s">
        <v>20</v>
      </c>
      <c r="E1654" s="2">
        <v>501.8</v>
      </c>
      <c r="F1654" s="2">
        <v>11.14</v>
      </c>
      <c r="G1654" s="2">
        <v>33.19</v>
      </c>
      <c r="H1654" s="2">
        <v>2.2000000000000002</v>
      </c>
      <c r="I1654" s="2">
        <v>2.5</v>
      </c>
      <c r="J1654" s="2">
        <v>19</v>
      </c>
      <c r="K1654" s="2" t="s">
        <v>29</v>
      </c>
      <c r="L1654" s="2">
        <v>2.83</v>
      </c>
      <c r="M1654" s="2" t="s">
        <v>22</v>
      </c>
      <c r="N1654" s="2">
        <v>59.85</v>
      </c>
      <c r="O1654" s="2" t="s">
        <v>24</v>
      </c>
      <c r="P1654" s="2">
        <v>6.59</v>
      </c>
      <c r="Q1654" s="2">
        <v>13.36</v>
      </c>
      <c r="R1654" s="3">
        <f t="shared" si="125"/>
        <v>3306.8620000000001</v>
      </c>
      <c r="S1654" s="3">
        <f t="shared" si="126"/>
        <v>6704.0479999999998</v>
      </c>
      <c r="T1654" s="3">
        <f t="shared" si="127"/>
        <v>3397.1859999999997</v>
      </c>
      <c r="U1654" s="4">
        <f t="shared" si="128"/>
        <v>0.50673652694610771</v>
      </c>
      <c r="V1654" s="5">
        <f t="shared" si="129"/>
        <v>14.200940000000001</v>
      </c>
    </row>
    <row r="1655" spans="1:22" x14ac:dyDescent="0.25">
      <c r="A1655" s="2" t="s">
        <v>1689</v>
      </c>
      <c r="B1655" s="2" t="s">
        <v>18</v>
      </c>
      <c r="C1655" s="2" t="s">
        <v>19</v>
      </c>
      <c r="D1655" s="2" t="s">
        <v>20</v>
      </c>
      <c r="E1655" s="2">
        <v>547.26</v>
      </c>
      <c r="F1655" s="2">
        <v>13.81</v>
      </c>
      <c r="G1655" s="2">
        <v>28.04</v>
      </c>
      <c r="H1655" s="2">
        <v>2.2000000000000002</v>
      </c>
      <c r="I1655" s="2">
        <v>0.2</v>
      </c>
      <c r="J1655" s="2">
        <v>16</v>
      </c>
      <c r="K1655" s="2" t="s">
        <v>21</v>
      </c>
      <c r="L1655" s="2">
        <v>7.51</v>
      </c>
      <c r="M1655" s="2" t="s">
        <v>40</v>
      </c>
      <c r="N1655" s="2">
        <v>98.07</v>
      </c>
      <c r="O1655" s="2" t="s">
        <v>30</v>
      </c>
      <c r="P1655" s="2">
        <v>3.8</v>
      </c>
      <c r="Q1655" s="2">
        <v>7.56</v>
      </c>
      <c r="R1655" s="3">
        <f t="shared" si="125"/>
        <v>2079.5879999999997</v>
      </c>
      <c r="S1655" s="3">
        <f t="shared" si="126"/>
        <v>4137.2856000000002</v>
      </c>
      <c r="T1655" s="3">
        <f t="shared" si="127"/>
        <v>2057.6976000000004</v>
      </c>
      <c r="U1655" s="4">
        <f t="shared" si="128"/>
        <v>0.49735449735449744</v>
      </c>
      <c r="V1655" s="5">
        <f t="shared" si="129"/>
        <v>41.099226000000002</v>
      </c>
    </row>
    <row r="1656" spans="1:22" x14ac:dyDescent="0.25">
      <c r="A1656" s="2" t="s">
        <v>1690</v>
      </c>
      <c r="B1656" s="2" t="s">
        <v>45</v>
      </c>
      <c r="C1656" s="2" t="s">
        <v>33</v>
      </c>
      <c r="D1656" s="2" t="s">
        <v>28</v>
      </c>
      <c r="E1656" s="2">
        <v>363.31</v>
      </c>
      <c r="F1656" s="2">
        <v>15.3</v>
      </c>
      <c r="G1656" s="2">
        <v>38.18</v>
      </c>
      <c r="H1656" s="2">
        <v>0.6</v>
      </c>
      <c r="I1656" s="2">
        <v>0.8</v>
      </c>
      <c r="J1656" s="2">
        <v>9</v>
      </c>
      <c r="K1656" s="2" t="s">
        <v>34</v>
      </c>
      <c r="L1656" s="2">
        <v>4.82</v>
      </c>
      <c r="M1656" s="2" t="s">
        <v>40</v>
      </c>
      <c r="N1656" s="2">
        <v>62.24</v>
      </c>
      <c r="O1656" s="2" t="s">
        <v>24</v>
      </c>
      <c r="P1656" s="2">
        <v>7.54</v>
      </c>
      <c r="Q1656" s="2">
        <v>5.76</v>
      </c>
      <c r="R1656" s="3">
        <f t="shared" si="125"/>
        <v>2739.3573999999999</v>
      </c>
      <c r="S1656" s="3">
        <f t="shared" si="126"/>
        <v>2092.6655999999998</v>
      </c>
      <c r="T1656" s="3">
        <f t="shared" si="127"/>
        <v>-646.69180000000006</v>
      </c>
      <c r="U1656" s="4">
        <f t="shared" si="128"/>
        <v>-0.30902777777777785</v>
      </c>
      <c r="V1656" s="5">
        <f t="shared" si="129"/>
        <v>17.511542000000002</v>
      </c>
    </row>
    <row r="1657" spans="1:22" x14ac:dyDescent="0.25">
      <c r="A1657" s="2" t="s">
        <v>1691</v>
      </c>
      <c r="B1657" s="2" t="s">
        <v>18</v>
      </c>
      <c r="C1657" s="2" t="s">
        <v>33</v>
      </c>
      <c r="D1657" s="2" t="s">
        <v>20</v>
      </c>
      <c r="E1657" s="2">
        <v>559.26</v>
      </c>
      <c r="F1657" s="2">
        <v>12.11</v>
      </c>
      <c r="G1657" s="2">
        <v>32.76</v>
      </c>
      <c r="H1657" s="2">
        <v>0.8</v>
      </c>
      <c r="I1657" s="2">
        <v>0.9</v>
      </c>
      <c r="J1657" s="2">
        <v>13</v>
      </c>
      <c r="K1657" s="2" t="s">
        <v>21</v>
      </c>
      <c r="L1657" s="2">
        <v>9.8699999999999992</v>
      </c>
      <c r="M1657" s="2" t="s">
        <v>37</v>
      </c>
      <c r="N1657" s="2">
        <v>62.37</v>
      </c>
      <c r="O1657" s="2" t="s">
        <v>23</v>
      </c>
      <c r="P1657" s="2">
        <v>6.13</v>
      </c>
      <c r="Q1657" s="2">
        <v>5.32</v>
      </c>
      <c r="R1657" s="3">
        <f t="shared" si="125"/>
        <v>3428.2637999999997</v>
      </c>
      <c r="S1657" s="3">
        <f t="shared" si="126"/>
        <v>2975.2632000000003</v>
      </c>
      <c r="T1657" s="3">
        <f t="shared" si="127"/>
        <v>-453.00059999999939</v>
      </c>
      <c r="U1657" s="4">
        <f t="shared" si="128"/>
        <v>-0.15225563909774414</v>
      </c>
      <c r="V1657" s="5">
        <f t="shared" si="129"/>
        <v>55.198961999999995</v>
      </c>
    </row>
    <row r="1658" spans="1:22" x14ac:dyDescent="0.25">
      <c r="A1658" s="2" t="s">
        <v>1692</v>
      </c>
      <c r="B1658" s="2" t="s">
        <v>45</v>
      </c>
      <c r="C1658" s="2" t="s">
        <v>43</v>
      </c>
      <c r="D1658" s="2" t="s">
        <v>28</v>
      </c>
      <c r="E1658" s="2">
        <v>229.56</v>
      </c>
      <c r="F1658" s="2">
        <v>14.29</v>
      </c>
      <c r="G1658" s="2">
        <v>35.380000000000003</v>
      </c>
      <c r="H1658" s="2">
        <v>3.6</v>
      </c>
      <c r="I1658" s="2">
        <v>0.8</v>
      </c>
      <c r="J1658" s="2">
        <v>26</v>
      </c>
      <c r="K1658" s="2" t="s">
        <v>34</v>
      </c>
      <c r="L1658" s="2">
        <v>6.01</v>
      </c>
      <c r="M1658" s="2" t="s">
        <v>22</v>
      </c>
      <c r="N1658" s="2">
        <v>97.19</v>
      </c>
      <c r="O1658" s="2" t="s">
        <v>24</v>
      </c>
      <c r="P1658" s="2">
        <v>4.5199999999999996</v>
      </c>
      <c r="Q1658" s="2">
        <v>11.06</v>
      </c>
      <c r="R1658" s="3">
        <f t="shared" si="125"/>
        <v>1037.6111999999998</v>
      </c>
      <c r="S1658" s="3">
        <f t="shared" si="126"/>
        <v>2538.9336000000003</v>
      </c>
      <c r="T1658" s="3">
        <f t="shared" si="127"/>
        <v>1501.3224000000005</v>
      </c>
      <c r="U1658" s="4">
        <f t="shared" si="128"/>
        <v>0.59132007233273065</v>
      </c>
      <c r="V1658" s="5">
        <f t="shared" si="129"/>
        <v>13.796556000000001</v>
      </c>
    </row>
    <row r="1659" spans="1:22" x14ac:dyDescent="0.25">
      <c r="A1659" s="2" t="s">
        <v>1693</v>
      </c>
      <c r="B1659" s="2" t="s">
        <v>18</v>
      </c>
      <c r="C1659" s="2" t="s">
        <v>27</v>
      </c>
      <c r="D1659" s="2" t="s">
        <v>28</v>
      </c>
      <c r="E1659" s="2">
        <v>437.01</v>
      </c>
      <c r="F1659" s="2">
        <v>14.99</v>
      </c>
      <c r="G1659" s="2">
        <v>27.37</v>
      </c>
      <c r="H1659" s="2">
        <v>2.9</v>
      </c>
      <c r="I1659" s="2">
        <v>0.1</v>
      </c>
      <c r="J1659" s="2">
        <v>5</v>
      </c>
      <c r="K1659" s="2" t="s">
        <v>29</v>
      </c>
      <c r="L1659" s="2">
        <v>6.51</v>
      </c>
      <c r="M1659" s="2" t="s">
        <v>40</v>
      </c>
      <c r="N1659" s="2">
        <v>95.04</v>
      </c>
      <c r="O1659" s="2" t="s">
        <v>24</v>
      </c>
      <c r="P1659" s="2">
        <v>5.47</v>
      </c>
      <c r="Q1659" s="2">
        <v>8.1199999999999992</v>
      </c>
      <c r="R1659" s="3">
        <f t="shared" si="125"/>
        <v>2390.4447</v>
      </c>
      <c r="S1659" s="3">
        <f t="shared" si="126"/>
        <v>3548.5211999999997</v>
      </c>
      <c r="T1659" s="3">
        <f t="shared" si="127"/>
        <v>1158.0764999999997</v>
      </c>
      <c r="U1659" s="4">
        <f t="shared" si="128"/>
        <v>0.32635467980295563</v>
      </c>
      <c r="V1659" s="5">
        <f t="shared" si="129"/>
        <v>28.449350999999997</v>
      </c>
    </row>
    <row r="1660" spans="1:22" x14ac:dyDescent="0.25">
      <c r="A1660" s="2" t="s">
        <v>1694</v>
      </c>
      <c r="B1660" s="2" t="s">
        <v>32</v>
      </c>
      <c r="C1660" s="2" t="s">
        <v>27</v>
      </c>
      <c r="D1660" s="2" t="s">
        <v>28</v>
      </c>
      <c r="E1660" s="2">
        <v>451.17</v>
      </c>
      <c r="F1660" s="2">
        <v>15.11</v>
      </c>
      <c r="G1660" s="2">
        <v>39.200000000000003</v>
      </c>
      <c r="H1660" s="2">
        <v>0.8</v>
      </c>
      <c r="I1660" s="2">
        <v>0.4</v>
      </c>
      <c r="J1660" s="2">
        <v>22</v>
      </c>
      <c r="K1660" s="2" t="s">
        <v>21</v>
      </c>
      <c r="L1660" s="2">
        <v>4</v>
      </c>
      <c r="M1660" s="2" t="s">
        <v>40</v>
      </c>
      <c r="N1660" s="2">
        <v>62.45</v>
      </c>
      <c r="O1660" s="2" t="s">
        <v>24</v>
      </c>
      <c r="P1660" s="2">
        <v>6.44</v>
      </c>
      <c r="Q1660" s="2">
        <v>9.44</v>
      </c>
      <c r="R1660" s="3">
        <f t="shared" si="125"/>
        <v>2905.5348000000004</v>
      </c>
      <c r="S1660" s="3">
        <f t="shared" si="126"/>
        <v>4259.0447999999997</v>
      </c>
      <c r="T1660" s="3">
        <f t="shared" si="127"/>
        <v>1353.5099999999993</v>
      </c>
      <c r="U1660" s="4">
        <f t="shared" si="128"/>
        <v>0.3177966101694914</v>
      </c>
      <c r="V1660" s="5">
        <f t="shared" si="129"/>
        <v>18.046800000000001</v>
      </c>
    </row>
    <row r="1661" spans="1:22" x14ac:dyDescent="0.25">
      <c r="A1661" s="2" t="s">
        <v>1695</v>
      </c>
      <c r="B1661" s="2" t="s">
        <v>26</v>
      </c>
      <c r="C1661" s="2" t="s">
        <v>19</v>
      </c>
      <c r="D1661" s="2" t="s">
        <v>28</v>
      </c>
      <c r="E1661" s="2">
        <v>563.33000000000004</v>
      </c>
      <c r="F1661" s="2">
        <v>8.52</v>
      </c>
      <c r="G1661" s="2">
        <v>36.409999999999997</v>
      </c>
      <c r="H1661" s="2">
        <v>1.5</v>
      </c>
      <c r="I1661" s="2">
        <v>0.1</v>
      </c>
      <c r="J1661" s="2">
        <v>19</v>
      </c>
      <c r="K1661" s="2" t="s">
        <v>21</v>
      </c>
      <c r="L1661" s="2">
        <v>7.48</v>
      </c>
      <c r="M1661" s="2" t="s">
        <v>37</v>
      </c>
      <c r="N1661" s="2">
        <v>93.24</v>
      </c>
      <c r="O1661" s="2" t="s">
        <v>30</v>
      </c>
      <c r="P1661" s="2">
        <v>3.64</v>
      </c>
      <c r="Q1661" s="2">
        <v>13.19</v>
      </c>
      <c r="R1661" s="3">
        <f t="shared" si="125"/>
        <v>2050.5212000000001</v>
      </c>
      <c r="S1661" s="3">
        <f t="shared" si="126"/>
        <v>7430.3227000000006</v>
      </c>
      <c r="T1661" s="3">
        <f t="shared" si="127"/>
        <v>5379.8015000000005</v>
      </c>
      <c r="U1661" s="4">
        <f t="shared" si="128"/>
        <v>0.72403335860500384</v>
      </c>
      <c r="V1661" s="5">
        <f t="shared" si="129"/>
        <v>42.137084000000002</v>
      </c>
    </row>
    <row r="1662" spans="1:22" x14ac:dyDescent="0.25">
      <c r="A1662" s="2" t="s">
        <v>1696</v>
      </c>
      <c r="B1662" s="2" t="s">
        <v>18</v>
      </c>
      <c r="C1662" s="2" t="s">
        <v>27</v>
      </c>
      <c r="D1662" s="2" t="s">
        <v>28</v>
      </c>
      <c r="E1662" s="2">
        <v>502.26</v>
      </c>
      <c r="F1662" s="2">
        <v>16.600000000000001</v>
      </c>
      <c r="G1662" s="2">
        <v>37.08</v>
      </c>
      <c r="H1662" s="2">
        <v>0.1</v>
      </c>
      <c r="I1662" s="2">
        <v>0.5</v>
      </c>
      <c r="J1662" s="2">
        <v>10</v>
      </c>
      <c r="K1662" s="2" t="s">
        <v>34</v>
      </c>
      <c r="L1662" s="2">
        <v>5.2</v>
      </c>
      <c r="M1662" s="2" t="s">
        <v>37</v>
      </c>
      <c r="N1662" s="2">
        <v>62.49</v>
      </c>
      <c r="O1662" s="2" t="s">
        <v>24</v>
      </c>
      <c r="P1662" s="2">
        <v>9.6999999999999993</v>
      </c>
      <c r="Q1662" s="2">
        <v>7.48</v>
      </c>
      <c r="R1662" s="3">
        <f t="shared" si="125"/>
        <v>4871.9219999999996</v>
      </c>
      <c r="S1662" s="3">
        <f t="shared" si="126"/>
        <v>3756.9048000000003</v>
      </c>
      <c r="T1662" s="3">
        <f t="shared" si="127"/>
        <v>-1115.0171999999993</v>
      </c>
      <c r="U1662" s="4">
        <f t="shared" si="128"/>
        <v>-0.29679144385026718</v>
      </c>
      <c r="V1662" s="5">
        <f t="shared" si="129"/>
        <v>26.117519999999999</v>
      </c>
    </row>
    <row r="1663" spans="1:22" x14ac:dyDescent="0.25">
      <c r="A1663" s="2" t="s">
        <v>1697</v>
      </c>
      <c r="B1663" s="2" t="s">
        <v>18</v>
      </c>
      <c r="C1663" s="2" t="s">
        <v>33</v>
      </c>
      <c r="D1663" s="2" t="s">
        <v>20</v>
      </c>
      <c r="E1663" s="2">
        <v>359.44</v>
      </c>
      <c r="F1663" s="2">
        <v>12.58</v>
      </c>
      <c r="G1663" s="2">
        <v>23.44</v>
      </c>
      <c r="H1663" s="2">
        <v>0.5</v>
      </c>
      <c r="I1663" s="2">
        <v>0.2</v>
      </c>
      <c r="J1663" s="2">
        <v>7</v>
      </c>
      <c r="K1663" s="2" t="s">
        <v>21</v>
      </c>
      <c r="L1663" s="2">
        <v>0.67</v>
      </c>
      <c r="M1663" s="2" t="s">
        <v>37</v>
      </c>
      <c r="N1663" s="2">
        <v>54.22</v>
      </c>
      <c r="O1663" s="2" t="s">
        <v>24</v>
      </c>
      <c r="P1663" s="2">
        <v>7.66</v>
      </c>
      <c r="Q1663" s="2">
        <v>8.09</v>
      </c>
      <c r="R1663" s="3">
        <f t="shared" si="125"/>
        <v>2753.3103999999998</v>
      </c>
      <c r="S1663" s="3">
        <f t="shared" si="126"/>
        <v>2907.8696</v>
      </c>
      <c r="T1663" s="3">
        <f t="shared" si="127"/>
        <v>154.55920000000015</v>
      </c>
      <c r="U1663" s="4">
        <f t="shared" si="128"/>
        <v>5.3152039555006234E-2</v>
      </c>
      <c r="V1663" s="5">
        <f t="shared" si="129"/>
        <v>2.4082479999999999</v>
      </c>
    </row>
    <row r="1664" spans="1:22" x14ac:dyDescent="0.25">
      <c r="A1664" s="2" t="s">
        <v>1698</v>
      </c>
      <c r="B1664" s="2" t="s">
        <v>26</v>
      </c>
      <c r="C1664" s="2" t="s">
        <v>33</v>
      </c>
      <c r="D1664" s="2" t="s">
        <v>28</v>
      </c>
      <c r="E1664" s="2">
        <v>401.5</v>
      </c>
      <c r="F1664" s="2">
        <v>10.62</v>
      </c>
      <c r="G1664" s="2">
        <v>25.42</v>
      </c>
      <c r="H1664" s="2">
        <v>1.3</v>
      </c>
      <c r="I1664" s="2">
        <v>0.8</v>
      </c>
      <c r="J1664" s="2">
        <v>9</v>
      </c>
      <c r="K1664" s="2" t="s">
        <v>21</v>
      </c>
      <c r="L1664" s="2">
        <v>6.28</v>
      </c>
      <c r="M1664" s="2" t="s">
        <v>40</v>
      </c>
      <c r="N1664" s="2">
        <v>91.02</v>
      </c>
      <c r="O1664" s="2" t="s">
        <v>24</v>
      </c>
      <c r="P1664" s="2">
        <v>3.72</v>
      </c>
      <c r="Q1664" s="2">
        <v>13.45</v>
      </c>
      <c r="R1664" s="3">
        <f t="shared" si="125"/>
        <v>1493.5800000000002</v>
      </c>
      <c r="S1664" s="3">
        <f t="shared" si="126"/>
        <v>5400.1749999999993</v>
      </c>
      <c r="T1664" s="3">
        <f t="shared" si="127"/>
        <v>3906.5949999999993</v>
      </c>
      <c r="U1664" s="4">
        <f t="shared" si="128"/>
        <v>0.72342007434944233</v>
      </c>
      <c r="V1664" s="5">
        <f t="shared" si="129"/>
        <v>25.214200000000002</v>
      </c>
    </row>
    <row r="1665" spans="1:22" x14ac:dyDescent="0.25">
      <c r="A1665" s="2" t="s">
        <v>1699</v>
      </c>
      <c r="B1665" s="2" t="s">
        <v>18</v>
      </c>
      <c r="C1665" s="2" t="s">
        <v>43</v>
      </c>
      <c r="D1665" s="2" t="s">
        <v>28</v>
      </c>
      <c r="E1665" s="2">
        <v>519.87</v>
      </c>
      <c r="F1665" s="2">
        <v>10.42</v>
      </c>
      <c r="G1665" s="2">
        <v>25.71</v>
      </c>
      <c r="H1665" s="2">
        <v>0.2</v>
      </c>
      <c r="I1665" s="2">
        <v>1.2</v>
      </c>
      <c r="J1665" s="2">
        <v>25</v>
      </c>
      <c r="K1665" s="2" t="s">
        <v>34</v>
      </c>
      <c r="L1665" s="2">
        <v>8.39</v>
      </c>
      <c r="M1665" s="2" t="s">
        <v>37</v>
      </c>
      <c r="N1665" s="2">
        <v>88.58</v>
      </c>
      <c r="O1665" s="2" t="s">
        <v>23</v>
      </c>
      <c r="P1665" s="2">
        <v>8.76</v>
      </c>
      <c r="Q1665" s="2">
        <v>9.93</v>
      </c>
      <c r="R1665" s="3">
        <f t="shared" si="125"/>
        <v>4554.0612000000001</v>
      </c>
      <c r="S1665" s="3">
        <f t="shared" si="126"/>
        <v>5162.3090999999995</v>
      </c>
      <c r="T1665" s="3">
        <f t="shared" si="127"/>
        <v>608.24789999999939</v>
      </c>
      <c r="U1665" s="4">
        <f t="shared" si="128"/>
        <v>0.11782477341389717</v>
      </c>
      <c r="V1665" s="5">
        <f t="shared" si="129"/>
        <v>43.617093000000004</v>
      </c>
    </row>
    <row r="1666" spans="1:22" x14ac:dyDescent="0.25">
      <c r="A1666" s="2" t="s">
        <v>1700</v>
      </c>
      <c r="B1666" s="2" t="s">
        <v>18</v>
      </c>
      <c r="C1666" s="2" t="s">
        <v>43</v>
      </c>
      <c r="D1666" s="2" t="s">
        <v>20</v>
      </c>
      <c r="E1666" s="2">
        <v>492.09</v>
      </c>
      <c r="F1666" s="2">
        <v>12.83</v>
      </c>
      <c r="G1666" s="2">
        <v>25.42</v>
      </c>
      <c r="H1666" s="2">
        <v>3.7</v>
      </c>
      <c r="I1666" s="2">
        <v>0.8</v>
      </c>
      <c r="J1666" s="2">
        <v>14</v>
      </c>
      <c r="K1666" s="2" t="s">
        <v>21</v>
      </c>
      <c r="L1666" s="2">
        <v>2.75</v>
      </c>
      <c r="M1666" s="2" t="s">
        <v>37</v>
      </c>
      <c r="N1666" s="2">
        <v>64.73</v>
      </c>
      <c r="O1666" s="2" t="s">
        <v>24</v>
      </c>
      <c r="P1666" s="2">
        <v>5.26</v>
      </c>
      <c r="Q1666" s="2">
        <v>13.28</v>
      </c>
      <c r="R1666" s="3">
        <f t="shared" si="125"/>
        <v>2588.3933999999999</v>
      </c>
      <c r="S1666" s="3">
        <f t="shared" si="126"/>
        <v>6534.9551999999994</v>
      </c>
      <c r="T1666" s="3">
        <f t="shared" si="127"/>
        <v>3946.5617999999995</v>
      </c>
      <c r="U1666" s="4">
        <f t="shared" si="128"/>
        <v>0.60391566265060237</v>
      </c>
      <c r="V1666" s="5">
        <f t="shared" si="129"/>
        <v>13.532475</v>
      </c>
    </row>
    <row r="1667" spans="1:22" x14ac:dyDescent="0.25">
      <c r="A1667" s="2" t="s">
        <v>1701</v>
      </c>
      <c r="B1667" s="2" t="s">
        <v>45</v>
      </c>
      <c r="C1667" s="2" t="s">
        <v>27</v>
      </c>
      <c r="D1667" s="2" t="s">
        <v>20</v>
      </c>
      <c r="E1667" s="2">
        <v>442.09</v>
      </c>
      <c r="F1667" s="2">
        <v>16.87</v>
      </c>
      <c r="G1667" s="2">
        <v>37.11</v>
      </c>
      <c r="H1667" s="2">
        <v>2.5</v>
      </c>
      <c r="I1667" s="2">
        <v>0.6</v>
      </c>
      <c r="J1667" s="2">
        <v>15</v>
      </c>
      <c r="K1667" s="2" t="s">
        <v>21</v>
      </c>
      <c r="L1667" s="2">
        <v>2.6</v>
      </c>
      <c r="M1667" s="2" t="s">
        <v>37</v>
      </c>
      <c r="N1667" s="2">
        <v>54.51</v>
      </c>
      <c r="O1667" s="2" t="s">
        <v>24</v>
      </c>
      <c r="P1667" s="2">
        <v>7.18</v>
      </c>
      <c r="Q1667" s="2">
        <v>8.74</v>
      </c>
      <c r="R1667" s="3">
        <f t="shared" ref="R1667:R1730" si="130">E1667*P1667</f>
        <v>3174.2061999999996</v>
      </c>
      <c r="S1667" s="3">
        <f t="shared" ref="S1667:S1730" si="131">E1667*Q1667</f>
        <v>3863.8665999999998</v>
      </c>
      <c r="T1667" s="3">
        <f t="shared" ref="T1667:T1730" si="132">S1667-R1667</f>
        <v>689.66040000000021</v>
      </c>
      <c r="U1667" s="4">
        <f t="shared" ref="U1667:U1730" si="133">T1667/S1667</f>
        <v>0.17848970251716254</v>
      </c>
      <c r="V1667" s="5">
        <f t="shared" ref="V1667:V1730" si="134">E1667*L1667/100</f>
        <v>11.494339999999999</v>
      </c>
    </row>
    <row r="1668" spans="1:22" x14ac:dyDescent="0.25">
      <c r="A1668" s="2" t="s">
        <v>1702</v>
      </c>
      <c r="B1668" s="2" t="s">
        <v>26</v>
      </c>
      <c r="C1668" s="2" t="s">
        <v>19</v>
      </c>
      <c r="D1668" s="2" t="s">
        <v>28</v>
      </c>
      <c r="E1668" s="2">
        <v>451.92</v>
      </c>
      <c r="F1668" s="2">
        <v>11.78</v>
      </c>
      <c r="G1668" s="2">
        <v>20.64</v>
      </c>
      <c r="H1668" s="2">
        <v>5.8</v>
      </c>
      <c r="I1668" s="2">
        <v>0.5</v>
      </c>
      <c r="J1668" s="2">
        <v>13</v>
      </c>
      <c r="K1668" s="2" t="s">
        <v>29</v>
      </c>
      <c r="L1668" s="2">
        <v>6.28</v>
      </c>
      <c r="M1668" s="2" t="s">
        <v>22</v>
      </c>
      <c r="N1668" s="2">
        <v>60.32</v>
      </c>
      <c r="O1668" s="2" t="s">
        <v>24</v>
      </c>
      <c r="P1668" s="2">
        <v>4.9400000000000004</v>
      </c>
      <c r="Q1668" s="2">
        <v>8.98</v>
      </c>
      <c r="R1668" s="3">
        <f t="shared" si="130"/>
        <v>2232.4848000000002</v>
      </c>
      <c r="S1668" s="3">
        <f t="shared" si="131"/>
        <v>4058.2416000000003</v>
      </c>
      <c r="T1668" s="3">
        <f t="shared" si="132"/>
        <v>1825.7568000000001</v>
      </c>
      <c r="U1668" s="4">
        <f t="shared" si="133"/>
        <v>0.44988864142538976</v>
      </c>
      <c r="V1668" s="5">
        <f t="shared" si="134"/>
        <v>28.380576000000001</v>
      </c>
    </row>
    <row r="1669" spans="1:22" x14ac:dyDescent="0.25">
      <c r="A1669" s="2" t="s">
        <v>1703</v>
      </c>
      <c r="B1669" s="2" t="s">
        <v>32</v>
      </c>
      <c r="C1669" s="2" t="s">
        <v>27</v>
      </c>
      <c r="D1669" s="2" t="s">
        <v>20</v>
      </c>
      <c r="E1669" s="2">
        <v>569.62</v>
      </c>
      <c r="F1669" s="2">
        <v>15.5</v>
      </c>
      <c r="G1669" s="2">
        <v>21.52</v>
      </c>
      <c r="H1669" s="2">
        <v>2.4</v>
      </c>
      <c r="I1669" s="2">
        <v>1.8</v>
      </c>
      <c r="J1669" s="2">
        <v>10</v>
      </c>
      <c r="K1669" s="2" t="s">
        <v>29</v>
      </c>
      <c r="L1669" s="2">
        <v>8.27</v>
      </c>
      <c r="M1669" s="2" t="s">
        <v>37</v>
      </c>
      <c r="N1669" s="2">
        <v>88.55</v>
      </c>
      <c r="O1669" s="2" t="s">
        <v>30</v>
      </c>
      <c r="P1669" s="2">
        <v>8.1300000000000008</v>
      </c>
      <c r="Q1669" s="2">
        <v>6.67</v>
      </c>
      <c r="R1669" s="3">
        <f t="shared" si="130"/>
        <v>4631.0106000000005</v>
      </c>
      <c r="S1669" s="3">
        <f t="shared" si="131"/>
        <v>3799.3654000000001</v>
      </c>
      <c r="T1669" s="3">
        <f t="shared" si="132"/>
        <v>-831.64520000000039</v>
      </c>
      <c r="U1669" s="4">
        <f t="shared" si="133"/>
        <v>-0.21889055472263877</v>
      </c>
      <c r="V1669" s="5">
        <f t="shared" si="134"/>
        <v>47.107573999999993</v>
      </c>
    </row>
    <row r="1670" spans="1:22" x14ac:dyDescent="0.25">
      <c r="A1670" s="2" t="s">
        <v>1704</v>
      </c>
      <c r="B1670" s="2" t="s">
        <v>18</v>
      </c>
      <c r="C1670" s="2" t="s">
        <v>27</v>
      </c>
      <c r="D1670" s="2" t="s">
        <v>20</v>
      </c>
      <c r="E1670" s="2">
        <v>448.23</v>
      </c>
      <c r="F1670" s="2">
        <v>8.9700000000000006</v>
      </c>
      <c r="G1670" s="2">
        <v>25.48</v>
      </c>
      <c r="H1670" s="2">
        <v>5.6</v>
      </c>
      <c r="I1670" s="2">
        <v>0.2</v>
      </c>
      <c r="J1670" s="2">
        <v>14</v>
      </c>
      <c r="K1670" s="2" t="s">
        <v>29</v>
      </c>
      <c r="L1670" s="2">
        <v>2.87</v>
      </c>
      <c r="M1670" s="2" t="s">
        <v>40</v>
      </c>
      <c r="N1670" s="2">
        <v>98.24</v>
      </c>
      <c r="O1670" s="2" t="s">
        <v>23</v>
      </c>
      <c r="P1670" s="2">
        <v>8.06</v>
      </c>
      <c r="Q1670" s="2">
        <v>14.16</v>
      </c>
      <c r="R1670" s="3">
        <f t="shared" si="130"/>
        <v>3612.7338000000004</v>
      </c>
      <c r="S1670" s="3">
        <f t="shared" si="131"/>
        <v>6346.9368000000004</v>
      </c>
      <c r="T1670" s="3">
        <f t="shared" si="132"/>
        <v>2734.203</v>
      </c>
      <c r="U1670" s="4">
        <f t="shared" si="133"/>
        <v>0.43079096045197734</v>
      </c>
      <c r="V1670" s="5">
        <f t="shared" si="134"/>
        <v>12.864201000000001</v>
      </c>
    </row>
    <row r="1671" spans="1:22" x14ac:dyDescent="0.25">
      <c r="A1671" s="2" t="s">
        <v>1705</v>
      </c>
      <c r="B1671" s="2" t="s">
        <v>26</v>
      </c>
      <c r="C1671" s="2" t="s">
        <v>27</v>
      </c>
      <c r="D1671" s="2" t="s">
        <v>28</v>
      </c>
      <c r="E1671" s="2">
        <v>491.19</v>
      </c>
      <c r="F1671" s="2">
        <v>12.76</v>
      </c>
      <c r="G1671" s="2">
        <v>24</v>
      </c>
      <c r="H1671" s="2">
        <v>1.6</v>
      </c>
      <c r="I1671" s="2">
        <v>1.3</v>
      </c>
      <c r="J1671" s="2">
        <v>26</v>
      </c>
      <c r="K1671" s="2" t="s">
        <v>29</v>
      </c>
      <c r="L1671" s="2">
        <v>9.36</v>
      </c>
      <c r="M1671" s="2" t="s">
        <v>37</v>
      </c>
      <c r="N1671" s="2">
        <v>62.95</v>
      </c>
      <c r="O1671" s="2" t="s">
        <v>23</v>
      </c>
      <c r="P1671" s="2">
        <v>6.86</v>
      </c>
      <c r="Q1671" s="2">
        <v>13.97</v>
      </c>
      <c r="R1671" s="3">
        <f t="shared" si="130"/>
        <v>3369.5634</v>
      </c>
      <c r="S1671" s="3">
        <f t="shared" si="131"/>
        <v>6861.9243000000006</v>
      </c>
      <c r="T1671" s="3">
        <f t="shared" si="132"/>
        <v>3492.3609000000006</v>
      </c>
      <c r="U1671" s="4">
        <f t="shared" si="133"/>
        <v>0.50894774516821761</v>
      </c>
      <c r="V1671" s="5">
        <f t="shared" si="134"/>
        <v>45.975383999999991</v>
      </c>
    </row>
    <row r="1672" spans="1:22" x14ac:dyDescent="0.25">
      <c r="A1672" s="2" t="s">
        <v>1706</v>
      </c>
      <c r="B1672" s="2" t="s">
        <v>45</v>
      </c>
      <c r="C1672" s="2" t="s">
        <v>27</v>
      </c>
      <c r="D1672" s="2" t="s">
        <v>28</v>
      </c>
      <c r="E1672" s="2">
        <v>716.99</v>
      </c>
      <c r="F1672" s="2">
        <v>17.920000000000002</v>
      </c>
      <c r="G1672" s="2">
        <v>24.64</v>
      </c>
      <c r="H1672" s="2">
        <v>1.8</v>
      </c>
      <c r="I1672" s="2">
        <v>1.4</v>
      </c>
      <c r="J1672" s="2">
        <v>21</v>
      </c>
      <c r="K1672" s="2" t="s">
        <v>29</v>
      </c>
      <c r="L1672" s="2">
        <v>9.31</v>
      </c>
      <c r="M1672" s="2" t="s">
        <v>40</v>
      </c>
      <c r="N1672" s="2">
        <v>90.91</v>
      </c>
      <c r="O1672" s="2" t="s">
        <v>24</v>
      </c>
      <c r="P1672" s="2">
        <v>4.6900000000000004</v>
      </c>
      <c r="Q1672" s="2">
        <v>14.84</v>
      </c>
      <c r="R1672" s="3">
        <f t="shared" si="130"/>
        <v>3362.6831000000002</v>
      </c>
      <c r="S1672" s="3">
        <f t="shared" si="131"/>
        <v>10640.131600000001</v>
      </c>
      <c r="T1672" s="3">
        <f t="shared" si="132"/>
        <v>7277.4485000000004</v>
      </c>
      <c r="U1672" s="4">
        <f t="shared" si="133"/>
        <v>0.68396226415094341</v>
      </c>
      <c r="V1672" s="5">
        <f t="shared" si="134"/>
        <v>66.75176900000001</v>
      </c>
    </row>
    <row r="1673" spans="1:22" x14ac:dyDescent="0.25">
      <c r="A1673" s="2" t="s">
        <v>1707</v>
      </c>
      <c r="B1673" s="2" t="s">
        <v>32</v>
      </c>
      <c r="C1673" s="2" t="s">
        <v>33</v>
      </c>
      <c r="D1673" s="2" t="s">
        <v>20</v>
      </c>
      <c r="E1673" s="2">
        <v>357.63</v>
      </c>
      <c r="F1673" s="2">
        <v>15.7</v>
      </c>
      <c r="G1673" s="2">
        <v>35.96</v>
      </c>
      <c r="H1673" s="2">
        <v>7.5</v>
      </c>
      <c r="I1673" s="2">
        <v>0.5</v>
      </c>
      <c r="J1673" s="2">
        <v>23</v>
      </c>
      <c r="K1673" s="2" t="s">
        <v>21</v>
      </c>
      <c r="L1673" s="2">
        <v>2.41</v>
      </c>
      <c r="M1673" s="2" t="s">
        <v>22</v>
      </c>
      <c r="N1673" s="2">
        <v>61.4</v>
      </c>
      <c r="O1673" s="2" t="s">
        <v>24</v>
      </c>
      <c r="P1673" s="2">
        <v>4.78</v>
      </c>
      <c r="Q1673" s="2">
        <v>9.02</v>
      </c>
      <c r="R1673" s="3">
        <f t="shared" si="130"/>
        <v>1709.4714000000001</v>
      </c>
      <c r="S1673" s="3">
        <f t="shared" si="131"/>
        <v>3225.8226</v>
      </c>
      <c r="T1673" s="3">
        <f t="shared" si="132"/>
        <v>1516.3511999999998</v>
      </c>
      <c r="U1673" s="4">
        <f t="shared" si="133"/>
        <v>0.47006651884700662</v>
      </c>
      <c r="V1673" s="5">
        <f t="shared" si="134"/>
        <v>8.6188830000000003</v>
      </c>
    </row>
    <row r="1674" spans="1:22" x14ac:dyDescent="0.25">
      <c r="A1674" s="2" t="s">
        <v>1708</v>
      </c>
      <c r="B1674" s="2" t="s">
        <v>26</v>
      </c>
      <c r="C1674" s="2" t="s">
        <v>19</v>
      </c>
      <c r="D1674" s="2" t="s">
        <v>28</v>
      </c>
      <c r="E1674" s="2">
        <v>314.82</v>
      </c>
      <c r="F1674" s="2">
        <v>10.11</v>
      </c>
      <c r="G1674" s="2">
        <v>31.26</v>
      </c>
      <c r="H1674" s="2">
        <v>2.1</v>
      </c>
      <c r="I1674" s="2">
        <v>0.4</v>
      </c>
      <c r="J1674" s="2">
        <v>29</v>
      </c>
      <c r="K1674" s="2" t="s">
        <v>21</v>
      </c>
      <c r="L1674" s="2">
        <v>3.01</v>
      </c>
      <c r="M1674" s="2" t="s">
        <v>22</v>
      </c>
      <c r="N1674" s="2">
        <v>83.98</v>
      </c>
      <c r="O1674" s="2" t="s">
        <v>30</v>
      </c>
      <c r="P1674" s="2">
        <v>5.68</v>
      </c>
      <c r="Q1674" s="2">
        <v>13.19</v>
      </c>
      <c r="R1674" s="3">
        <f t="shared" si="130"/>
        <v>1788.1776</v>
      </c>
      <c r="S1674" s="3">
        <f t="shared" si="131"/>
        <v>4152.4758000000002</v>
      </c>
      <c r="T1674" s="3">
        <f t="shared" si="132"/>
        <v>2364.2982000000002</v>
      </c>
      <c r="U1674" s="4">
        <f t="shared" si="133"/>
        <v>0.56937073540561034</v>
      </c>
      <c r="V1674" s="5">
        <f t="shared" si="134"/>
        <v>9.4760819999999981</v>
      </c>
    </row>
    <row r="1675" spans="1:22" x14ac:dyDescent="0.25">
      <c r="A1675" s="2" t="s">
        <v>1709</v>
      </c>
      <c r="B1675" s="2" t="s">
        <v>32</v>
      </c>
      <c r="C1675" s="2" t="s">
        <v>33</v>
      </c>
      <c r="D1675" s="2" t="s">
        <v>28</v>
      </c>
      <c r="E1675" s="2">
        <v>578.36</v>
      </c>
      <c r="F1675" s="2">
        <v>13.01</v>
      </c>
      <c r="G1675" s="2">
        <v>20.12</v>
      </c>
      <c r="H1675" s="2">
        <v>0.1</v>
      </c>
      <c r="I1675" s="2">
        <v>0.6</v>
      </c>
      <c r="J1675" s="2">
        <v>12</v>
      </c>
      <c r="K1675" s="2" t="s">
        <v>29</v>
      </c>
      <c r="L1675" s="2">
        <v>7.16</v>
      </c>
      <c r="M1675" s="2" t="s">
        <v>37</v>
      </c>
      <c r="N1675" s="2">
        <v>54.18</v>
      </c>
      <c r="O1675" s="2" t="s">
        <v>24</v>
      </c>
      <c r="P1675" s="2">
        <v>4.0199999999999996</v>
      </c>
      <c r="Q1675" s="2">
        <v>9.15</v>
      </c>
      <c r="R1675" s="3">
        <f t="shared" si="130"/>
        <v>2325.0072</v>
      </c>
      <c r="S1675" s="3">
        <f t="shared" si="131"/>
        <v>5291.9940000000006</v>
      </c>
      <c r="T1675" s="3">
        <f t="shared" si="132"/>
        <v>2966.9868000000006</v>
      </c>
      <c r="U1675" s="4">
        <f t="shared" si="133"/>
        <v>0.56065573770491806</v>
      </c>
      <c r="V1675" s="5">
        <f t="shared" si="134"/>
        <v>41.410575999999999</v>
      </c>
    </row>
    <row r="1676" spans="1:22" x14ac:dyDescent="0.25">
      <c r="A1676" s="2" t="s">
        <v>1710</v>
      </c>
      <c r="B1676" s="2" t="s">
        <v>32</v>
      </c>
      <c r="C1676" s="2" t="s">
        <v>19</v>
      </c>
      <c r="D1676" s="2" t="s">
        <v>20</v>
      </c>
      <c r="E1676" s="2">
        <v>432.14</v>
      </c>
      <c r="F1676" s="2">
        <v>10.34</v>
      </c>
      <c r="G1676" s="2">
        <v>28.59</v>
      </c>
      <c r="H1676" s="2">
        <v>2.6</v>
      </c>
      <c r="I1676" s="2">
        <v>0.1</v>
      </c>
      <c r="J1676" s="2">
        <v>28</v>
      </c>
      <c r="K1676" s="2" t="s">
        <v>34</v>
      </c>
      <c r="L1676" s="2">
        <v>9.5399999999999991</v>
      </c>
      <c r="M1676" s="2" t="s">
        <v>40</v>
      </c>
      <c r="N1676" s="2">
        <v>79.260000000000005</v>
      </c>
      <c r="O1676" s="2" t="s">
        <v>30</v>
      </c>
      <c r="P1676" s="2">
        <v>5.36</v>
      </c>
      <c r="Q1676" s="2">
        <v>9.5399999999999991</v>
      </c>
      <c r="R1676" s="3">
        <f t="shared" si="130"/>
        <v>2316.2703999999999</v>
      </c>
      <c r="S1676" s="3">
        <f t="shared" si="131"/>
        <v>4122.6155999999992</v>
      </c>
      <c r="T1676" s="3">
        <f t="shared" si="132"/>
        <v>1806.3451999999993</v>
      </c>
      <c r="U1676" s="4">
        <f t="shared" si="133"/>
        <v>0.43815513626834374</v>
      </c>
      <c r="V1676" s="5">
        <f t="shared" si="134"/>
        <v>41.226155999999989</v>
      </c>
    </row>
    <row r="1677" spans="1:22" x14ac:dyDescent="0.25">
      <c r="A1677" s="2" t="s">
        <v>1711</v>
      </c>
      <c r="B1677" s="2" t="s">
        <v>32</v>
      </c>
      <c r="C1677" s="2" t="s">
        <v>43</v>
      </c>
      <c r="D1677" s="2" t="s">
        <v>28</v>
      </c>
      <c r="E1677" s="2">
        <v>468.18</v>
      </c>
      <c r="F1677" s="2">
        <v>12.1</v>
      </c>
      <c r="G1677" s="2">
        <v>28.16</v>
      </c>
      <c r="H1677" s="2">
        <v>4.7</v>
      </c>
      <c r="I1677" s="2">
        <v>0</v>
      </c>
      <c r="J1677" s="2">
        <v>29</v>
      </c>
      <c r="K1677" s="2" t="s">
        <v>29</v>
      </c>
      <c r="L1677" s="2">
        <v>7.24</v>
      </c>
      <c r="M1677" s="2" t="s">
        <v>37</v>
      </c>
      <c r="N1677" s="2">
        <v>63.46</v>
      </c>
      <c r="O1677" s="2" t="s">
        <v>24</v>
      </c>
      <c r="P1677" s="2">
        <v>7.79</v>
      </c>
      <c r="Q1677" s="2">
        <v>13.3</v>
      </c>
      <c r="R1677" s="3">
        <f t="shared" si="130"/>
        <v>3647.1222000000002</v>
      </c>
      <c r="S1677" s="3">
        <f t="shared" si="131"/>
        <v>6226.7940000000008</v>
      </c>
      <c r="T1677" s="3">
        <f t="shared" si="132"/>
        <v>2579.6718000000005</v>
      </c>
      <c r="U1677" s="4">
        <f t="shared" si="133"/>
        <v>0.41428571428571431</v>
      </c>
      <c r="V1677" s="5">
        <f t="shared" si="134"/>
        <v>33.896231999999998</v>
      </c>
    </row>
    <row r="1678" spans="1:22" x14ac:dyDescent="0.25">
      <c r="A1678" s="2" t="s">
        <v>1712</v>
      </c>
      <c r="B1678" s="2" t="s">
        <v>18</v>
      </c>
      <c r="C1678" s="2" t="s">
        <v>27</v>
      </c>
      <c r="D1678" s="2" t="s">
        <v>28</v>
      </c>
      <c r="E1678" s="2">
        <v>421.88</v>
      </c>
      <c r="F1678" s="2">
        <v>15.8</v>
      </c>
      <c r="G1678" s="2">
        <v>22.28</v>
      </c>
      <c r="H1678" s="2">
        <v>3.2</v>
      </c>
      <c r="I1678" s="2">
        <v>0.1</v>
      </c>
      <c r="J1678" s="2">
        <v>19</v>
      </c>
      <c r="K1678" s="2" t="s">
        <v>21</v>
      </c>
      <c r="L1678" s="2">
        <v>4.7300000000000004</v>
      </c>
      <c r="M1678" s="2" t="s">
        <v>37</v>
      </c>
      <c r="N1678" s="2">
        <v>96.29</v>
      </c>
      <c r="O1678" s="2" t="s">
        <v>30</v>
      </c>
      <c r="P1678" s="2">
        <v>8.82</v>
      </c>
      <c r="Q1678" s="2">
        <v>6.77</v>
      </c>
      <c r="R1678" s="3">
        <f t="shared" si="130"/>
        <v>3720.9816000000001</v>
      </c>
      <c r="S1678" s="3">
        <f t="shared" si="131"/>
        <v>2856.1275999999998</v>
      </c>
      <c r="T1678" s="3">
        <f t="shared" si="132"/>
        <v>-864.85400000000027</v>
      </c>
      <c r="U1678" s="4">
        <f t="shared" si="133"/>
        <v>-0.3028064992614477</v>
      </c>
      <c r="V1678" s="5">
        <f t="shared" si="134"/>
        <v>19.954924000000002</v>
      </c>
    </row>
    <row r="1679" spans="1:22" x14ac:dyDescent="0.25">
      <c r="A1679" s="2" t="s">
        <v>1713</v>
      </c>
      <c r="B1679" s="2" t="s">
        <v>18</v>
      </c>
      <c r="C1679" s="2" t="s">
        <v>33</v>
      </c>
      <c r="D1679" s="2" t="s">
        <v>28</v>
      </c>
      <c r="E1679" s="2">
        <v>474.02</v>
      </c>
      <c r="F1679" s="2">
        <v>15.71</v>
      </c>
      <c r="G1679" s="2">
        <v>33.520000000000003</v>
      </c>
      <c r="H1679" s="2">
        <v>1.8</v>
      </c>
      <c r="I1679" s="2">
        <v>0.2</v>
      </c>
      <c r="J1679" s="2">
        <v>6</v>
      </c>
      <c r="K1679" s="2" t="s">
        <v>34</v>
      </c>
      <c r="L1679" s="2">
        <v>2.11</v>
      </c>
      <c r="M1679" s="2" t="s">
        <v>40</v>
      </c>
      <c r="N1679" s="2">
        <v>64.489999999999995</v>
      </c>
      <c r="O1679" s="2" t="s">
        <v>23</v>
      </c>
      <c r="P1679" s="2">
        <v>5.33</v>
      </c>
      <c r="Q1679" s="2">
        <v>7.2</v>
      </c>
      <c r="R1679" s="3">
        <f t="shared" si="130"/>
        <v>2526.5266000000001</v>
      </c>
      <c r="S1679" s="3">
        <f t="shared" si="131"/>
        <v>3412.944</v>
      </c>
      <c r="T1679" s="3">
        <f t="shared" si="132"/>
        <v>886.41739999999982</v>
      </c>
      <c r="U1679" s="4">
        <f t="shared" si="133"/>
        <v>0.25972222222222219</v>
      </c>
      <c r="V1679" s="5">
        <f t="shared" si="134"/>
        <v>10.001821999999999</v>
      </c>
    </row>
    <row r="1680" spans="1:22" x14ac:dyDescent="0.25">
      <c r="A1680" s="2" t="s">
        <v>1714</v>
      </c>
      <c r="B1680" s="2" t="s">
        <v>45</v>
      </c>
      <c r="C1680" s="2" t="s">
        <v>19</v>
      </c>
      <c r="D1680" s="2" t="s">
        <v>28</v>
      </c>
      <c r="E1680" s="2">
        <v>659.85</v>
      </c>
      <c r="F1680" s="2">
        <v>10.28</v>
      </c>
      <c r="G1680" s="2">
        <v>34.04</v>
      </c>
      <c r="H1680" s="2">
        <v>2.2000000000000002</v>
      </c>
      <c r="I1680" s="2">
        <v>0.7</v>
      </c>
      <c r="J1680" s="2">
        <v>12</v>
      </c>
      <c r="K1680" s="2" t="s">
        <v>29</v>
      </c>
      <c r="L1680" s="2">
        <v>4.88</v>
      </c>
      <c r="M1680" s="2" t="s">
        <v>40</v>
      </c>
      <c r="N1680" s="2">
        <v>69.92</v>
      </c>
      <c r="O1680" s="2" t="s">
        <v>24</v>
      </c>
      <c r="P1680" s="2">
        <v>4.6399999999999997</v>
      </c>
      <c r="Q1680" s="2">
        <v>8.15</v>
      </c>
      <c r="R1680" s="3">
        <f t="shared" si="130"/>
        <v>3061.7039999999997</v>
      </c>
      <c r="S1680" s="3">
        <f t="shared" si="131"/>
        <v>5377.7775000000001</v>
      </c>
      <c r="T1680" s="3">
        <f t="shared" si="132"/>
        <v>2316.0735000000004</v>
      </c>
      <c r="U1680" s="4">
        <f t="shared" si="133"/>
        <v>0.43067484662576694</v>
      </c>
      <c r="V1680" s="5">
        <f t="shared" si="134"/>
        <v>32.200680000000006</v>
      </c>
    </row>
    <row r="1681" spans="1:22" x14ac:dyDescent="0.25">
      <c r="A1681" s="2" t="s">
        <v>1715</v>
      </c>
      <c r="B1681" s="2" t="s">
        <v>45</v>
      </c>
      <c r="C1681" s="2" t="s">
        <v>43</v>
      </c>
      <c r="D1681" s="2" t="s">
        <v>28</v>
      </c>
      <c r="E1681" s="2">
        <v>580.21</v>
      </c>
      <c r="F1681" s="2">
        <v>17.22</v>
      </c>
      <c r="G1681" s="2">
        <v>34.42</v>
      </c>
      <c r="H1681" s="2">
        <v>9.1999999999999993</v>
      </c>
      <c r="I1681" s="2">
        <v>1.9</v>
      </c>
      <c r="J1681" s="2">
        <v>24</v>
      </c>
      <c r="K1681" s="2" t="s">
        <v>34</v>
      </c>
      <c r="L1681" s="2">
        <v>6.26</v>
      </c>
      <c r="M1681" s="2" t="s">
        <v>40</v>
      </c>
      <c r="N1681" s="2">
        <v>92.03</v>
      </c>
      <c r="O1681" s="2" t="s">
        <v>30</v>
      </c>
      <c r="P1681" s="2">
        <v>8.83</v>
      </c>
      <c r="Q1681" s="2">
        <v>12.88</v>
      </c>
      <c r="R1681" s="3">
        <f t="shared" si="130"/>
        <v>5123.2543000000005</v>
      </c>
      <c r="S1681" s="3">
        <f t="shared" si="131"/>
        <v>7473.104800000001</v>
      </c>
      <c r="T1681" s="3">
        <f t="shared" si="132"/>
        <v>2349.8505000000005</v>
      </c>
      <c r="U1681" s="4">
        <f t="shared" si="133"/>
        <v>0.3144409937888199</v>
      </c>
      <c r="V1681" s="5">
        <f t="shared" si="134"/>
        <v>36.321145999999999</v>
      </c>
    </row>
    <row r="1682" spans="1:22" x14ac:dyDescent="0.25">
      <c r="A1682" s="2" t="s">
        <v>1716</v>
      </c>
      <c r="B1682" s="2" t="s">
        <v>26</v>
      </c>
      <c r="C1682" s="2" t="s">
        <v>43</v>
      </c>
      <c r="D1682" s="2" t="s">
        <v>20</v>
      </c>
      <c r="E1682" s="2">
        <v>586.22</v>
      </c>
      <c r="F1682" s="2">
        <v>13.93</v>
      </c>
      <c r="G1682" s="2">
        <v>34.57</v>
      </c>
      <c r="H1682" s="2">
        <v>0.2</v>
      </c>
      <c r="I1682" s="2">
        <v>0.3</v>
      </c>
      <c r="J1682" s="2">
        <v>13</v>
      </c>
      <c r="K1682" s="2" t="s">
        <v>29</v>
      </c>
      <c r="L1682" s="2">
        <v>3.64</v>
      </c>
      <c r="M1682" s="2" t="s">
        <v>40</v>
      </c>
      <c r="N1682" s="2">
        <v>71.91</v>
      </c>
      <c r="O1682" s="2" t="s">
        <v>30</v>
      </c>
      <c r="P1682" s="2">
        <v>9.23</v>
      </c>
      <c r="Q1682" s="2">
        <v>8.73</v>
      </c>
      <c r="R1682" s="3">
        <f t="shared" si="130"/>
        <v>5410.8106000000007</v>
      </c>
      <c r="S1682" s="3">
        <f t="shared" si="131"/>
        <v>5117.7006000000001</v>
      </c>
      <c r="T1682" s="3">
        <f t="shared" si="132"/>
        <v>-293.11000000000058</v>
      </c>
      <c r="U1682" s="4">
        <f t="shared" si="133"/>
        <v>-5.7273768613974915E-2</v>
      </c>
      <c r="V1682" s="5">
        <f t="shared" si="134"/>
        <v>21.338408000000005</v>
      </c>
    </row>
    <row r="1683" spans="1:22" x14ac:dyDescent="0.25">
      <c r="A1683" s="2" t="s">
        <v>1717</v>
      </c>
      <c r="B1683" s="2" t="s">
        <v>45</v>
      </c>
      <c r="C1683" s="2" t="s">
        <v>27</v>
      </c>
      <c r="D1683" s="2" t="s">
        <v>20</v>
      </c>
      <c r="E1683" s="2">
        <v>358.38</v>
      </c>
      <c r="F1683" s="2">
        <v>11.8</v>
      </c>
      <c r="G1683" s="2">
        <v>20</v>
      </c>
      <c r="H1683" s="2">
        <v>2.2000000000000002</v>
      </c>
      <c r="I1683" s="2">
        <v>2.7</v>
      </c>
      <c r="J1683" s="2">
        <v>8</v>
      </c>
      <c r="K1683" s="2" t="s">
        <v>21</v>
      </c>
      <c r="L1683" s="2">
        <v>5.35</v>
      </c>
      <c r="M1683" s="2" t="s">
        <v>40</v>
      </c>
      <c r="N1683" s="2">
        <v>61.92</v>
      </c>
      <c r="O1683" s="2" t="s">
        <v>24</v>
      </c>
      <c r="P1683" s="2">
        <v>5.87</v>
      </c>
      <c r="Q1683" s="2">
        <v>8.58</v>
      </c>
      <c r="R1683" s="3">
        <f t="shared" si="130"/>
        <v>2103.6905999999999</v>
      </c>
      <c r="S1683" s="3">
        <f t="shared" si="131"/>
        <v>3074.9004</v>
      </c>
      <c r="T1683" s="3">
        <f t="shared" si="132"/>
        <v>971.20980000000009</v>
      </c>
      <c r="U1683" s="4">
        <f t="shared" si="133"/>
        <v>0.31585081585081587</v>
      </c>
      <c r="V1683" s="5">
        <f t="shared" si="134"/>
        <v>19.17333</v>
      </c>
    </row>
    <row r="1684" spans="1:22" x14ac:dyDescent="0.25">
      <c r="A1684" s="2" t="s">
        <v>1718</v>
      </c>
      <c r="B1684" s="2" t="s">
        <v>32</v>
      </c>
      <c r="C1684" s="2" t="s">
        <v>19</v>
      </c>
      <c r="D1684" s="2" t="s">
        <v>28</v>
      </c>
      <c r="E1684" s="2">
        <v>384.88</v>
      </c>
      <c r="F1684" s="2">
        <v>13.02</v>
      </c>
      <c r="G1684" s="2">
        <v>39.08</v>
      </c>
      <c r="H1684" s="2">
        <v>0.7</v>
      </c>
      <c r="I1684" s="2">
        <v>3.1</v>
      </c>
      <c r="J1684" s="2">
        <v>16</v>
      </c>
      <c r="K1684" s="2" t="s">
        <v>29</v>
      </c>
      <c r="L1684" s="2">
        <v>1.74</v>
      </c>
      <c r="M1684" s="2" t="s">
        <v>22</v>
      </c>
      <c r="N1684" s="2">
        <v>77.38</v>
      </c>
      <c r="O1684" s="2" t="s">
        <v>30</v>
      </c>
      <c r="P1684" s="2">
        <v>3.19</v>
      </c>
      <c r="Q1684" s="2">
        <v>14.99</v>
      </c>
      <c r="R1684" s="3">
        <f t="shared" si="130"/>
        <v>1227.7672</v>
      </c>
      <c r="S1684" s="3">
        <f t="shared" si="131"/>
        <v>5769.3512000000001</v>
      </c>
      <c r="T1684" s="3">
        <f t="shared" si="132"/>
        <v>4541.5839999999998</v>
      </c>
      <c r="U1684" s="4">
        <f t="shared" si="133"/>
        <v>0.78719146097398263</v>
      </c>
      <c r="V1684" s="5">
        <f t="shared" si="134"/>
        <v>6.6969120000000002</v>
      </c>
    </row>
    <row r="1685" spans="1:22" x14ac:dyDescent="0.25">
      <c r="A1685" s="2" t="s">
        <v>1719</v>
      </c>
      <c r="B1685" s="2" t="s">
        <v>32</v>
      </c>
      <c r="C1685" s="2" t="s">
        <v>33</v>
      </c>
      <c r="D1685" s="2" t="s">
        <v>20</v>
      </c>
      <c r="E1685" s="2">
        <v>216.09</v>
      </c>
      <c r="F1685" s="2">
        <v>14.05</v>
      </c>
      <c r="G1685" s="2">
        <v>36.28</v>
      </c>
      <c r="H1685" s="2">
        <v>2</v>
      </c>
      <c r="I1685" s="2">
        <v>3.2</v>
      </c>
      <c r="J1685" s="2">
        <v>2</v>
      </c>
      <c r="K1685" s="2" t="s">
        <v>34</v>
      </c>
      <c r="L1685" s="2">
        <v>4.8</v>
      </c>
      <c r="M1685" s="2" t="s">
        <v>22</v>
      </c>
      <c r="N1685" s="2">
        <v>92</v>
      </c>
      <c r="O1685" s="2" t="s">
        <v>24</v>
      </c>
      <c r="P1685" s="2">
        <v>7.86</v>
      </c>
      <c r="Q1685" s="2">
        <v>8.84</v>
      </c>
      <c r="R1685" s="3">
        <f t="shared" si="130"/>
        <v>1698.4674</v>
      </c>
      <c r="S1685" s="3">
        <f t="shared" si="131"/>
        <v>1910.2356</v>
      </c>
      <c r="T1685" s="3">
        <f t="shared" si="132"/>
        <v>211.76819999999998</v>
      </c>
      <c r="U1685" s="4">
        <f t="shared" si="133"/>
        <v>0.11085972850678733</v>
      </c>
      <c r="V1685" s="5">
        <f t="shared" si="134"/>
        <v>10.37232</v>
      </c>
    </row>
    <row r="1686" spans="1:22" x14ac:dyDescent="0.25">
      <c r="A1686" s="2" t="s">
        <v>1720</v>
      </c>
      <c r="B1686" s="2" t="s">
        <v>18</v>
      </c>
      <c r="C1686" s="2" t="s">
        <v>27</v>
      </c>
      <c r="D1686" s="2" t="s">
        <v>28</v>
      </c>
      <c r="E1686" s="2">
        <v>419.06</v>
      </c>
      <c r="F1686" s="2">
        <v>13.6</v>
      </c>
      <c r="G1686" s="2">
        <v>38.08</v>
      </c>
      <c r="H1686" s="2">
        <v>1.9</v>
      </c>
      <c r="I1686" s="2">
        <v>1.8</v>
      </c>
      <c r="J1686" s="2">
        <v>22</v>
      </c>
      <c r="K1686" s="2" t="s">
        <v>21</v>
      </c>
      <c r="L1686" s="2">
        <v>1.36</v>
      </c>
      <c r="M1686" s="2" t="s">
        <v>22</v>
      </c>
      <c r="N1686" s="2">
        <v>71.66</v>
      </c>
      <c r="O1686" s="2" t="s">
        <v>24</v>
      </c>
      <c r="P1686" s="2">
        <v>8.49</v>
      </c>
      <c r="Q1686" s="2">
        <v>7.48</v>
      </c>
      <c r="R1686" s="3">
        <f t="shared" si="130"/>
        <v>3557.8194000000003</v>
      </c>
      <c r="S1686" s="3">
        <f t="shared" si="131"/>
        <v>3134.5688</v>
      </c>
      <c r="T1686" s="3">
        <f t="shared" si="132"/>
        <v>-423.2506000000003</v>
      </c>
      <c r="U1686" s="4">
        <f t="shared" si="133"/>
        <v>-0.13502673796791453</v>
      </c>
      <c r="V1686" s="5">
        <f t="shared" si="134"/>
        <v>5.6992159999999998</v>
      </c>
    </row>
    <row r="1687" spans="1:22" x14ac:dyDescent="0.25">
      <c r="A1687" s="2" t="s">
        <v>1721</v>
      </c>
      <c r="B1687" s="2" t="s">
        <v>32</v>
      </c>
      <c r="C1687" s="2" t="s">
        <v>33</v>
      </c>
      <c r="D1687" s="2" t="s">
        <v>28</v>
      </c>
      <c r="E1687" s="2">
        <v>595.66999999999996</v>
      </c>
      <c r="F1687" s="2">
        <v>12.86</v>
      </c>
      <c r="G1687" s="2">
        <v>20.309999999999999</v>
      </c>
      <c r="H1687" s="2">
        <v>0.3</v>
      </c>
      <c r="I1687" s="2">
        <v>0.5</v>
      </c>
      <c r="J1687" s="2">
        <v>7</v>
      </c>
      <c r="K1687" s="2" t="s">
        <v>29</v>
      </c>
      <c r="L1687" s="2">
        <v>0.97</v>
      </c>
      <c r="M1687" s="2" t="s">
        <v>40</v>
      </c>
      <c r="N1687" s="2">
        <v>56.64</v>
      </c>
      <c r="O1687" s="2" t="s">
        <v>30</v>
      </c>
      <c r="P1687" s="2">
        <v>3.13</v>
      </c>
      <c r="Q1687" s="2">
        <v>11.23</v>
      </c>
      <c r="R1687" s="3">
        <f t="shared" si="130"/>
        <v>1864.4470999999999</v>
      </c>
      <c r="S1687" s="3">
        <f t="shared" si="131"/>
        <v>6689.3741</v>
      </c>
      <c r="T1687" s="3">
        <f t="shared" si="132"/>
        <v>4824.9269999999997</v>
      </c>
      <c r="U1687" s="4">
        <f t="shared" si="133"/>
        <v>0.72128227960819224</v>
      </c>
      <c r="V1687" s="5">
        <f t="shared" si="134"/>
        <v>5.7779989999999994</v>
      </c>
    </row>
    <row r="1688" spans="1:22" x14ac:dyDescent="0.25">
      <c r="A1688" s="2" t="s">
        <v>1722</v>
      </c>
      <c r="B1688" s="2" t="s">
        <v>26</v>
      </c>
      <c r="C1688" s="2" t="s">
        <v>43</v>
      </c>
      <c r="D1688" s="2" t="s">
        <v>28</v>
      </c>
      <c r="E1688" s="2">
        <v>551.69000000000005</v>
      </c>
      <c r="F1688" s="2">
        <v>13.05</v>
      </c>
      <c r="G1688" s="2">
        <v>38.68</v>
      </c>
      <c r="H1688" s="2">
        <v>0.5</v>
      </c>
      <c r="I1688" s="2">
        <v>0.1</v>
      </c>
      <c r="J1688" s="2">
        <v>12</v>
      </c>
      <c r="K1688" s="2" t="s">
        <v>29</v>
      </c>
      <c r="L1688" s="2">
        <v>8.64</v>
      </c>
      <c r="M1688" s="2" t="s">
        <v>40</v>
      </c>
      <c r="N1688" s="2">
        <v>69.150000000000006</v>
      </c>
      <c r="O1688" s="2" t="s">
        <v>30</v>
      </c>
      <c r="P1688" s="2">
        <v>7.17</v>
      </c>
      <c r="Q1688" s="2">
        <v>13.02</v>
      </c>
      <c r="R1688" s="3">
        <f t="shared" si="130"/>
        <v>3955.6173000000003</v>
      </c>
      <c r="S1688" s="3">
        <f t="shared" si="131"/>
        <v>7183.0038000000004</v>
      </c>
      <c r="T1688" s="3">
        <f t="shared" si="132"/>
        <v>3227.3865000000001</v>
      </c>
      <c r="U1688" s="4">
        <f t="shared" si="133"/>
        <v>0.44930875576036866</v>
      </c>
      <c r="V1688" s="5">
        <f t="shared" si="134"/>
        <v>47.666016000000006</v>
      </c>
    </row>
    <row r="1689" spans="1:22" x14ac:dyDescent="0.25">
      <c r="A1689" s="2" t="s">
        <v>1723</v>
      </c>
      <c r="B1689" s="2" t="s">
        <v>32</v>
      </c>
      <c r="C1689" s="2" t="s">
        <v>33</v>
      </c>
      <c r="D1689" s="2" t="s">
        <v>28</v>
      </c>
      <c r="E1689" s="2">
        <v>477.85</v>
      </c>
      <c r="F1689" s="2">
        <v>9.76</v>
      </c>
      <c r="G1689" s="2">
        <v>36.200000000000003</v>
      </c>
      <c r="H1689" s="2">
        <v>1.9</v>
      </c>
      <c r="I1689" s="2">
        <v>0.8</v>
      </c>
      <c r="J1689" s="2">
        <v>7</v>
      </c>
      <c r="K1689" s="2" t="s">
        <v>29</v>
      </c>
      <c r="L1689" s="2">
        <v>2.4500000000000002</v>
      </c>
      <c r="M1689" s="2" t="s">
        <v>40</v>
      </c>
      <c r="N1689" s="2">
        <v>97.72</v>
      </c>
      <c r="O1689" s="2" t="s">
        <v>30</v>
      </c>
      <c r="P1689" s="2">
        <v>7.12</v>
      </c>
      <c r="Q1689" s="2">
        <v>5.7</v>
      </c>
      <c r="R1689" s="3">
        <f t="shared" si="130"/>
        <v>3402.2920000000004</v>
      </c>
      <c r="S1689" s="3">
        <f t="shared" si="131"/>
        <v>2723.7450000000003</v>
      </c>
      <c r="T1689" s="3">
        <f t="shared" si="132"/>
        <v>-678.54700000000003</v>
      </c>
      <c r="U1689" s="4">
        <f t="shared" si="133"/>
        <v>-0.24912280701754383</v>
      </c>
      <c r="V1689" s="5">
        <f t="shared" si="134"/>
        <v>11.707325000000001</v>
      </c>
    </row>
    <row r="1690" spans="1:22" x14ac:dyDescent="0.25">
      <c r="A1690" s="2" t="s">
        <v>1724</v>
      </c>
      <c r="B1690" s="2" t="s">
        <v>32</v>
      </c>
      <c r="C1690" s="2" t="s">
        <v>33</v>
      </c>
      <c r="D1690" s="2" t="s">
        <v>28</v>
      </c>
      <c r="E1690" s="2">
        <v>497.77</v>
      </c>
      <c r="F1690" s="2">
        <v>16.13</v>
      </c>
      <c r="G1690" s="2">
        <v>36.74</v>
      </c>
      <c r="H1690" s="2">
        <v>0.3</v>
      </c>
      <c r="I1690" s="2">
        <v>0.8</v>
      </c>
      <c r="J1690" s="2">
        <v>19</v>
      </c>
      <c r="K1690" s="2" t="s">
        <v>29</v>
      </c>
      <c r="L1690" s="2">
        <v>5.96</v>
      </c>
      <c r="M1690" s="2" t="s">
        <v>37</v>
      </c>
      <c r="N1690" s="2">
        <v>53.6</v>
      </c>
      <c r="O1690" s="2" t="s">
        <v>23</v>
      </c>
      <c r="P1690" s="2">
        <v>5.65</v>
      </c>
      <c r="Q1690" s="2">
        <v>11.19</v>
      </c>
      <c r="R1690" s="3">
        <f t="shared" si="130"/>
        <v>2812.4005000000002</v>
      </c>
      <c r="S1690" s="3">
        <f t="shared" si="131"/>
        <v>5570.0463</v>
      </c>
      <c r="T1690" s="3">
        <f t="shared" si="132"/>
        <v>2757.6457999999998</v>
      </c>
      <c r="U1690" s="4">
        <f t="shared" si="133"/>
        <v>0.49508489722966931</v>
      </c>
      <c r="V1690" s="5">
        <f t="shared" si="134"/>
        <v>29.667091999999997</v>
      </c>
    </row>
    <row r="1691" spans="1:22" x14ac:dyDescent="0.25">
      <c r="A1691" s="2" t="s">
        <v>1725</v>
      </c>
      <c r="B1691" s="2" t="s">
        <v>26</v>
      </c>
      <c r="C1691" s="2" t="s">
        <v>27</v>
      </c>
      <c r="D1691" s="2" t="s">
        <v>20</v>
      </c>
      <c r="E1691" s="2">
        <v>431.11</v>
      </c>
      <c r="F1691" s="2">
        <v>13.42</v>
      </c>
      <c r="G1691" s="2">
        <v>21.87</v>
      </c>
      <c r="H1691" s="2">
        <v>0.6</v>
      </c>
      <c r="I1691" s="2">
        <v>1.9</v>
      </c>
      <c r="J1691" s="2">
        <v>14</v>
      </c>
      <c r="K1691" s="2" t="s">
        <v>21</v>
      </c>
      <c r="L1691" s="2">
        <v>1.92</v>
      </c>
      <c r="M1691" s="2" t="s">
        <v>22</v>
      </c>
      <c r="N1691" s="2">
        <v>70.42</v>
      </c>
      <c r="O1691" s="2" t="s">
        <v>24</v>
      </c>
      <c r="P1691" s="2">
        <v>8.25</v>
      </c>
      <c r="Q1691" s="2">
        <v>5.36</v>
      </c>
      <c r="R1691" s="3">
        <f t="shared" si="130"/>
        <v>3556.6575000000003</v>
      </c>
      <c r="S1691" s="3">
        <f t="shared" si="131"/>
        <v>2310.7496000000001</v>
      </c>
      <c r="T1691" s="3">
        <f t="shared" si="132"/>
        <v>-1245.9079000000002</v>
      </c>
      <c r="U1691" s="4">
        <f t="shared" si="133"/>
        <v>-0.53917910447761197</v>
      </c>
      <c r="V1691" s="5">
        <f t="shared" si="134"/>
        <v>8.2773120000000002</v>
      </c>
    </row>
    <row r="1692" spans="1:22" x14ac:dyDescent="0.25">
      <c r="A1692" s="2" t="s">
        <v>1726</v>
      </c>
      <c r="B1692" s="2" t="s">
        <v>45</v>
      </c>
      <c r="C1692" s="2" t="s">
        <v>33</v>
      </c>
      <c r="D1692" s="2" t="s">
        <v>20</v>
      </c>
      <c r="E1692" s="2">
        <v>520.48</v>
      </c>
      <c r="F1692" s="2">
        <v>9.31</v>
      </c>
      <c r="G1692" s="2">
        <v>34.78</v>
      </c>
      <c r="H1692" s="2">
        <v>3.6</v>
      </c>
      <c r="I1692" s="2">
        <v>5.5</v>
      </c>
      <c r="J1692" s="2">
        <v>9</v>
      </c>
      <c r="K1692" s="2" t="s">
        <v>21</v>
      </c>
      <c r="L1692" s="2">
        <v>2.99</v>
      </c>
      <c r="M1692" s="2" t="s">
        <v>22</v>
      </c>
      <c r="N1692" s="2">
        <v>82.4</v>
      </c>
      <c r="O1692" s="2" t="s">
        <v>24</v>
      </c>
      <c r="P1692" s="2">
        <v>6</v>
      </c>
      <c r="Q1692" s="2">
        <v>10.26</v>
      </c>
      <c r="R1692" s="3">
        <f t="shared" si="130"/>
        <v>3122.88</v>
      </c>
      <c r="S1692" s="3">
        <f t="shared" si="131"/>
        <v>5340.1248000000005</v>
      </c>
      <c r="T1692" s="3">
        <f t="shared" si="132"/>
        <v>2217.2448000000004</v>
      </c>
      <c r="U1692" s="4">
        <f t="shared" si="133"/>
        <v>0.41520467836257313</v>
      </c>
      <c r="V1692" s="5">
        <f t="shared" si="134"/>
        <v>15.562352000000001</v>
      </c>
    </row>
    <row r="1693" spans="1:22" x14ac:dyDescent="0.25">
      <c r="A1693" s="2" t="s">
        <v>1727</v>
      </c>
      <c r="B1693" s="2" t="s">
        <v>45</v>
      </c>
      <c r="C1693" s="2" t="s">
        <v>27</v>
      </c>
      <c r="D1693" s="2" t="s">
        <v>28</v>
      </c>
      <c r="E1693" s="2">
        <v>576.59</v>
      </c>
      <c r="F1693" s="2">
        <v>15.66</v>
      </c>
      <c r="G1693" s="2">
        <v>39.200000000000003</v>
      </c>
      <c r="H1693" s="2">
        <v>0.8</v>
      </c>
      <c r="I1693" s="2">
        <v>0.7</v>
      </c>
      <c r="J1693" s="2">
        <v>18</v>
      </c>
      <c r="K1693" s="2" t="s">
        <v>29</v>
      </c>
      <c r="L1693" s="2">
        <v>3.93</v>
      </c>
      <c r="M1693" s="2" t="s">
        <v>37</v>
      </c>
      <c r="N1693" s="2">
        <v>53.93</v>
      </c>
      <c r="O1693" s="2" t="s">
        <v>23</v>
      </c>
      <c r="P1693" s="2">
        <v>7.74</v>
      </c>
      <c r="Q1693" s="2">
        <v>7.57</v>
      </c>
      <c r="R1693" s="3">
        <f t="shared" si="130"/>
        <v>4462.8066000000008</v>
      </c>
      <c r="S1693" s="3">
        <f t="shared" si="131"/>
        <v>4364.7863000000007</v>
      </c>
      <c r="T1693" s="3">
        <f t="shared" si="132"/>
        <v>-98.020300000000134</v>
      </c>
      <c r="U1693" s="4">
        <f t="shared" si="133"/>
        <v>-2.2457067371202139E-2</v>
      </c>
      <c r="V1693" s="5">
        <f t="shared" si="134"/>
        <v>22.659987000000001</v>
      </c>
    </row>
    <row r="1694" spans="1:22" x14ac:dyDescent="0.25">
      <c r="A1694" s="2" t="s">
        <v>1728</v>
      </c>
      <c r="B1694" s="2" t="s">
        <v>26</v>
      </c>
      <c r="C1694" s="2" t="s">
        <v>43</v>
      </c>
      <c r="D1694" s="2" t="s">
        <v>20</v>
      </c>
      <c r="E1694" s="2">
        <v>338.41</v>
      </c>
      <c r="F1694" s="2">
        <v>17.32</v>
      </c>
      <c r="G1694" s="2">
        <v>33.57</v>
      </c>
      <c r="H1694" s="2">
        <v>1.3</v>
      </c>
      <c r="I1694" s="2">
        <v>0.4</v>
      </c>
      <c r="J1694" s="2">
        <v>11</v>
      </c>
      <c r="K1694" s="2" t="s">
        <v>21</v>
      </c>
      <c r="L1694" s="2">
        <v>1.86</v>
      </c>
      <c r="M1694" s="2" t="s">
        <v>37</v>
      </c>
      <c r="N1694" s="2">
        <v>67.25</v>
      </c>
      <c r="O1694" s="2" t="s">
        <v>23</v>
      </c>
      <c r="P1694" s="2">
        <v>6.62</v>
      </c>
      <c r="Q1694" s="2">
        <v>8.07</v>
      </c>
      <c r="R1694" s="3">
        <f t="shared" si="130"/>
        <v>2240.2742000000003</v>
      </c>
      <c r="S1694" s="3">
        <f t="shared" si="131"/>
        <v>2730.9687000000004</v>
      </c>
      <c r="T1694" s="3">
        <f t="shared" si="132"/>
        <v>490.69450000000006</v>
      </c>
      <c r="U1694" s="4">
        <f t="shared" si="133"/>
        <v>0.17967781908302355</v>
      </c>
      <c r="V1694" s="5">
        <f t="shared" si="134"/>
        <v>6.2944260000000005</v>
      </c>
    </row>
    <row r="1695" spans="1:22" x14ac:dyDescent="0.25">
      <c r="A1695" s="2" t="s">
        <v>1729</v>
      </c>
      <c r="B1695" s="2" t="s">
        <v>18</v>
      </c>
      <c r="C1695" s="2" t="s">
        <v>27</v>
      </c>
      <c r="D1695" s="2" t="s">
        <v>28</v>
      </c>
      <c r="E1695" s="2">
        <v>529.96</v>
      </c>
      <c r="F1695" s="2">
        <v>17.47</v>
      </c>
      <c r="G1695" s="2">
        <v>31.41</v>
      </c>
      <c r="H1695" s="2">
        <v>5.7</v>
      </c>
      <c r="I1695" s="2">
        <v>0.2</v>
      </c>
      <c r="J1695" s="2">
        <v>16</v>
      </c>
      <c r="K1695" s="2" t="s">
        <v>34</v>
      </c>
      <c r="L1695" s="2">
        <v>0.94</v>
      </c>
      <c r="M1695" s="2" t="s">
        <v>22</v>
      </c>
      <c r="N1695" s="2">
        <v>97.03</v>
      </c>
      <c r="O1695" s="2" t="s">
        <v>30</v>
      </c>
      <c r="P1695" s="2">
        <v>4.74</v>
      </c>
      <c r="Q1695" s="2">
        <v>9.67</v>
      </c>
      <c r="R1695" s="3">
        <f t="shared" si="130"/>
        <v>2512.0104000000001</v>
      </c>
      <c r="S1695" s="3">
        <f t="shared" si="131"/>
        <v>5124.7132000000001</v>
      </c>
      <c r="T1695" s="3">
        <f t="shared" si="132"/>
        <v>2612.7028</v>
      </c>
      <c r="U1695" s="4">
        <f t="shared" si="133"/>
        <v>0.50982419855222338</v>
      </c>
      <c r="V1695" s="5">
        <f t="shared" si="134"/>
        <v>4.9816240000000001</v>
      </c>
    </row>
    <row r="1696" spans="1:22" x14ac:dyDescent="0.25">
      <c r="A1696" s="2" t="s">
        <v>1730</v>
      </c>
      <c r="B1696" s="2" t="s">
        <v>32</v>
      </c>
      <c r="C1696" s="2" t="s">
        <v>27</v>
      </c>
      <c r="D1696" s="2" t="s">
        <v>20</v>
      </c>
      <c r="E1696" s="2">
        <v>593.24</v>
      </c>
      <c r="F1696" s="2">
        <v>11.69</v>
      </c>
      <c r="G1696" s="2">
        <v>38.909999999999997</v>
      </c>
      <c r="H1696" s="2">
        <v>0.5</v>
      </c>
      <c r="I1696" s="2">
        <v>0</v>
      </c>
      <c r="J1696" s="2">
        <v>19</v>
      </c>
      <c r="K1696" s="2" t="s">
        <v>21</v>
      </c>
      <c r="L1696" s="2">
        <v>8.83</v>
      </c>
      <c r="M1696" s="2" t="s">
        <v>40</v>
      </c>
      <c r="N1696" s="2">
        <v>51.53</v>
      </c>
      <c r="O1696" s="2" t="s">
        <v>24</v>
      </c>
      <c r="P1696" s="2">
        <v>7.25</v>
      </c>
      <c r="Q1696" s="2">
        <v>14.27</v>
      </c>
      <c r="R1696" s="3">
        <f t="shared" si="130"/>
        <v>4300.99</v>
      </c>
      <c r="S1696" s="3">
        <f t="shared" si="131"/>
        <v>8465.5347999999994</v>
      </c>
      <c r="T1696" s="3">
        <f t="shared" si="132"/>
        <v>4164.5447999999997</v>
      </c>
      <c r="U1696" s="4">
        <f t="shared" si="133"/>
        <v>0.49194113524877364</v>
      </c>
      <c r="V1696" s="5">
        <f t="shared" si="134"/>
        <v>52.383091999999998</v>
      </c>
    </row>
    <row r="1697" spans="1:22" x14ac:dyDescent="0.25">
      <c r="A1697" s="2" t="s">
        <v>1731</v>
      </c>
      <c r="B1697" s="2" t="s">
        <v>26</v>
      </c>
      <c r="C1697" s="2" t="s">
        <v>19</v>
      </c>
      <c r="D1697" s="2" t="s">
        <v>28</v>
      </c>
      <c r="E1697" s="2">
        <v>458.49</v>
      </c>
      <c r="F1697" s="2">
        <v>9.36</v>
      </c>
      <c r="G1697" s="2">
        <v>28.86</v>
      </c>
      <c r="H1697" s="2">
        <v>1</v>
      </c>
      <c r="I1697" s="2">
        <v>0.7</v>
      </c>
      <c r="J1697" s="2">
        <v>11</v>
      </c>
      <c r="K1697" s="2" t="s">
        <v>34</v>
      </c>
      <c r="L1697" s="2">
        <v>0.61</v>
      </c>
      <c r="M1697" s="2" t="s">
        <v>22</v>
      </c>
      <c r="N1697" s="2">
        <v>87.59</v>
      </c>
      <c r="O1697" s="2" t="s">
        <v>23</v>
      </c>
      <c r="P1697" s="2">
        <v>8.16</v>
      </c>
      <c r="Q1697" s="2">
        <v>12.11</v>
      </c>
      <c r="R1697" s="3">
        <f t="shared" si="130"/>
        <v>3741.2784000000001</v>
      </c>
      <c r="S1697" s="3">
        <f t="shared" si="131"/>
        <v>5552.3139000000001</v>
      </c>
      <c r="T1697" s="3">
        <f t="shared" si="132"/>
        <v>1811.0355</v>
      </c>
      <c r="U1697" s="4">
        <f t="shared" si="133"/>
        <v>0.32617671345995042</v>
      </c>
      <c r="V1697" s="5">
        <f t="shared" si="134"/>
        <v>2.796789</v>
      </c>
    </row>
    <row r="1698" spans="1:22" x14ac:dyDescent="0.25">
      <c r="A1698" s="2" t="s">
        <v>1732</v>
      </c>
      <c r="B1698" s="2" t="s">
        <v>32</v>
      </c>
      <c r="C1698" s="2" t="s">
        <v>33</v>
      </c>
      <c r="D1698" s="2" t="s">
        <v>20</v>
      </c>
      <c r="E1698" s="2">
        <v>570.07000000000005</v>
      </c>
      <c r="F1698" s="2">
        <v>13.18</v>
      </c>
      <c r="G1698" s="2">
        <v>31.99</v>
      </c>
      <c r="H1698" s="2">
        <v>1.9</v>
      </c>
      <c r="I1698" s="2">
        <v>0.8</v>
      </c>
      <c r="J1698" s="2">
        <v>18</v>
      </c>
      <c r="K1698" s="2" t="s">
        <v>34</v>
      </c>
      <c r="L1698" s="2">
        <v>1.08</v>
      </c>
      <c r="M1698" s="2" t="s">
        <v>40</v>
      </c>
      <c r="N1698" s="2">
        <v>92.07</v>
      </c>
      <c r="O1698" s="2" t="s">
        <v>23</v>
      </c>
      <c r="P1698" s="2">
        <v>9.82</v>
      </c>
      <c r="Q1698" s="2">
        <v>14.37</v>
      </c>
      <c r="R1698" s="3">
        <f t="shared" si="130"/>
        <v>5598.0874000000003</v>
      </c>
      <c r="S1698" s="3">
        <f t="shared" si="131"/>
        <v>8191.9059000000007</v>
      </c>
      <c r="T1698" s="3">
        <f t="shared" si="132"/>
        <v>2593.8185000000003</v>
      </c>
      <c r="U1698" s="4">
        <f t="shared" si="133"/>
        <v>0.31663187195546277</v>
      </c>
      <c r="V1698" s="5">
        <f t="shared" si="134"/>
        <v>6.1567560000000014</v>
      </c>
    </row>
    <row r="1699" spans="1:22" x14ac:dyDescent="0.25">
      <c r="A1699" s="2" t="s">
        <v>1733</v>
      </c>
      <c r="B1699" s="2" t="s">
        <v>18</v>
      </c>
      <c r="C1699" s="2" t="s">
        <v>43</v>
      </c>
      <c r="D1699" s="2" t="s">
        <v>28</v>
      </c>
      <c r="E1699" s="2">
        <v>781.47</v>
      </c>
      <c r="F1699" s="2">
        <v>9.1300000000000008</v>
      </c>
      <c r="G1699" s="2">
        <v>29.53</v>
      </c>
      <c r="H1699" s="2">
        <v>2.8</v>
      </c>
      <c r="I1699" s="2">
        <v>1.7</v>
      </c>
      <c r="J1699" s="2">
        <v>11</v>
      </c>
      <c r="K1699" s="2" t="s">
        <v>21</v>
      </c>
      <c r="L1699" s="2">
        <v>8.15</v>
      </c>
      <c r="M1699" s="2" t="s">
        <v>22</v>
      </c>
      <c r="N1699" s="2">
        <v>63.85</v>
      </c>
      <c r="O1699" s="2" t="s">
        <v>24</v>
      </c>
      <c r="P1699" s="2">
        <v>5.66</v>
      </c>
      <c r="Q1699" s="2">
        <v>11.6</v>
      </c>
      <c r="R1699" s="3">
        <f t="shared" si="130"/>
        <v>4423.1202000000003</v>
      </c>
      <c r="S1699" s="3">
        <f t="shared" si="131"/>
        <v>9065.0519999999997</v>
      </c>
      <c r="T1699" s="3">
        <f t="shared" si="132"/>
        <v>4641.9317999999994</v>
      </c>
      <c r="U1699" s="4">
        <f t="shared" si="133"/>
        <v>0.51206896551724135</v>
      </c>
      <c r="V1699" s="5">
        <f t="shared" si="134"/>
        <v>63.689805000000007</v>
      </c>
    </row>
    <row r="1700" spans="1:22" x14ac:dyDescent="0.25">
      <c r="A1700" s="2" t="s">
        <v>1734</v>
      </c>
      <c r="B1700" s="2" t="s">
        <v>32</v>
      </c>
      <c r="C1700" s="2" t="s">
        <v>27</v>
      </c>
      <c r="D1700" s="2" t="s">
        <v>28</v>
      </c>
      <c r="E1700" s="2">
        <v>489.57</v>
      </c>
      <c r="F1700" s="2">
        <v>17.34</v>
      </c>
      <c r="G1700" s="2">
        <v>38.659999999999997</v>
      </c>
      <c r="H1700" s="2">
        <v>4.5999999999999996</v>
      </c>
      <c r="I1700" s="2">
        <v>0.7</v>
      </c>
      <c r="J1700" s="2">
        <v>25</v>
      </c>
      <c r="K1700" s="2" t="s">
        <v>29</v>
      </c>
      <c r="L1700" s="2">
        <v>3.18</v>
      </c>
      <c r="M1700" s="2" t="s">
        <v>22</v>
      </c>
      <c r="N1700" s="2">
        <v>60.74</v>
      </c>
      <c r="O1700" s="2" t="s">
        <v>24</v>
      </c>
      <c r="P1700" s="2">
        <v>3.45</v>
      </c>
      <c r="Q1700" s="2">
        <v>5.07</v>
      </c>
      <c r="R1700" s="3">
        <f t="shared" si="130"/>
        <v>1689.0165</v>
      </c>
      <c r="S1700" s="3">
        <f t="shared" si="131"/>
        <v>2482.1199000000001</v>
      </c>
      <c r="T1700" s="3">
        <f t="shared" si="132"/>
        <v>793.10340000000019</v>
      </c>
      <c r="U1700" s="4">
        <f t="shared" si="133"/>
        <v>0.31952662721893499</v>
      </c>
      <c r="V1700" s="5">
        <f t="shared" si="134"/>
        <v>15.568325999999999</v>
      </c>
    </row>
    <row r="1701" spans="1:22" x14ac:dyDescent="0.25">
      <c r="A1701" s="2" t="s">
        <v>1735</v>
      </c>
      <c r="B1701" s="2" t="s">
        <v>26</v>
      </c>
      <c r="C1701" s="2" t="s">
        <v>43</v>
      </c>
      <c r="D1701" s="2" t="s">
        <v>20</v>
      </c>
      <c r="E1701" s="2">
        <v>539.33000000000004</v>
      </c>
      <c r="F1701" s="2">
        <v>9.84</v>
      </c>
      <c r="G1701" s="2">
        <v>21.52</v>
      </c>
      <c r="H1701" s="2">
        <v>4.9000000000000004</v>
      </c>
      <c r="I1701" s="2">
        <v>2.5</v>
      </c>
      <c r="J1701" s="2">
        <v>4</v>
      </c>
      <c r="K1701" s="2" t="s">
        <v>21</v>
      </c>
      <c r="L1701" s="2">
        <v>7.37</v>
      </c>
      <c r="M1701" s="2" t="s">
        <v>37</v>
      </c>
      <c r="N1701" s="2">
        <v>95.74</v>
      </c>
      <c r="O1701" s="2" t="s">
        <v>24</v>
      </c>
      <c r="P1701" s="2">
        <v>9.92</v>
      </c>
      <c r="Q1701" s="2">
        <v>7.66</v>
      </c>
      <c r="R1701" s="3">
        <f t="shared" si="130"/>
        <v>5350.1536000000006</v>
      </c>
      <c r="S1701" s="3">
        <f t="shared" si="131"/>
        <v>4131.2678000000005</v>
      </c>
      <c r="T1701" s="3">
        <f t="shared" si="132"/>
        <v>-1218.8858</v>
      </c>
      <c r="U1701" s="4">
        <f t="shared" si="133"/>
        <v>-0.29503916449086159</v>
      </c>
      <c r="V1701" s="5">
        <f t="shared" si="134"/>
        <v>39.748621</v>
      </c>
    </row>
    <row r="1702" spans="1:22" x14ac:dyDescent="0.25">
      <c r="A1702" s="2" t="s">
        <v>1736</v>
      </c>
      <c r="B1702" s="2" t="s">
        <v>32</v>
      </c>
      <c r="C1702" s="2" t="s">
        <v>19</v>
      </c>
      <c r="D1702" s="2" t="s">
        <v>20</v>
      </c>
      <c r="E1702" s="2">
        <v>426.19</v>
      </c>
      <c r="F1702" s="2">
        <v>10.53</v>
      </c>
      <c r="G1702" s="2">
        <v>30.02</v>
      </c>
      <c r="H1702" s="2">
        <v>3</v>
      </c>
      <c r="I1702" s="2">
        <v>1</v>
      </c>
      <c r="J1702" s="2">
        <v>18</v>
      </c>
      <c r="K1702" s="2" t="s">
        <v>34</v>
      </c>
      <c r="L1702" s="2">
        <v>1.89</v>
      </c>
      <c r="M1702" s="2" t="s">
        <v>37</v>
      </c>
      <c r="N1702" s="2">
        <v>88.2</v>
      </c>
      <c r="O1702" s="2" t="s">
        <v>30</v>
      </c>
      <c r="P1702" s="2">
        <v>7.37</v>
      </c>
      <c r="Q1702" s="2">
        <v>14.06</v>
      </c>
      <c r="R1702" s="3">
        <f t="shared" si="130"/>
        <v>3141.0203000000001</v>
      </c>
      <c r="S1702" s="3">
        <f t="shared" si="131"/>
        <v>5992.2314000000006</v>
      </c>
      <c r="T1702" s="3">
        <f t="shared" si="132"/>
        <v>2851.2111000000004</v>
      </c>
      <c r="U1702" s="4">
        <f t="shared" si="133"/>
        <v>0.47581792318634425</v>
      </c>
      <c r="V1702" s="5">
        <f t="shared" si="134"/>
        <v>8.0549909999999993</v>
      </c>
    </row>
    <row r="1703" spans="1:22" x14ac:dyDescent="0.25">
      <c r="A1703" s="2" t="s">
        <v>1737</v>
      </c>
      <c r="B1703" s="2" t="s">
        <v>45</v>
      </c>
      <c r="C1703" s="2" t="s">
        <v>33</v>
      </c>
      <c r="D1703" s="2" t="s">
        <v>28</v>
      </c>
      <c r="E1703" s="2">
        <v>518.13</v>
      </c>
      <c r="F1703" s="2">
        <v>12.07</v>
      </c>
      <c r="G1703" s="2">
        <v>33.74</v>
      </c>
      <c r="H1703" s="2">
        <v>0.5</v>
      </c>
      <c r="I1703" s="2">
        <v>1.8</v>
      </c>
      <c r="J1703" s="2">
        <v>19</v>
      </c>
      <c r="K1703" s="2" t="s">
        <v>34</v>
      </c>
      <c r="L1703" s="2">
        <v>2.75</v>
      </c>
      <c r="M1703" s="2" t="s">
        <v>40</v>
      </c>
      <c r="N1703" s="2">
        <v>55.67</v>
      </c>
      <c r="O1703" s="2" t="s">
        <v>23</v>
      </c>
      <c r="P1703" s="2">
        <v>9.6300000000000008</v>
      </c>
      <c r="Q1703" s="2">
        <v>11.43</v>
      </c>
      <c r="R1703" s="3">
        <f t="shared" si="130"/>
        <v>4989.5919000000004</v>
      </c>
      <c r="S1703" s="3">
        <f t="shared" si="131"/>
        <v>5922.2258999999995</v>
      </c>
      <c r="T1703" s="3">
        <f t="shared" si="132"/>
        <v>932.63399999999911</v>
      </c>
      <c r="U1703" s="4">
        <f t="shared" si="133"/>
        <v>0.15748031496062978</v>
      </c>
      <c r="V1703" s="5">
        <f t="shared" si="134"/>
        <v>14.248575000000001</v>
      </c>
    </row>
    <row r="1704" spans="1:22" x14ac:dyDescent="0.25">
      <c r="A1704" s="2" t="s">
        <v>1738</v>
      </c>
      <c r="B1704" s="2" t="s">
        <v>18</v>
      </c>
      <c r="C1704" s="2" t="s">
        <v>27</v>
      </c>
      <c r="D1704" s="2" t="s">
        <v>20</v>
      </c>
      <c r="E1704" s="2">
        <v>546.03</v>
      </c>
      <c r="F1704" s="2">
        <v>11.83</v>
      </c>
      <c r="G1704" s="2">
        <v>35.840000000000003</v>
      </c>
      <c r="H1704" s="2">
        <v>0.1</v>
      </c>
      <c r="I1704" s="2">
        <v>0.2</v>
      </c>
      <c r="J1704" s="2">
        <v>13</v>
      </c>
      <c r="K1704" s="2" t="s">
        <v>21</v>
      </c>
      <c r="L1704" s="2">
        <v>5.94</v>
      </c>
      <c r="M1704" s="2" t="s">
        <v>40</v>
      </c>
      <c r="N1704" s="2">
        <v>60.61</v>
      </c>
      <c r="O1704" s="2" t="s">
        <v>30</v>
      </c>
      <c r="P1704" s="2">
        <v>3.73</v>
      </c>
      <c r="Q1704" s="2">
        <v>14.82</v>
      </c>
      <c r="R1704" s="3">
        <f t="shared" si="130"/>
        <v>2036.6918999999998</v>
      </c>
      <c r="S1704" s="3">
        <f t="shared" si="131"/>
        <v>8092.1646000000001</v>
      </c>
      <c r="T1704" s="3">
        <f t="shared" si="132"/>
        <v>6055.4727000000003</v>
      </c>
      <c r="U1704" s="4">
        <f t="shared" si="133"/>
        <v>0.74831309041835359</v>
      </c>
      <c r="V1704" s="5">
        <f t="shared" si="134"/>
        <v>32.434182</v>
      </c>
    </row>
    <row r="1705" spans="1:22" x14ac:dyDescent="0.25">
      <c r="A1705" s="2" t="s">
        <v>1739</v>
      </c>
      <c r="B1705" s="2" t="s">
        <v>18</v>
      </c>
      <c r="C1705" s="2" t="s">
        <v>33</v>
      </c>
      <c r="D1705" s="2" t="s">
        <v>28</v>
      </c>
      <c r="E1705" s="2">
        <v>519.48</v>
      </c>
      <c r="F1705" s="2">
        <v>15.95</v>
      </c>
      <c r="G1705" s="2">
        <v>31.66</v>
      </c>
      <c r="H1705" s="2">
        <v>1</v>
      </c>
      <c r="I1705" s="2">
        <v>1.9</v>
      </c>
      <c r="J1705" s="2">
        <v>4</v>
      </c>
      <c r="K1705" s="2" t="s">
        <v>34</v>
      </c>
      <c r="L1705" s="2">
        <v>9.89</v>
      </c>
      <c r="M1705" s="2" t="s">
        <v>22</v>
      </c>
      <c r="N1705" s="2">
        <v>81.069999999999993</v>
      </c>
      <c r="O1705" s="2" t="s">
        <v>24</v>
      </c>
      <c r="P1705" s="2">
        <v>5.39</v>
      </c>
      <c r="Q1705" s="2">
        <v>6.56</v>
      </c>
      <c r="R1705" s="3">
        <f t="shared" si="130"/>
        <v>2799.9971999999998</v>
      </c>
      <c r="S1705" s="3">
        <f t="shared" si="131"/>
        <v>3407.7887999999998</v>
      </c>
      <c r="T1705" s="3">
        <f t="shared" si="132"/>
        <v>607.79160000000002</v>
      </c>
      <c r="U1705" s="4">
        <f t="shared" si="133"/>
        <v>0.17835365853658539</v>
      </c>
      <c r="V1705" s="5">
        <f t="shared" si="134"/>
        <v>51.376572000000003</v>
      </c>
    </row>
    <row r="1706" spans="1:22" x14ac:dyDescent="0.25">
      <c r="A1706" s="2" t="s">
        <v>1740</v>
      </c>
      <c r="B1706" s="2" t="s">
        <v>18</v>
      </c>
      <c r="C1706" s="2" t="s">
        <v>19</v>
      </c>
      <c r="D1706" s="2" t="s">
        <v>20</v>
      </c>
      <c r="E1706" s="2">
        <v>398.03</v>
      </c>
      <c r="F1706" s="2">
        <v>12.56</v>
      </c>
      <c r="G1706" s="2">
        <v>38.18</v>
      </c>
      <c r="H1706" s="2">
        <v>0.3</v>
      </c>
      <c r="I1706" s="2">
        <v>1.1000000000000001</v>
      </c>
      <c r="J1706" s="2">
        <v>10</v>
      </c>
      <c r="K1706" s="2" t="s">
        <v>21</v>
      </c>
      <c r="L1706" s="2">
        <v>1.2</v>
      </c>
      <c r="M1706" s="2" t="s">
        <v>37</v>
      </c>
      <c r="N1706" s="2">
        <v>70.97</v>
      </c>
      <c r="O1706" s="2" t="s">
        <v>24</v>
      </c>
      <c r="P1706" s="2">
        <v>3.94</v>
      </c>
      <c r="Q1706" s="2">
        <v>7.97</v>
      </c>
      <c r="R1706" s="3">
        <f t="shared" si="130"/>
        <v>1568.2381999999998</v>
      </c>
      <c r="S1706" s="3">
        <f t="shared" si="131"/>
        <v>3172.2990999999997</v>
      </c>
      <c r="T1706" s="3">
        <f t="shared" si="132"/>
        <v>1604.0608999999999</v>
      </c>
      <c r="U1706" s="4">
        <f t="shared" si="133"/>
        <v>0.50564617314930993</v>
      </c>
      <c r="V1706" s="5">
        <f t="shared" si="134"/>
        <v>4.7763599999999995</v>
      </c>
    </row>
    <row r="1707" spans="1:22" x14ac:dyDescent="0.25">
      <c r="A1707" s="2" t="s">
        <v>1741</v>
      </c>
      <c r="B1707" s="2" t="s">
        <v>26</v>
      </c>
      <c r="C1707" s="2" t="s">
        <v>19</v>
      </c>
      <c r="D1707" s="2" t="s">
        <v>20</v>
      </c>
      <c r="E1707" s="2">
        <v>520.64</v>
      </c>
      <c r="F1707" s="2">
        <v>9.7100000000000009</v>
      </c>
      <c r="G1707" s="2">
        <v>38.840000000000003</v>
      </c>
      <c r="H1707" s="2">
        <v>2.5</v>
      </c>
      <c r="I1707" s="2">
        <v>0.2</v>
      </c>
      <c r="J1707" s="2">
        <v>29</v>
      </c>
      <c r="K1707" s="2" t="s">
        <v>21</v>
      </c>
      <c r="L1707" s="2">
        <v>4.3099999999999996</v>
      </c>
      <c r="M1707" s="2" t="s">
        <v>40</v>
      </c>
      <c r="N1707" s="2">
        <v>75.209999999999994</v>
      </c>
      <c r="O1707" s="2" t="s">
        <v>23</v>
      </c>
      <c r="P1707" s="2">
        <v>8.85</v>
      </c>
      <c r="Q1707" s="2">
        <v>8.6199999999999992</v>
      </c>
      <c r="R1707" s="3">
        <f t="shared" si="130"/>
        <v>4607.6639999999998</v>
      </c>
      <c r="S1707" s="3">
        <f t="shared" si="131"/>
        <v>4487.9167999999991</v>
      </c>
      <c r="T1707" s="3">
        <f t="shared" si="132"/>
        <v>-119.7472000000007</v>
      </c>
      <c r="U1707" s="4">
        <f t="shared" si="133"/>
        <v>-2.6682134570765823E-2</v>
      </c>
      <c r="V1707" s="5">
        <f t="shared" si="134"/>
        <v>22.439583999999996</v>
      </c>
    </row>
    <row r="1708" spans="1:22" x14ac:dyDescent="0.25">
      <c r="A1708" s="2" t="s">
        <v>1742</v>
      </c>
      <c r="B1708" s="2" t="s">
        <v>18</v>
      </c>
      <c r="C1708" s="2" t="s">
        <v>43</v>
      </c>
      <c r="D1708" s="2" t="s">
        <v>28</v>
      </c>
      <c r="E1708" s="2">
        <v>646.22</v>
      </c>
      <c r="F1708" s="2">
        <v>10.67</v>
      </c>
      <c r="G1708" s="2">
        <v>21.29</v>
      </c>
      <c r="H1708" s="2">
        <v>2.2000000000000002</v>
      </c>
      <c r="I1708" s="2">
        <v>0.2</v>
      </c>
      <c r="J1708" s="2">
        <v>22</v>
      </c>
      <c r="K1708" s="2" t="s">
        <v>29</v>
      </c>
      <c r="L1708" s="2">
        <v>0.91</v>
      </c>
      <c r="M1708" s="2" t="s">
        <v>40</v>
      </c>
      <c r="N1708" s="2">
        <v>97.58</v>
      </c>
      <c r="O1708" s="2" t="s">
        <v>30</v>
      </c>
      <c r="P1708" s="2">
        <v>9.16</v>
      </c>
      <c r="Q1708" s="2">
        <v>8.27</v>
      </c>
      <c r="R1708" s="3">
        <f t="shared" si="130"/>
        <v>5919.3752000000004</v>
      </c>
      <c r="S1708" s="3">
        <f t="shared" si="131"/>
        <v>5344.2394000000004</v>
      </c>
      <c r="T1708" s="3">
        <f t="shared" si="132"/>
        <v>-575.13580000000002</v>
      </c>
      <c r="U1708" s="4">
        <f t="shared" si="133"/>
        <v>-0.10761789600967352</v>
      </c>
      <c r="V1708" s="5">
        <f t="shared" si="134"/>
        <v>5.8806019999999997</v>
      </c>
    </row>
    <row r="1709" spans="1:22" x14ac:dyDescent="0.25">
      <c r="A1709" s="2" t="s">
        <v>1743</v>
      </c>
      <c r="B1709" s="2" t="s">
        <v>45</v>
      </c>
      <c r="C1709" s="2" t="s">
        <v>27</v>
      </c>
      <c r="D1709" s="2" t="s">
        <v>20</v>
      </c>
      <c r="E1709" s="2">
        <v>544.86</v>
      </c>
      <c r="F1709" s="2">
        <v>13.09</v>
      </c>
      <c r="G1709" s="2">
        <v>28.05</v>
      </c>
      <c r="H1709" s="2">
        <v>0.1</v>
      </c>
      <c r="I1709" s="2">
        <v>2.6</v>
      </c>
      <c r="J1709" s="2">
        <v>5</v>
      </c>
      <c r="K1709" s="2" t="s">
        <v>34</v>
      </c>
      <c r="L1709" s="2">
        <v>2.39</v>
      </c>
      <c r="M1709" s="2" t="s">
        <v>40</v>
      </c>
      <c r="N1709" s="2">
        <v>71.010000000000005</v>
      </c>
      <c r="O1709" s="2" t="s">
        <v>30</v>
      </c>
      <c r="P1709" s="2">
        <v>6.51</v>
      </c>
      <c r="Q1709" s="2">
        <v>7.52</v>
      </c>
      <c r="R1709" s="3">
        <f t="shared" si="130"/>
        <v>3547.0385999999999</v>
      </c>
      <c r="S1709" s="3">
        <f t="shared" si="131"/>
        <v>4097.3472000000002</v>
      </c>
      <c r="T1709" s="3">
        <f t="shared" si="132"/>
        <v>550.3086000000003</v>
      </c>
      <c r="U1709" s="4">
        <f t="shared" si="133"/>
        <v>0.13430851063829793</v>
      </c>
      <c r="V1709" s="5">
        <f t="shared" si="134"/>
        <v>13.022154</v>
      </c>
    </row>
    <row r="1710" spans="1:22" x14ac:dyDescent="0.25">
      <c r="A1710" s="2" t="s">
        <v>1744</v>
      </c>
      <c r="B1710" s="2" t="s">
        <v>26</v>
      </c>
      <c r="C1710" s="2" t="s">
        <v>43</v>
      </c>
      <c r="D1710" s="2" t="s">
        <v>20</v>
      </c>
      <c r="E1710" s="2">
        <v>596.20000000000005</v>
      </c>
      <c r="F1710" s="2">
        <v>9.4700000000000006</v>
      </c>
      <c r="G1710" s="2">
        <v>20.47</v>
      </c>
      <c r="H1710" s="2">
        <v>3.6</v>
      </c>
      <c r="I1710" s="2">
        <v>0</v>
      </c>
      <c r="J1710" s="2">
        <v>3</v>
      </c>
      <c r="K1710" s="2" t="s">
        <v>21</v>
      </c>
      <c r="L1710" s="2">
        <v>9.1199999999999992</v>
      </c>
      <c r="M1710" s="2" t="s">
        <v>22</v>
      </c>
      <c r="N1710" s="2">
        <v>94.08</v>
      </c>
      <c r="O1710" s="2" t="s">
        <v>30</v>
      </c>
      <c r="P1710" s="2">
        <v>4.3099999999999996</v>
      </c>
      <c r="Q1710" s="2">
        <v>9.43</v>
      </c>
      <c r="R1710" s="3">
        <f t="shared" si="130"/>
        <v>2569.6219999999998</v>
      </c>
      <c r="S1710" s="3">
        <f t="shared" si="131"/>
        <v>5622.1660000000002</v>
      </c>
      <c r="T1710" s="3">
        <f t="shared" si="132"/>
        <v>3052.5440000000003</v>
      </c>
      <c r="U1710" s="4">
        <f t="shared" si="133"/>
        <v>0.54294803817603399</v>
      </c>
      <c r="V1710" s="5">
        <f t="shared" si="134"/>
        <v>54.373440000000002</v>
      </c>
    </row>
    <row r="1711" spans="1:22" x14ac:dyDescent="0.25">
      <c r="A1711" s="2" t="s">
        <v>1745</v>
      </c>
      <c r="B1711" s="2" t="s">
        <v>45</v>
      </c>
      <c r="C1711" s="2" t="s">
        <v>19</v>
      </c>
      <c r="D1711" s="2" t="s">
        <v>28</v>
      </c>
      <c r="E1711" s="2">
        <v>476.3</v>
      </c>
      <c r="F1711" s="2">
        <v>14.12</v>
      </c>
      <c r="G1711" s="2">
        <v>26.59</v>
      </c>
      <c r="H1711" s="2">
        <v>0.6</v>
      </c>
      <c r="I1711" s="2">
        <v>0.6</v>
      </c>
      <c r="J1711" s="2">
        <v>16</v>
      </c>
      <c r="K1711" s="2" t="s">
        <v>34</v>
      </c>
      <c r="L1711" s="2">
        <v>1.42</v>
      </c>
      <c r="M1711" s="2" t="s">
        <v>40</v>
      </c>
      <c r="N1711" s="2">
        <v>83.04</v>
      </c>
      <c r="O1711" s="2" t="s">
        <v>24</v>
      </c>
      <c r="P1711" s="2">
        <v>3.89</v>
      </c>
      <c r="Q1711" s="2">
        <v>11.42</v>
      </c>
      <c r="R1711" s="3">
        <f t="shared" si="130"/>
        <v>1852.807</v>
      </c>
      <c r="S1711" s="3">
        <f t="shared" si="131"/>
        <v>5439.3460000000005</v>
      </c>
      <c r="T1711" s="3">
        <f t="shared" si="132"/>
        <v>3586.5390000000007</v>
      </c>
      <c r="U1711" s="4">
        <f t="shared" si="133"/>
        <v>0.65936952714535912</v>
      </c>
      <c r="V1711" s="5">
        <f t="shared" si="134"/>
        <v>6.7634600000000002</v>
      </c>
    </row>
    <row r="1712" spans="1:22" x14ac:dyDescent="0.25">
      <c r="A1712" s="2" t="s">
        <v>1746</v>
      </c>
      <c r="B1712" s="2" t="s">
        <v>32</v>
      </c>
      <c r="C1712" s="2" t="s">
        <v>33</v>
      </c>
      <c r="D1712" s="2" t="s">
        <v>20</v>
      </c>
      <c r="E1712" s="2">
        <v>574.99</v>
      </c>
      <c r="F1712" s="2">
        <v>13.66</v>
      </c>
      <c r="G1712" s="2">
        <v>30.74</v>
      </c>
      <c r="H1712" s="2">
        <v>1.1000000000000001</v>
      </c>
      <c r="I1712" s="2">
        <v>0.4</v>
      </c>
      <c r="J1712" s="2">
        <v>26</v>
      </c>
      <c r="K1712" s="2" t="s">
        <v>21</v>
      </c>
      <c r="L1712" s="2">
        <v>8.64</v>
      </c>
      <c r="M1712" s="2" t="s">
        <v>40</v>
      </c>
      <c r="N1712" s="2">
        <v>56.08</v>
      </c>
      <c r="O1712" s="2" t="s">
        <v>23</v>
      </c>
      <c r="P1712" s="2">
        <v>7.12</v>
      </c>
      <c r="Q1712" s="2">
        <v>8.11</v>
      </c>
      <c r="R1712" s="3">
        <f t="shared" si="130"/>
        <v>4093.9288000000001</v>
      </c>
      <c r="S1712" s="3">
        <f t="shared" si="131"/>
        <v>4663.1688999999997</v>
      </c>
      <c r="T1712" s="3">
        <f t="shared" si="132"/>
        <v>569.24009999999953</v>
      </c>
      <c r="U1712" s="4">
        <f t="shared" si="133"/>
        <v>0.12207151664611582</v>
      </c>
      <c r="V1712" s="5">
        <f t="shared" si="134"/>
        <v>49.679136000000007</v>
      </c>
    </row>
    <row r="1713" spans="1:22" x14ac:dyDescent="0.25">
      <c r="A1713" s="2" t="s">
        <v>1747</v>
      </c>
      <c r="B1713" s="2" t="s">
        <v>32</v>
      </c>
      <c r="C1713" s="2" t="s">
        <v>43</v>
      </c>
      <c r="D1713" s="2" t="s">
        <v>28</v>
      </c>
      <c r="E1713" s="2">
        <v>527.92999999999995</v>
      </c>
      <c r="F1713" s="2">
        <v>15.15</v>
      </c>
      <c r="G1713" s="2">
        <v>38.22</v>
      </c>
      <c r="H1713" s="2">
        <v>2.2000000000000002</v>
      </c>
      <c r="I1713" s="2">
        <v>1.1000000000000001</v>
      </c>
      <c r="J1713" s="2">
        <v>8</v>
      </c>
      <c r="K1713" s="2" t="s">
        <v>21</v>
      </c>
      <c r="L1713" s="2">
        <v>2.19</v>
      </c>
      <c r="M1713" s="2" t="s">
        <v>37</v>
      </c>
      <c r="N1713" s="2">
        <v>87.23</v>
      </c>
      <c r="O1713" s="2" t="s">
        <v>30</v>
      </c>
      <c r="P1713" s="2">
        <v>6.54</v>
      </c>
      <c r="Q1713" s="2">
        <v>5.8</v>
      </c>
      <c r="R1713" s="3">
        <f t="shared" si="130"/>
        <v>3452.6621999999998</v>
      </c>
      <c r="S1713" s="3">
        <f t="shared" si="131"/>
        <v>3061.9939999999997</v>
      </c>
      <c r="T1713" s="3">
        <f t="shared" si="132"/>
        <v>-390.66820000000007</v>
      </c>
      <c r="U1713" s="4">
        <f t="shared" si="133"/>
        <v>-0.12758620689655176</v>
      </c>
      <c r="V1713" s="5">
        <f t="shared" si="134"/>
        <v>11.561666999999998</v>
      </c>
    </row>
    <row r="1714" spans="1:22" x14ac:dyDescent="0.25">
      <c r="A1714" s="2" t="s">
        <v>1748</v>
      </c>
      <c r="B1714" s="2" t="s">
        <v>32</v>
      </c>
      <c r="C1714" s="2" t="s">
        <v>43</v>
      </c>
      <c r="D1714" s="2" t="s">
        <v>28</v>
      </c>
      <c r="E1714" s="2">
        <v>404.91</v>
      </c>
      <c r="F1714" s="2">
        <v>17.38</v>
      </c>
      <c r="G1714" s="2">
        <v>36.93</v>
      </c>
      <c r="H1714" s="2">
        <v>1.1000000000000001</v>
      </c>
      <c r="I1714" s="2">
        <v>1.8</v>
      </c>
      <c r="J1714" s="2">
        <v>24</v>
      </c>
      <c r="K1714" s="2" t="s">
        <v>29</v>
      </c>
      <c r="L1714" s="2">
        <v>8.69</v>
      </c>
      <c r="M1714" s="2" t="s">
        <v>37</v>
      </c>
      <c r="N1714" s="2">
        <v>76.010000000000005</v>
      </c>
      <c r="O1714" s="2" t="s">
        <v>24</v>
      </c>
      <c r="P1714" s="2">
        <v>7.86</v>
      </c>
      <c r="Q1714" s="2">
        <v>12.09</v>
      </c>
      <c r="R1714" s="3">
        <f t="shared" si="130"/>
        <v>3182.5926000000004</v>
      </c>
      <c r="S1714" s="3">
        <f t="shared" si="131"/>
        <v>4895.3618999999999</v>
      </c>
      <c r="T1714" s="3">
        <f t="shared" si="132"/>
        <v>1712.7692999999995</v>
      </c>
      <c r="U1714" s="4">
        <f t="shared" si="133"/>
        <v>0.34987593052109173</v>
      </c>
      <c r="V1714" s="5">
        <f t="shared" si="134"/>
        <v>35.186678999999998</v>
      </c>
    </row>
    <row r="1715" spans="1:22" x14ac:dyDescent="0.25">
      <c r="A1715" s="2" t="s">
        <v>1749</v>
      </c>
      <c r="B1715" s="2" t="s">
        <v>32</v>
      </c>
      <c r="C1715" s="2" t="s">
        <v>33</v>
      </c>
      <c r="D1715" s="2" t="s">
        <v>28</v>
      </c>
      <c r="E1715" s="2">
        <v>531.85</v>
      </c>
      <c r="F1715" s="2">
        <v>17.12</v>
      </c>
      <c r="G1715" s="2">
        <v>22.55</v>
      </c>
      <c r="H1715" s="2">
        <v>1.2</v>
      </c>
      <c r="I1715" s="2">
        <v>0.4</v>
      </c>
      <c r="J1715" s="2">
        <v>7</v>
      </c>
      <c r="K1715" s="2" t="s">
        <v>21</v>
      </c>
      <c r="L1715" s="2">
        <v>5.61</v>
      </c>
      <c r="M1715" s="2" t="s">
        <v>37</v>
      </c>
      <c r="N1715" s="2">
        <v>61.25</v>
      </c>
      <c r="O1715" s="2" t="s">
        <v>24</v>
      </c>
      <c r="P1715" s="2">
        <v>5.14</v>
      </c>
      <c r="Q1715" s="2">
        <v>9.59</v>
      </c>
      <c r="R1715" s="3">
        <f t="shared" si="130"/>
        <v>2733.7089999999998</v>
      </c>
      <c r="S1715" s="3">
        <f t="shared" si="131"/>
        <v>5100.4414999999999</v>
      </c>
      <c r="T1715" s="3">
        <f t="shared" si="132"/>
        <v>2366.7325000000001</v>
      </c>
      <c r="U1715" s="4">
        <f t="shared" si="133"/>
        <v>0.46402502606882173</v>
      </c>
      <c r="V1715" s="5">
        <f t="shared" si="134"/>
        <v>29.836785000000006</v>
      </c>
    </row>
    <row r="1716" spans="1:22" x14ac:dyDescent="0.25">
      <c r="A1716" s="2" t="s">
        <v>1750</v>
      </c>
      <c r="B1716" s="2" t="s">
        <v>45</v>
      </c>
      <c r="C1716" s="2" t="s">
        <v>43</v>
      </c>
      <c r="D1716" s="2" t="s">
        <v>28</v>
      </c>
      <c r="E1716" s="2">
        <v>400.83</v>
      </c>
      <c r="F1716" s="2">
        <v>17.46</v>
      </c>
      <c r="G1716" s="2">
        <v>21.86</v>
      </c>
      <c r="H1716" s="2">
        <v>0.1</v>
      </c>
      <c r="I1716" s="2">
        <v>0.6</v>
      </c>
      <c r="J1716" s="2">
        <v>19</v>
      </c>
      <c r="K1716" s="2" t="s">
        <v>29</v>
      </c>
      <c r="L1716" s="2">
        <v>8.84</v>
      </c>
      <c r="M1716" s="2" t="s">
        <v>22</v>
      </c>
      <c r="N1716" s="2">
        <v>64.48</v>
      </c>
      <c r="O1716" s="2" t="s">
        <v>30</v>
      </c>
      <c r="P1716" s="2">
        <v>5.82</v>
      </c>
      <c r="Q1716" s="2">
        <v>10.56</v>
      </c>
      <c r="R1716" s="3">
        <f t="shared" si="130"/>
        <v>2332.8306000000002</v>
      </c>
      <c r="S1716" s="3">
        <f t="shared" si="131"/>
        <v>4232.7647999999999</v>
      </c>
      <c r="T1716" s="3">
        <f t="shared" si="132"/>
        <v>1899.9341999999997</v>
      </c>
      <c r="U1716" s="4">
        <f t="shared" si="133"/>
        <v>0.4488636363636363</v>
      </c>
      <c r="V1716" s="5">
        <f t="shared" si="134"/>
        <v>35.433371999999999</v>
      </c>
    </row>
    <row r="1717" spans="1:22" x14ac:dyDescent="0.25">
      <c r="A1717" s="2" t="s">
        <v>1751</v>
      </c>
      <c r="B1717" s="2" t="s">
        <v>26</v>
      </c>
      <c r="C1717" s="2" t="s">
        <v>33</v>
      </c>
      <c r="D1717" s="2" t="s">
        <v>28</v>
      </c>
      <c r="E1717" s="2">
        <v>436.71</v>
      </c>
      <c r="F1717" s="2">
        <v>10.45</v>
      </c>
      <c r="G1717" s="2">
        <v>31.79</v>
      </c>
      <c r="H1717" s="2">
        <v>1</v>
      </c>
      <c r="I1717" s="2">
        <v>4</v>
      </c>
      <c r="J1717" s="2">
        <v>14</v>
      </c>
      <c r="K1717" s="2" t="s">
        <v>34</v>
      </c>
      <c r="L1717" s="2">
        <v>1.94</v>
      </c>
      <c r="M1717" s="2" t="s">
        <v>37</v>
      </c>
      <c r="N1717" s="2">
        <v>77.87</v>
      </c>
      <c r="O1717" s="2" t="s">
        <v>23</v>
      </c>
      <c r="P1717" s="2">
        <v>3.15</v>
      </c>
      <c r="Q1717" s="2">
        <v>9.5500000000000007</v>
      </c>
      <c r="R1717" s="3">
        <f t="shared" si="130"/>
        <v>1375.6364999999998</v>
      </c>
      <c r="S1717" s="3">
        <f t="shared" si="131"/>
        <v>4170.5805</v>
      </c>
      <c r="T1717" s="3">
        <f t="shared" si="132"/>
        <v>2794.9440000000004</v>
      </c>
      <c r="U1717" s="4">
        <f t="shared" si="133"/>
        <v>0.67015706806282727</v>
      </c>
      <c r="V1717" s="5">
        <f t="shared" si="134"/>
        <v>8.472173999999999</v>
      </c>
    </row>
    <row r="1718" spans="1:22" x14ac:dyDescent="0.25">
      <c r="A1718" s="2" t="s">
        <v>1752</v>
      </c>
      <c r="B1718" s="2" t="s">
        <v>26</v>
      </c>
      <c r="C1718" s="2" t="s">
        <v>27</v>
      </c>
      <c r="D1718" s="2" t="s">
        <v>20</v>
      </c>
      <c r="E1718" s="2">
        <v>518.92999999999995</v>
      </c>
      <c r="F1718" s="2">
        <v>9.32</v>
      </c>
      <c r="G1718" s="2">
        <v>30.64</v>
      </c>
      <c r="H1718" s="2">
        <v>2.9</v>
      </c>
      <c r="I1718" s="2">
        <v>1.5</v>
      </c>
      <c r="J1718" s="2">
        <v>15</v>
      </c>
      <c r="K1718" s="2" t="s">
        <v>29</v>
      </c>
      <c r="L1718" s="2">
        <v>7.74</v>
      </c>
      <c r="M1718" s="2" t="s">
        <v>37</v>
      </c>
      <c r="N1718" s="2">
        <v>80.09</v>
      </c>
      <c r="O1718" s="2" t="s">
        <v>23</v>
      </c>
      <c r="P1718" s="2">
        <v>7.27</v>
      </c>
      <c r="Q1718" s="2">
        <v>13.9</v>
      </c>
      <c r="R1718" s="3">
        <f t="shared" si="130"/>
        <v>3772.6210999999994</v>
      </c>
      <c r="S1718" s="3">
        <f t="shared" si="131"/>
        <v>7213.1269999999995</v>
      </c>
      <c r="T1718" s="3">
        <f t="shared" si="132"/>
        <v>3440.5059000000001</v>
      </c>
      <c r="U1718" s="4">
        <f t="shared" si="133"/>
        <v>0.47697841726618712</v>
      </c>
      <c r="V1718" s="5">
        <f t="shared" si="134"/>
        <v>40.165181999999994</v>
      </c>
    </row>
    <row r="1719" spans="1:22" x14ac:dyDescent="0.25">
      <c r="A1719" s="2" t="s">
        <v>1753</v>
      </c>
      <c r="B1719" s="2" t="s">
        <v>18</v>
      </c>
      <c r="C1719" s="2" t="s">
        <v>33</v>
      </c>
      <c r="D1719" s="2" t="s">
        <v>28</v>
      </c>
      <c r="E1719" s="2">
        <v>529.72</v>
      </c>
      <c r="F1719" s="2">
        <v>11.02</v>
      </c>
      <c r="G1719" s="2">
        <v>25.33</v>
      </c>
      <c r="H1719" s="2">
        <v>4.9000000000000004</v>
      </c>
      <c r="I1719" s="2">
        <v>2.2999999999999998</v>
      </c>
      <c r="J1719" s="2">
        <v>17</v>
      </c>
      <c r="K1719" s="2" t="s">
        <v>29</v>
      </c>
      <c r="L1719" s="2">
        <v>6.97</v>
      </c>
      <c r="M1719" s="2" t="s">
        <v>37</v>
      </c>
      <c r="N1719" s="2">
        <v>98.41</v>
      </c>
      <c r="O1719" s="2" t="s">
        <v>30</v>
      </c>
      <c r="P1719" s="2">
        <v>5.96</v>
      </c>
      <c r="Q1719" s="2">
        <v>10.59</v>
      </c>
      <c r="R1719" s="3">
        <f t="shared" si="130"/>
        <v>3157.1312000000003</v>
      </c>
      <c r="S1719" s="3">
        <f t="shared" si="131"/>
        <v>5609.7348000000002</v>
      </c>
      <c r="T1719" s="3">
        <f t="shared" si="132"/>
        <v>2452.6035999999999</v>
      </c>
      <c r="U1719" s="4">
        <f t="shared" si="133"/>
        <v>0.43720491029272895</v>
      </c>
      <c r="V1719" s="5">
        <f t="shared" si="134"/>
        <v>36.921484</v>
      </c>
    </row>
    <row r="1720" spans="1:22" x14ac:dyDescent="0.25">
      <c r="A1720" s="2" t="s">
        <v>1754</v>
      </c>
      <c r="B1720" s="2" t="s">
        <v>45</v>
      </c>
      <c r="C1720" s="2" t="s">
        <v>27</v>
      </c>
      <c r="D1720" s="2" t="s">
        <v>28</v>
      </c>
      <c r="E1720" s="2">
        <v>381.08</v>
      </c>
      <c r="F1720" s="2">
        <v>16.95</v>
      </c>
      <c r="G1720" s="2">
        <v>37.99</v>
      </c>
      <c r="H1720" s="2">
        <v>1.1000000000000001</v>
      </c>
      <c r="I1720" s="2">
        <v>0.6</v>
      </c>
      <c r="J1720" s="2">
        <v>21</v>
      </c>
      <c r="K1720" s="2" t="s">
        <v>34</v>
      </c>
      <c r="L1720" s="2">
        <v>5.66</v>
      </c>
      <c r="M1720" s="2" t="s">
        <v>37</v>
      </c>
      <c r="N1720" s="2">
        <v>92.74</v>
      </c>
      <c r="O1720" s="2" t="s">
        <v>24</v>
      </c>
      <c r="P1720" s="2">
        <v>9.44</v>
      </c>
      <c r="Q1720" s="2">
        <v>14.23</v>
      </c>
      <c r="R1720" s="3">
        <f t="shared" si="130"/>
        <v>3597.3951999999995</v>
      </c>
      <c r="S1720" s="3">
        <f t="shared" si="131"/>
        <v>5422.7683999999999</v>
      </c>
      <c r="T1720" s="3">
        <f t="shared" si="132"/>
        <v>1825.3732000000005</v>
      </c>
      <c r="U1720" s="4">
        <f t="shared" si="133"/>
        <v>0.33661278988053417</v>
      </c>
      <c r="V1720" s="5">
        <f t="shared" si="134"/>
        <v>21.569127999999999</v>
      </c>
    </row>
    <row r="1721" spans="1:22" x14ac:dyDescent="0.25">
      <c r="A1721" s="2" t="s">
        <v>1755</v>
      </c>
      <c r="B1721" s="2" t="s">
        <v>32</v>
      </c>
      <c r="C1721" s="2" t="s">
        <v>33</v>
      </c>
      <c r="D1721" s="2" t="s">
        <v>20</v>
      </c>
      <c r="E1721" s="2">
        <v>605.4</v>
      </c>
      <c r="F1721" s="2">
        <v>17.72</v>
      </c>
      <c r="G1721" s="2">
        <v>38.549999999999997</v>
      </c>
      <c r="H1721" s="2">
        <v>1.1000000000000001</v>
      </c>
      <c r="I1721" s="2">
        <v>0.3</v>
      </c>
      <c r="J1721" s="2">
        <v>1</v>
      </c>
      <c r="K1721" s="2" t="s">
        <v>29</v>
      </c>
      <c r="L1721" s="2">
        <v>8.1999999999999993</v>
      </c>
      <c r="M1721" s="2" t="s">
        <v>40</v>
      </c>
      <c r="N1721" s="2">
        <v>60.29</v>
      </c>
      <c r="O1721" s="2" t="s">
        <v>24</v>
      </c>
      <c r="P1721" s="2">
        <v>7.49</v>
      </c>
      <c r="Q1721" s="2">
        <v>10.11</v>
      </c>
      <c r="R1721" s="3">
        <f t="shared" si="130"/>
        <v>4534.4459999999999</v>
      </c>
      <c r="S1721" s="3">
        <f t="shared" si="131"/>
        <v>6120.5939999999991</v>
      </c>
      <c r="T1721" s="3">
        <f t="shared" si="132"/>
        <v>1586.1479999999992</v>
      </c>
      <c r="U1721" s="4">
        <f t="shared" si="133"/>
        <v>0.25914935707220565</v>
      </c>
      <c r="V1721" s="5">
        <f t="shared" si="134"/>
        <v>49.642799999999994</v>
      </c>
    </row>
    <row r="1722" spans="1:22" x14ac:dyDescent="0.25">
      <c r="A1722" s="2" t="s">
        <v>1756</v>
      </c>
      <c r="B1722" s="2" t="s">
        <v>45</v>
      </c>
      <c r="C1722" s="2" t="s">
        <v>19</v>
      </c>
      <c r="D1722" s="2" t="s">
        <v>20</v>
      </c>
      <c r="E1722" s="2">
        <v>557.20000000000005</v>
      </c>
      <c r="F1722" s="2">
        <v>16.59</v>
      </c>
      <c r="G1722" s="2">
        <v>28.05</v>
      </c>
      <c r="H1722" s="2">
        <v>2.4</v>
      </c>
      <c r="I1722" s="2">
        <v>0.5</v>
      </c>
      <c r="J1722" s="2">
        <v>6</v>
      </c>
      <c r="K1722" s="2" t="s">
        <v>29</v>
      </c>
      <c r="L1722" s="2">
        <v>6.66</v>
      </c>
      <c r="M1722" s="2" t="s">
        <v>22</v>
      </c>
      <c r="N1722" s="2">
        <v>88.7</v>
      </c>
      <c r="O1722" s="2" t="s">
        <v>30</v>
      </c>
      <c r="P1722" s="2">
        <v>5.79</v>
      </c>
      <c r="Q1722" s="2">
        <v>7.93</v>
      </c>
      <c r="R1722" s="3">
        <f t="shared" si="130"/>
        <v>3226.1880000000001</v>
      </c>
      <c r="S1722" s="3">
        <f t="shared" si="131"/>
        <v>4418.5960000000005</v>
      </c>
      <c r="T1722" s="3">
        <f t="shared" si="132"/>
        <v>1192.4080000000004</v>
      </c>
      <c r="U1722" s="4">
        <f t="shared" si="133"/>
        <v>0.26986128625472894</v>
      </c>
      <c r="V1722" s="5">
        <f t="shared" si="134"/>
        <v>37.109520000000003</v>
      </c>
    </row>
    <row r="1723" spans="1:22" x14ac:dyDescent="0.25">
      <c r="A1723" s="2" t="s">
        <v>1757</v>
      </c>
      <c r="B1723" s="2" t="s">
        <v>18</v>
      </c>
      <c r="C1723" s="2" t="s">
        <v>19</v>
      </c>
      <c r="D1723" s="2" t="s">
        <v>20</v>
      </c>
      <c r="E1723" s="2">
        <v>429.53</v>
      </c>
      <c r="F1723" s="2">
        <v>9.1</v>
      </c>
      <c r="G1723" s="2">
        <v>37.81</v>
      </c>
      <c r="H1723" s="2">
        <v>5.7</v>
      </c>
      <c r="I1723" s="2">
        <v>1.3</v>
      </c>
      <c r="J1723" s="2">
        <v>27</v>
      </c>
      <c r="K1723" s="2" t="s">
        <v>21</v>
      </c>
      <c r="L1723" s="2">
        <v>8.83</v>
      </c>
      <c r="M1723" s="2" t="s">
        <v>40</v>
      </c>
      <c r="N1723" s="2">
        <v>50.41</v>
      </c>
      <c r="O1723" s="2" t="s">
        <v>24</v>
      </c>
      <c r="P1723" s="2">
        <v>4.8499999999999996</v>
      </c>
      <c r="Q1723" s="2">
        <v>8.5500000000000007</v>
      </c>
      <c r="R1723" s="3">
        <f t="shared" si="130"/>
        <v>2083.2204999999999</v>
      </c>
      <c r="S1723" s="3">
        <f t="shared" si="131"/>
        <v>3672.4814999999999</v>
      </c>
      <c r="T1723" s="3">
        <f t="shared" si="132"/>
        <v>1589.261</v>
      </c>
      <c r="U1723" s="4">
        <f t="shared" si="133"/>
        <v>0.43274853801169594</v>
      </c>
      <c r="V1723" s="5">
        <f t="shared" si="134"/>
        <v>37.927498999999997</v>
      </c>
    </row>
    <row r="1724" spans="1:22" x14ac:dyDescent="0.25">
      <c r="A1724" s="2" t="s">
        <v>1758</v>
      </c>
      <c r="B1724" s="2" t="s">
        <v>18</v>
      </c>
      <c r="C1724" s="2" t="s">
        <v>27</v>
      </c>
      <c r="D1724" s="2" t="s">
        <v>28</v>
      </c>
      <c r="E1724" s="2">
        <v>346.24</v>
      </c>
      <c r="F1724" s="2">
        <v>17.47</v>
      </c>
      <c r="G1724" s="2">
        <v>27.68</v>
      </c>
      <c r="H1724" s="2">
        <v>0.6</v>
      </c>
      <c r="I1724" s="2">
        <v>0.1</v>
      </c>
      <c r="J1724" s="2">
        <v>23</v>
      </c>
      <c r="K1724" s="2" t="s">
        <v>29</v>
      </c>
      <c r="L1724" s="2">
        <v>4.12</v>
      </c>
      <c r="M1724" s="2" t="s">
        <v>40</v>
      </c>
      <c r="N1724" s="2">
        <v>56.49</v>
      </c>
      <c r="O1724" s="2" t="s">
        <v>24</v>
      </c>
      <c r="P1724" s="2">
        <v>9.34</v>
      </c>
      <c r="Q1724" s="2">
        <v>10.220000000000001</v>
      </c>
      <c r="R1724" s="3">
        <f t="shared" si="130"/>
        <v>3233.8816000000002</v>
      </c>
      <c r="S1724" s="3">
        <f t="shared" si="131"/>
        <v>3538.5728000000004</v>
      </c>
      <c r="T1724" s="3">
        <f t="shared" si="132"/>
        <v>304.69120000000021</v>
      </c>
      <c r="U1724" s="4">
        <f t="shared" si="133"/>
        <v>8.6105675146771088E-2</v>
      </c>
      <c r="V1724" s="5">
        <f t="shared" si="134"/>
        <v>14.265088</v>
      </c>
    </row>
    <row r="1725" spans="1:22" x14ac:dyDescent="0.25">
      <c r="A1725" s="2" t="s">
        <v>1759</v>
      </c>
      <c r="B1725" s="2" t="s">
        <v>45</v>
      </c>
      <c r="C1725" s="2" t="s">
        <v>27</v>
      </c>
      <c r="D1725" s="2" t="s">
        <v>28</v>
      </c>
      <c r="E1725" s="2">
        <v>485.51</v>
      </c>
      <c r="F1725" s="2">
        <v>12.23</v>
      </c>
      <c r="G1725" s="2">
        <v>34.74</v>
      </c>
      <c r="H1725" s="2">
        <v>1.2</v>
      </c>
      <c r="I1725" s="2">
        <v>0.3</v>
      </c>
      <c r="J1725" s="2">
        <v>15</v>
      </c>
      <c r="K1725" s="2" t="s">
        <v>21</v>
      </c>
      <c r="L1725" s="2">
        <v>6.1</v>
      </c>
      <c r="M1725" s="2" t="s">
        <v>22</v>
      </c>
      <c r="N1725" s="2">
        <v>59.99</v>
      </c>
      <c r="O1725" s="2" t="s">
        <v>30</v>
      </c>
      <c r="P1725" s="2">
        <v>3.11</v>
      </c>
      <c r="Q1725" s="2">
        <v>10.3</v>
      </c>
      <c r="R1725" s="3">
        <f t="shared" si="130"/>
        <v>1509.9360999999999</v>
      </c>
      <c r="S1725" s="3">
        <f t="shared" si="131"/>
        <v>5000.7530000000006</v>
      </c>
      <c r="T1725" s="3">
        <f t="shared" si="132"/>
        <v>3490.8169000000007</v>
      </c>
      <c r="U1725" s="4">
        <f t="shared" si="133"/>
        <v>0.69805825242718456</v>
      </c>
      <c r="V1725" s="5">
        <f t="shared" si="134"/>
        <v>29.616109999999999</v>
      </c>
    </row>
    <row r="1726" spans="1:22" x14ac:dyDescent="0.25">
      <c r="A1726" s="2" t="s">
        <v>1760</v>
      </c>
      <c r="B1726" s="2" t="s">
        <v>45</v>
      </c>
      <c r="C1726" s="2" t="s">
        <v>19</v>
      </c>
      <c r="D1726" s="2" t="s">
        <v>28</v>
      </c>
      <c r="E1726" s="2">
        <v>455.41</v>
      </c>
      <c r="F1726" s="2">
        <v>8.09</v>
      </c>
      <c r="G1726" s="2">
        <v>29.52</v>
      </c>
      <c r="H1726" s="2">
        <v>3.2</v>
      </c>
      <c r="I1726" s="2">
        <v>0</v>
      </c>
      <c r="J1726" s="2">
        <v>12</v>
      </c>
      <c r="K1726" s="2" t="s">
        <v>29</v>
      </c>
      <c r="L1726" s="2">
        <v>8.77</v>
      </c>
      <c r="M1726" s="2" t="s">
        <v>40</v>
      </c>
      <c r="N1726" s="2">
        <v>79.86</v>
      </c>
      <c r="O1726" s="2" t="s">
        <v>24</v>
      </c>
      <c r="P1726" s="2">
        <v>5.29</v>
      </c>
      <c r="Q1726" s="2">
        <v>11.87</v>
      </c>
      <c r="R1726" s="3">
        <f t="shared" si="130"/>
        <v>2409.1188999999999</v>
      </c>
      <c r="S1726" s="3">
        <f t="shared" si="131"/>
        <v>5405.7166999999999</v>
      </c>
      <c r="T1726" s="3">
        <f t="shared" si="132"/>
        <v>2996.5978</v>
      </c>
      <c r="U1726" s="4">
        <f t="shared" si="133"/>
        <v>0.55433866891322658</v>
      </c>
      <c r="V1726" s="5">
        <f t="shared" si="134"/>
        <v>39.939457000000004</v>
      </c>
    </row>
    <row r="1727" spans="1:22" x14ac:dyDescent="0.25">
      <c r="A1727" s="2" t="s">
        <v>1761</v>
      </c>
      <c r="B1727" s="2" t="s">
        <v>45</v>
      </c>
      <c r="C1727" s="2" t="s">
        <v>27</v>
      </c>
      <c r="D1727" s="2" t="s">
        <v>20</v>
      </c>
      <c r="E1727" s="2">
        <v>511.31</v>
      </c>
      <c r="F1727" s="2">
        <v>12.42</v>
      </c>
      <c r="G1727" s="2">
        <v>22.45</v>
      </c>
      <c r="H1727" s="2">
        <v>1.9</v>
      </c>
      <c r="I1727" s="2">
        <v>0.6</v>
      </c>
      <c r="J1727" s="2">
        <v>21</v>
      </c>
      <c r="K1727" s="2" t="s">
        <v>34</v>
      </c>
      <c r="L1727" s="2">
        <v>2.54</v>
      </c>
      <c r="M1727" s="2" t="s">
        <v>37</v>
      </c>
      <c r="N1727" s="2">
        <v>59.73</v>
      </c>
      <c r="O1727" s="2" t="s">
        <v>30</v>
      </c>
      <c r="P1727" s="2">
        <v>9.6</v>
      </c>
      <c r="Q1727" s="2">
        <v>7.24</v>
      </c>
      <c r="R1727" s="3">
        <f t="shared" si="130"/>
        <v>4908.576</v>
      </c>
      <c r="S1727" s="3">
        <f t="shared" si="131"/>
        <v>3701.8843999999999</v>
      </c>
      <c r="T1727" s="3">
        <f t="shared" si="132"/>
        <v>-1206.6916000000001</v>
      </c>
      <c r="U1727" s="4">
        <f t="shared" si="133"/>
        <v>-0.32596685082872934</v>
      </c>
      <c r="V1727" s="5">
        <f t="shared" si="134"/>
        <v>12.987273999999999</v>
      </c>
    </row>
    <row r="1728" spans="1:22" x14ac:dyDescent="0.25">
      <c r="A1728" s="2" t="s">
        <v>1762</v>
      </c>
      <c r="B1728" s="2" t="s">
        <v>26</v>
      </c>
      <c r="C1728" s="2" t="s">
        <v>33</v>
      </c>
      <c r="D1728" s="2" t="s">
        <v>28</v>
      </c>
      <c r="E1728" s="2">
        <v>463.69</v>
      </c>
      <c r="F1728" s="2">
        <v>8.4600000000000009</v>
      </c>
      <c r="G1728" s="2">
        <v>38.56</v>
      </c>
      <c r="H1728" s="2">
        <v>0.2</v>
      </c>
      <c r="I1728" s="2">
        <v>1.8</v>
      </c>
      <c r="J1728" s="2">
        <v>20</v>
      </c>
      <c r="K1728" s="2" t="s">
        <v>34</v>
      </c>
      <c r="L1728" s="2">
        <v>5.1100000000000003</v>
      </c>
      <c r="M1728" s="2" t="s">
        <v>22</v>
      </c>
      <c r="N1728" s="2">
        <v>68.260000000000005</v>
      </c>
      <c r="O1728" s="2" t="s">
        <v>30</v>
      </c>
      <c r="P1728" s="2">
        <v>7.58</v>
      </c>
      <c r="Q1728" s="2">
        <v>11.59</v>
      </c>
      <c r="R1728" s="3">
        <f t="shared" si="130"/>
        <v>3514.7701999999999</v>
      </c>
      <c r="S1728" s="3">
        <f t="shared" si="131"/>
        <v>5374.1670999999997</v>
      </c>
      <c r="T1728" s="3">
        <f t="shared" si="132"/>
        <v>1859.3968999999997</v>
      </c>
      <c r="U1728" s="4">
        <f t="shared" si="133"/>
        <v>0.34598792062122519</v>
      </c>
      <c r="V1728" s="5">
        <f t="shared" si="134"/>
        <v>23.694558999999998</v>
      </c>
    </row>
    <row r="1729" spans="1:22" x14ac:dyDescent="0.25">
      <c r="A1729" s="2" t="s">
        <v>1763</v>
      </c>
      <c r="B1729" s="2" t="s">
        <v>32</v>
      </c>
      <c r="C1729" s="2" t="s">
        <v>33</v>
      </c>
      <c r="D1729" s="2" t="s">
        <v>20</v>
      </c>
      <c r="E1729" s="2">
        <v>299.25</v>
      </c>
      <c r="F1729" s="2">
        <v>13.44</v>
      </c>
      <c r="G1729" s="2">
        <v>29.08</v>
      </c>
      <c r="H1729" s="2">
        <v>2</v>
      </c>
      <c r="I1729" s="2">
        <v>0</v>
      </c>
      <c r="J1729" s="2">
        <v>2</v>
      </c>
      <c r="K1729" s="2" t="s">
        <v>29</v>
      </c>
      <c r="L1729" s="2">
        <v>9.6300000000000008</v>
      </c>
      <c r="M1729" s="2" t="s">
        <v>40</v>
      </c>
      <c r="N1729" s="2">
        <v>62.14</v>
      </c>
      <c r="O1729" s="2" t="s">
        <v>30</v>
      </c>
      <c r="P1729" s="2">
        <v>6.73</v>
      </c>
      <c r="Q1729" s="2">
        <v>12.79</v>
      </c>
      <c r="R1729" s="3">
        <f t="shared" si="130"/>
        <v>2013.9525000000001</v>
      </c>
      <c r="S1729" s="3">
        <f t="shared" si="131"/>
        <v>3827.4074999999998</v>
      </c>
      <c r="T1729" s="3">
        <f t="shared" si="132"/>
        <v>1813.4549999999997</v>
      </c>
      <c r="U1729" s="4">
        <f t="shared" si="133"/>
        <v>0.47380766223612192</v>
      </c>
      <c r="V1729" s="5">
        <f t="shared" si="134"/>
        <v>28.817775000000001</v>
      </c>
    </row>
    <row r="1730" spans="1:22" x14ac:dyDescent="0.25">
      <c r="A1730" s="2" t="s">
        <v>1764</v>
      </c>
      <c r="B1730" s="2" t="s">
        <v>45</v>
      </c>
      <c r="C1730" s="2" t="s">
        <v>19</v>
      </c>
      <c r="D1730" s="2" t="s">
        <v>28</v>
      </c>
      <c r="E1730" s="2">
        <v>461.17</v>
      </c>
      <c r="F1730" s="2">
        <v>11.39</v>
      </c>
      <c r="G1730" s="2">
        <v>34.69</v>
      </c>
      <c r="H1730" s="2">
        <v>0.4</v>
      </c>
      <c r="I1730" s="2">
        <v>1.1000000000000001</v>
      </c>
      <c r="J1730" s="2">
        <v>5</v>
      </c>
      <c r="K1730" s="2" t="s">
        <v>21</v>
      </c>
      <c r="L1730" s="2">
        <v>5</v>
      </c>
      <c r="M1730" s="2" t="s">
        <v>40</v>
      </c>
      <c r="N1730" s="2">
        <v>66.87</v>
      </c>
      <c r="O1730" s="2" t="s">
        <v>24</v>
      </c>
      <c r="P1730" s="2">
        <v>4.42</v>
      </c>
      <c r="Q1730" s="2">
        <v>11.77</v>
      </c>
      <c r="R1730" s="3">
        <f t="shared" si="130"/>
        <v>2038.3714</v>
      </c>
      <c r="S1730" s="3">
        <f t="shared" si="131"/>
        <v>5427.9709000000003</v>
      </c>
      <c r="T1730" s="3">
        <f t="shared" si="132"/>
        <v>3389.5995000000003</v>
      </c>
      <c r="U1730" s="4">
        <f t="shared" si="133"/>
        <v>0.62446898895497027</v>
      </c>
      <c r="V1730" s="5">
        <f t="shared" si="134"/>
        <v>23.058499999999999</v>
      </c>
    </row>
    <row r="1731" spans="1:22" x14ac:dyDescent="0.25">
      <c r="A1731" s="2" t="s">
        <v>1765</v>
      </c>
      <c r="B1731" s="2" t="s">
        <v>45</v>
      </c>
      <c r="C1731" s="2" t="s">
        <v>43</v>
      </c>
      <c r="D1731" s="2" t="s">
        <v>20</v>
      </c>
      <c r="E1731" s="2">
        <v>469.44</v>
      </c>
      <c r="F1731" s="2">
        <v>12.73</v>
      </c>
      <c r="G1731" s="2">
        <v>27.34</v>
      </c>
      <c r="H1731" s="2">
        <v>1.4</v>
      </c>
      <c r="I1731" s="2">
        <v>2.7</v>
      </c>
      <c r="J1731" s="2">
        <v>9</v>
      </c>
      <c r="K1731" s="2" t="s">
        <v>29</v>
      </c>
      <c r="L1731" s="2">
        <v>2.9</v>
      </c>
      <c r="M1731" s="2" t="s">
        <v>37</v>
      </c>
      <c r="N1731" s="2">
        <v>97.12</v>
      </c>
      <c r="O1731" s="2" t="s">
        <v>30</v>
      </c>
      <c r="P1731" s="2">
        <v>8.83</v>
      </c>
      <c r="Q1731" s="2">
        <v>9.82</v>
      </c>
      <c r="R1731" s="3">
        <f t="shared" ref="R1731:R1794" si="135">E1731*P1731</f>
        <v>4145.1552000000001</v>
      </c>
      <c r="S1731" s="3">
        <f t="shared" ref="S1731:S1794" si="136">E1731*Q1731</f>
        <v>4609.9008000000003</v>
      </c>
      <c r="T1731" s="3">
        <f t="shared" ref="T1731:T1794" si="137">S1731-R1731</f>
        <v>464.74560000000019</v>
      </c>
      <c r="U1731" s="4">
        <f t="shared" ref="U1731:U1794" si="138">T1731/S1731</f>
        <v>0.1008146639511202</v>
      </c>
      <c r="V1731" s="5">
        <f t="shared" ref="V1731:V1794" si="139">E1731*L1731/100</f>
        <v>13.613759999999999</v>
      </c>
    </row>
    <row r="1732" spans="1:22" x14ac:dyDescent="0.25">
      <c r="A1732" s="2" t="s">
        <v>1766</v>
      </c>
      <c r="B1732" s="2" t="s">
        <v>45</v>
      </c>
      <c r="C1732" s="2" t="s">
        <v>33</v>
      </c>
      <c r="D1732" s="2" t="s">
        <v>28</v>
      </c>
      <c r="E1732" s="2">
        <v>563.37</v>
      </c>
      <c r="F1732" s="2">
        <v>14.13</v>
      </c>
      <c r="G1732" s="2">
        <v>20.38</v>
      </c>
      <c r="H1732" s="2">
        <v>1.5</v>
      </c>
      <c r="I1732" s="2">
        <v>0.3</v>
      </c>
      <c r="J1732" s="2">
        <v>20</v>
      </c>
      <c r="K1732" s="2" t="s">
        <v>21</v>
      </c>
      <c r="L1732" s="2">
        <v>3.84</v>
      </c>
      <c r="M1732" s="2" t="s">
        <v>40</v>
      </c>
      <c r="N1732" s="2">
        <v>99.87</v>
      </c>
      <c r="O1732" s="2" t="s">
        <v>24</v>
      </c>
      <c r="P1732" s="2">
        <v>4.43</v>
      </c>
      <c r="Q1732" s="2">
        <v>14.92</v>
      </c>
      <c r="R1732" s="3">
        <f t="shared" si="135"/>
        <v>2495.7291</v>
      </c>
      <c r="S1732" s="3">
        <f t="shared" si="136"/>
        <v>8405.4804000000004</v>
      </c>
      <c r="T1732" s="3">
        <f t="shared" si="137"/>
        <v>5909.7512999999999</v>
      </c>
      <c r="U1732" s="4">
        <f t="shared" si="138"/>
        <v>0.70308310991957101</v>
      </c>
      <c r="V1732" s="5">
        <f t="shared" si="139"/>
        <v>21.633407999999999</v>
      </c>
    </row>
    <row r="1733" spans="1:22" x14ac:dyDescent="0.25">
      <c r="A1733" s="2" t="s">
        <v>1767</v>
      </c>
      <c r="B1733" s="2" t="s">
        <v>18</v>
      </c>
      <c r="C1733" s="2" t="s">
        <v>27</v>
      </c>
      <c r="D1733" s="2" t="s">
        <v>28</v>
      </c>
      <c r="E1733" s="2">
        <v>430.18</v>
      </c>
      <c r="F1733" s="2">
        <v>16.690000000000001</v>
      </c>
      <c r="G1733" s="2">
        <v>22.01</v>
      </c>
      <c r="H1733" s="2">
        <v>4.2</v>
      </c>
      <c r="I1733" s="2">
        <v>1.2</v>
      </c>
      <c r="J1733" s="2">
        <v>14</v>
      </c>
      <c r="K1733" s="2" t="s">
        <v>29</v>
      </c>
      <c r="L1733" s="2">
        <v>8.91</v>
      </c>
      <c r="M1733" s="2" t="s">
        <v>40</v>
      </c>
      <c r="N1733" s="2">
        <v>84.29</v>
      </c>
      <c r="O1733" s="2" t="s">
        <v>30</v>
      </c>
      <c r="P1733" s="2">
        <v>4.74</v>
      </c>
      <c r="Q1733" s="2">
        <v>9.0500000000000007</v>
      </c>
      <c r="R1733" s="3">
        <f t="shared" si="135"/>
        <v>2039.0532000000001</v>
      </c>
      <c r="S1733" s="3">
        <f t="shared" si="136"/>
        <v>3893.1290000000004</v>
      </c>
      <c r="T1733" s="3">
        <f t="shared" si="137"/>
        <v>1854.0758000000003</v>
      </c>
      <c r="U1733" s="4">
        <f t="shared" si="138"/>
        <v>0.47624309392265196</v>
      </c>
      <c r="V1733" s="5">
        <f t="shared" si="139"/>
        <v>38.329037999999997</v>
      </c>
    </row>
    <row r="1734" spans="1:22" x14ac:dyDescent="0.25">
      <c r="A1734" s="2" t="s">
        <v>1768</v>
      </c>
      <c r="B1734" s="2" t="s">
        <v>18</v>
      </c>
      <c r="C1734" s="2" t="s">
        <v>43</v>
      </c>
      <c r="D1734" s="2" t="s">
        <v>28</v>
      </c>
      <c r="E1734" s="2">
        <v>667.87</v>
      </c>
      <c r="F1734" s="2">
        <v>14.62</v>
      </c>
      <c r="G1734" s="2">
        <v>29.92</v>
      </c>
      <c r="H1734" s="2">
        <v>1.2</v>
      </c>
      <c r="I1734" s="2">
        <v>3.7</v>
      </c>
      <c r="J1734" s="2">
        <v>18</v>
      </c>
      <c r="K1734" s="2" t="s">
        <v>34</v>
      </c>
      <c r="L1734" s="2">
        <v>9.57</v>
      </c>
      <c r="M1734" s="2" t="s">
        <v>40</v>
      </c>
      <c r="N1734" s="2">
        <v>78.62</v>
      </c>
      <c r="O1734" s="2" t="s">
        <v>23</v>
      </c>
      <c r="P1734" s="2">
        <v>4.34</v>
      </c>
      <c r="Q1734" s="2">
        <v>6.07</v>
      </c>
      <c r="R1734" s="3">
        <f t="shared" si="135"/>
        <v>2898.5558000000001</v>
      </c>
      <c r="S1734" s="3">
        <f t="shared" si="136"/>
        <v>4053.9709000000003</v>
      </c>
      <c r="T1734" s="3">
        <f t="shared" si="137"/>
        <v>1155.4151000000002</v>
      </c>
      <c r="U1734" s="4">
        <f t="shared" si="138"/>
        <v>0.28500823723228996</v>
      </c>
      <c r="V1734" s="5">
        <f t="shared" si="139"/>
        <v>63.915159000000003</v>
      </c>
    </row>
    <row r="1735" spans="1:22" x14ac:dyDescent="0.25">
      <c r="A1735" s="2" t="s">
        <v>1769</v>
      </c>
      <c r="B1735" s="2" t="s">
        <v>26</v>
      </c>
      <c r="C1735" s="2" t="s">
        <v>43</v>
      </c>
      <c r="D1735" s="2" t="s">
        <v>20</v>
      </c>
      <c r="E1735" s="2">
        <v>308.83999999999997</v>
      </c>
      <c r="F1735" s="2">
        <v>12.34</v>
      </c>
      <c r="G1735" s="2">
        <v>33.799999999999997</v>
      </c>
      <c r="H1735" s="2">
        <v>0.7</v>
      </c>
      <c r="I1735" s="2">
        <v>3.3</v>
      </c>
      <c r="J1735" s="2">
        <v>29</v>
      </c>
      <c r="K1735" s="2" t="s">
        <v>34</v>
      </c>
      <c r="L1735" s="2">
        <v>9.5299999999999994</v>
      </c>
      <c r="M1735" s="2" t="s">
        <v>22</v>
      </c>
      <c r="N1735" s="2">
        <v>85.42</v>
      </c>
      <c r="O1735" s="2" t="s">
        <v>24</v>
      </c>
      <c r="P1735" s="2">
        <v>4.1100000000000003</v>
      </c>
      <c r="Q1735" s="2">
        <v>13.22</v>
      </c>
      <c r="R1735" s="3">
        <f t="shared" si="135"/>
        <v>1269.3324</v>
      </c>
      <c r="S1735" s="3">
        <f t="shared" si="136"/>
        <v>4082.8647999999998</v>
      </c>
      <c r="T1735" s="3">
        <f t="shared" si="137"/>
        <v>2813.5324000000001</v>
      </c>
      <c r="U1735" s="4">
        <f t="shared" si="138"/>
        <v>0.68910741301059009</v>
      </c>
      <c r="V1735" s="5">
        <f t="shared" si="139"/>
        <v>29.432451999999994</v>
      </c>
    </row>
    <row r="1736" spans="1:22" x14ac:dyDescent="0.25">
      <c r="A1736" s="2" t="s">
        <v>1770</v>
      </c>
      <c r="B1736" s="2" t="s">
        <v>32</v>
      </c>
      <c r="C1736" s="2" t="s">
        <v>33</v>
      </c>
      <c r="D1736" s="2" t="s">
        <v>20</v>
      </c>
      <c r="E1736" s="2">
        <v>631.12</v>
      </c>
      <c r="F1736" s="2">
        <v>16.190000000000001</v>
      </c>
      <c r="G1736" s="2">
        <v>26.69</v>
      </c>
      <c r="H1736" s="2">
        <v>0.5</v>
      </c>
      <c r="I1736" s="2">
        <v>0.3</v>
      </c>
      <c r="J1736" s="2">
        <v>22</v>
      </c>
      <c r="K1736" s="2" t="s">
        <v>21</v>
      </c>
      <c r="L1736" s="2">
        <v>7.14</v>
      </c>
      <c r="M1736" s="2" t="s">
        <v>22</v>
      </c>
      <c r="N1736" s="2">
        <v>88.58</v>
      </c>
      <c r="O1736" s="2" t="s">
        <v>24</v>
      </c>
      <c r="P1736" s="2">
        <v>9.67</v>
      </c>
      <c r="Q1736" s="2">
        <v>7.12</v>
      </c>
      <c r="R1736" s="3">
        <f t="shared" si="135"/>
        <v>6102.9304000000002</v>
      </c>
      <c r="S1736" s="3">
        <f t="shared" si="136"/>
        <v>4493.5744000000004</v>
      </c>
      <c r="T1736" s="3">
        <f t="shared" si="137"/>
        <v>-1609.3559999999998</v>
      </c>
      <c r="U1736" s="4">
        <f t="shared" si="138"/>
        <v>-0.35814606741573024</v>
      </c>
      <c r="V1736" s="5">
        <f t="shared" si="139"/>
        <v>45.061968</v>
      </c>
    </row>
    <row r="1737" spans="1:22" x14ac:dyDescent="0.25">
      <c r="A1737" s="2" t="s">
        <v>1771</v>
      </c>
      <c r="B1737" s="2" t="s">
        <v>26</v>
      </c>
      <c r="C1737" s="2" t="s">
        <v>33</v>
      </c>
      <c r="D1737" s="2" t="s">
        <v>28</v>
      </c>
      <c r="E1737" s="2">
        <v>477.57</v>
      </c>
      <c r="F1737" s="2">
        <v>17.059999999999999</v>
      </c>
      <c r="G1737" s="2">
        <v>33.909999999999997</v>
      </c>
      <c r="H1737" s="2">
        <v>4.0999999999999996</v>
      </c>
      <c r="I1737" s="2">
        <v>0.1</v>
      </c>
      <c r="J1737" s="2">
        <v>8</v>
      </c>
      <c r="K1737" s="2" t="s">
        <v>29</v>
      </c>
      <c r="L1737" s="2">
        <v>5.34</v>
      </c>
      <c r="M1737" s="2" t="s">
        <v>40</v>
      </c>
      <c r="N1737" s="2">
        <v>86.95</v>
      </c>
      <c r="O1737" s="2" t="s">
        <v>24</v>
      </c>
      <c r="P1737" s="2">
        <v>7.21</v>
      </c>
      <c r="Q1737" s="2">
        <v>12.13</v>
      </c>
      <c r="R1737" s="3">
        <f t="shared" si="135"/>
        <v>3443.2797</v>
      </c>
      <c r="S1737" s="3">
        <f t="shared" si="136"/>
        <v>5792.9241000000002</v>
      </c>
      <c r="T1737" s="3">
        <f t="shared" si="137"/>
        <v>2349.6444000000001</v>
      </c>
      <c r="U1737" s="4">
        <f t="shared" si="138"/>
        <v>0.40560593569661996</v>
      </c>
      <c r="V1737" s="5">
        <f t="shared" si="139"/>
        <v>25.502237999999998</v>
      </c>
    </row>
    <row r="1738" spans="1:22" x14ac:dyDescent="0.25">
      <c r="A1738" s="2" t="s">
        <v>1772</v>
      </c>
      <c r="B1738" s="2" t="s">
        <v>32</v>
      </c>
      <c r="C1738" s="2" t="s">
        <v>43</v>
      </c>
      <c r="D1738" s="2" t="s">
        <v>28</v>
      </c>
      <c r="E1738" s="2">
        <v>585.96</v>
      </c>
      <c r="F1738" s="2">
        <v>9.1999999999999993</v>
      </c>
      <c r="G1738" s="2">
        <v>33.97</v>
      </c>
      <c r="H1738" s="2">
        <v>0.4</v>
      </c>
      <c r="I1738" s="2">
        <v>0.2</v>
      </c>
      <c r="J1738" s="2">
        <v>2</v>
      </c>
      <c r="K1738" s="2" t="s">
        <v>21</v>
      </c>
      <c r="L1738" s="2">
        <v>2.2400000000000002</v>
      </c>
      <c r="M1738" s="2" t="s">
        <v>40</v>
      </c>
      <c r="N1738" s="2">
        <v>54.09</v>
      </c>
      <c r="O1738" s="2" t="s">
        <v>23</v>
      </c>
      <c r="P1738" s="2">
        <v>7.46</v>
      </c>
      <c r="Q1738" s="2">
        <v>6.79</v>
      </c>
      <c r="R1738" s="3">
        <f t="shared" si="135"/>
        <v>4371.2615999999998</v>
      </c>
      <c r="S1738" s="3">
        <f t="shared" si="136"/>
        <v>3978.6684000000005</v>
      </c>
      <c r="T1738" s="3">
        <f t="shared" si="137"/>
        <v>-392.59319999999934</v>
      </c>
      <c r="U1738" s="4">
        <f t="shared" si="138"/>
        <v>-9.8674521354933556E-2</v>
      </c>
      <c r="V1738" s="5">
        <f t="shared" si="139"/>
        <v>13.125504000000003</v>
      </c>
    </row>
    <row r="1739" spans="1:22" x14ac:dyDescent="0.25">
      <c r="A1739" s="2" t="s">
        <v>1773</v>
      </c>
      <c r="B1739" s="2" t="s">
        <v>18</v>
      </c>
      <c r="C1739" s="2" t="s">
        <v>43</v>
      </c>
      <c r="D1739" s="2" t="s">
        <v>28</v>
      </c>
      <c r="E1739" s="2">
        <v>507.98</v>
      </c>
      <c r="F1739" s="2">
        <v>13.32</v>
      </c>
      <c r="G1739" s="2">
        <v>34.08</v>
      </c>
      <c r="H1739" s="2">
        <v>1.1000000000000001</v>
      </c>
      <c r="I1739" s="2">
        <v>1.2</v>
      </c>
      <c r="J1739" s="2">
        <v>9</v>
      </c>
      <c r="K1739" s="2" t="s">
        <v>34</v>
      </c>
      <c r="L1739" s="2">
        <v>1.67</v>
      </c>
      <c r="M1739" s="2" t="s">
        <v>37</v>
      </c>
      <c r="N1739" s="2">
        <v>65.510000000000005</v>
      </c>
      <c r="O1739" s="2" t="s">
        <v>30</v>
      </c>
      <c r="P1739" s="2">
        <v>9.68</v>
      </c>
      <c r="Q1739" s="2">
        <v>5.17</v>
      </c>
      <c r="R1739" s="3">
        <f t="shared" si="135"/>
        <v>4917.2464</v>
      </c>
      <c r="S1739" s="3">
        <f t="shared" si="136"/>
        <v>2626.2566000000002</v>
      </c>
      <c r="T1739" s="3">
        <f t="shared" si="137"/>
        <v>-2290.9897999999998</v>
      </c>
      <c r="U1739" s="4">
        <f t="shared" si="138"/>
        <v>-0.87234042553191482</v>
      </c>
      <c r="V1739" s="5">
        <f t="shared" si="139"/>
        <v>8.4832660000000004</v>
      </c>
    </row>
    <row r="1740" spans="1:22" x14ac:dyDescent="0.25">
      <c r="A1740" s="2" t="s">
        <v>1774</v>
      </c>
      <c r="B1740" s="2" t="s">
        <v>18</v>
      </c>
      <c r="C1740" s="2" t="s">
        <v>19</v>
      </c>
      <c r="D1740" s="2" t="s">
        <v>20</v>
      </c>
      <c r="E1740" s="2">
        <v>613.96</v>
      </c>
      <c r="F1740" s="2">
        <v>10.85</v>
      </c>
      <c r="G1740" s="2">
        <v>29.85</v>
      </c>
      <c r="H1740" s="2">
        <v>0.4</v>
      </c>
      <c r="I1740" s="2">
        <v>1.3</v>
      </c>
      <c r="J1740" s="2">
        <v>7</v>
      </c>
      <c r="K1740" s="2" t="s">
        <v>21</v>
      </c>
      <c r="L1740" s="2">
        <v>1.07</v>
      </c>
      <c r="M1740" s="2" t="s">
        <v>22</v>
      </c>
      <c r="N1740" s="2">
        <v>67.17</v>
      </c>
      <c r="O1740" s="2" t="s">
        <v>23</v>
      </c>
      <c r="P1740" s="2">
        <v>4.6100000000000003</v>
      </c>
      <c r="Q1740" s="2">
        <v>6.6</v>
      </c>
      <c r="R1740" s="3">
        <f t="shared" si="135"/>
        <v>2830.3556000000003</v>
      </c>
      <c r="S1740" s="3">
        <f t="shared" si="136"/>
        <v>4052.136</v>
      </c>
      <c r="T1740" s="3">
        <f t="shared" si="137"/>
        <v>1221.7803999999996</v>
      </c>
      <c r="U1740" s="4">
        <f t="shared" si="138"/>
        <v>0.3015151515151514</v>
      </c>
      <c r="V1740" s="5">
        <f t="shared" si="139"/>
        <v>6.5693720000000004</v>
      </c>
    </row>
    <row r="1741" spans="1:22" x14ac:dyDescent="0.25">
      <c r="A1741" s="2" t="s">
        <v>1775</v>
      </c>
      <c r="B1741" s="2" t="s">
        <v>18</v>
      </c>
      <c r="C1741" s="2" t="s">
        <v>27</v>
      </c>
      <c r="D1741" s="2" t="s">
        <v>28</v>
      </c>
      <c r="E1741" s="2">
        <v>461.26</v>
      </c>
      <c r="F1741" s="2">
        <v>8.4700000000000006</v>
      </c>
      <c r="G1741" s="2">
        <v>38.299999999999997</v>
      </c>
      <c r="H1741" s="2">
        <v>3</v>
      </c>
      <c r="I1741" s="2">
        <v>1.1000000000000001</v>
      </c>
      <c r="J1741" s="2">
        <v>29</v>
      </c>
      <c r="K1741" s="2" t="s">
        <v>29</v>
      </c>
      <c r="L1741" s="2">
        <v>0.67</v>
      </c>
      <c r="M1741" s="2" t="s">
        <v>22</v>
      </c>
      <c r="N1741" s="2">
        <v>68.459999999999994</v>
      </c>
      <c r="O1741" s="2" t="s">
        <v>30</v>
      </c>
      <c r="P1741" s="2">
        <v>3.04</v>
      </c>
      <c r="Q1741" s="2">
        <v>8.77</v>
      </c>
      <c r="R1741" s="3">
        <f t="shared" si="135"/>
        <v>1402.2303999999999</v>
      </c>
      <c r="S1741" s="3">
        <f t="shared" si="136"/>
        <v>4045.2501999999999</v>
      </c>
      <c r="T1741" s="3">
        <f t="shared" si="137"/>
        <v>2643.0198</v>
      </c>
      <c r="U1741" s="4">
        <f t="shared" si="138"/>
        <v>0.65336374002280506</v>
      </c>
      <c r="V1741" s="5">
        <f t="shared" si="139"/>
        <v>3.0904419999999999</v>
      </c>
    </row>
    <row r="1742" spans="1:22" x14ac:dyDescent="0.25">
      <c r="A1742" s="2" t="s">
        <v>1776</v>
      </c>
      <c r="B1742" s="2" t="s">
        <v>26</v>
      </c>
      <c r="C1742" s="2" t="s">
        <v>19</v>
      </c>
      <c r="D1742" s="2" t="s">
        <v>28</v>
      </c>
      <c r="E1742" s="2">
        <v>390.14</v>
      </c>
      <c r="F1742" s="2">
        <v>14.69</v>
      </c>
      <c r="G1742" s="2">
        <v>29.78</v>
      </c>
      <c r="H1742" s="2">
        <v>1.3</v>
      </c>
      <c r="I1742" s="2">
        <v>0.4</v>
      </c>
      <c r="J1742" s="2">
        <v>18</v>
      </c>
      <c r="K1742" s="2" t="s">
        <v>21</v>
      </c>
      <c r="L1742" s="2">
        <v>8.84</v>
      </c>
      <c r="M1742" s="2" t="s">
        <v>22</v>
      </c>
      <c r="N1742" s="2">
        <v>67.22</v>
      </c>
      <c r="O1742" s="2" t="s">
        <v>30</v>
      </c>
      <c r="P1742" s="2">
        <v>7.19</v>
      </c>
      <c r="Q1742" s="2">
        <v>6.07</v>
      </c>
      <c r="R1742" s="3">
        <f t="shared" si="135"/>
        <v>2805.1066000000001</v>
      </c>
      <c r="S1742" s="3">
        <f t="shared" si="136"/>
        <v>2368.1498000000001</v>
      </c>
      <c r="T1742" s="3">
        <f t="shared" si="137"/>
        <v>-436.95679999999993</v>
      </c>
      <c r="U1742" s="4">
        <f t="shared" si="138"/>
        <v>-0.18451400329489287</v>
      </c>
      <c r="V1742" s="5">
        <f t="shared" si="139"/>
        <v>34.488375999999995</v>
      </c>
    </row>
    <row r="1743" spans="1:22" x14ac:dyDescent="0.25">
      <c r="A1743" s="2" t="s">
        <v>1777</v>
      </c>
      <c r="B1743" s="2" t="s">
        <v>45</v>
      </c>
      <c r="C1743" s="2" t="s">
        <v>33</v>
      </c>
      <c r="D1743" s="2" t="s">
        <v>28</v>
      </c>
      <c r="E1743" s="2">
        <v>642.04999999999995</v>
      </c>
      <c r="F1743" s="2">
        <v>16.63</v>
      </c>
      <c r="G1743" s="2">
        <v>29.01</v>
      </c>
      <c r="H1743" s="2">
        <v>0.9</v>
      </c>
      <c r="I1743" s="2">
        <v>0.2</v>
      </c>
      <c r="J1743" s="2">
        <v>27</v>
      </c>
      <c r="K1743" s="2" t="s">
        <v>29</v>
      </c>
      <c r="L1743" s="2">
        <v>8.19</v>
      </c>
      <c r="M1743" s="2" t="s">
        <v>40</v>
      </c>
      <c r="N1743" s="2">
        <v>89.35</v>
      </c>
      <c r="O1743" s="2" t="s">
        <v>30</v>
      </c>
      <c r="P1743" s="2">
        <v>6.55</v>
      </c>
      <c r="Q1743" s="2">
        <v>6.98</v>
      </c>
      <c r="R1743" s="3">
        <f t="shared" si="135"/>
        <v>4205.4274999999998</v>
      </c>
      <c r="S1743" s="3">
        <f t="shared" si="136"/>
        <v>4481.509</v>
      </c>
      <c r="T1743" s="3">
        <f t="shared" si="137"/>
        <v>276.08150000000023</v>
      </c>
      <c r="U1743" s="4">
        <f t="shared" si="138"/>
        <v>6.1604584527220681E-2</v>
      </c>
      <c r="V1743" s="5">
        <f t="shared" si="139"/>
        <v>52.583894999999991</v>
      </c>
    </row>
    <row r="1744" spans="1:22" x14ac:dyDescent="0.25">
      <c r="A1744" s="2" t="s">
        <v>1778</v>
      </c>
      <c r="B1744" s="2" t="s">
        <v>45</v>
      </c>
      <c r="C1744" s="2" t="s">
        <v>19</v>
      </c>
      <c r="D1744" s="2" t="s">
        <v>28</v>
      </c>
      <c r="E1744" s="2">
        <v>488.65</v>
      </c>
      <c r="F1744" s="2">
        <v>9.6300000000000008</v>
      </c>
      <c r="G1744" s="2">
        <v>23.99</v>
      </c>
      <c r="H1744" s="2">
        <v>0.9</v>
      </c>
      <c r="I1744" s="2">
        <v>0.9</v>
      </c>
      <c r="J1744" s="2">
        <v>16</v>
      </c>
      <c r="K1744" s="2" t="s">
        <v>29</v>
      </c>
      <c r="L1744" s="2">
        <v>5.89</v>
      </c>
      <c r="M1744" s="2" t="s">
        <v>37</v>
      </c>
      <c r="N1744" s="2">
        <v>87.38</v>
      </c>
      <c r="O1744" s="2" t="s">
        <v>30</v>
      </c>
      <c r="P1744" s="2">
        <v>6.34</v>
      </c>
      <c r="Q1744" s="2">
        <v>12.65</v>
      </c>
      <c r="R1744" s="3">
        <f t="shared" si="135"/>
        <v>3098.0409999999997</v>
      </c>
      <c r="S1744" s="3">
        <f t="shared" si="136"/>
        <v>6181.4224999999997</v>
      </c>
      <c r="T1744" s="3">
        <f t="shared" si="137"/>
        <v>3083.3815</v>
      </c>
      <c r="U1744" s="4">
        <f t="shared" si="138"/>
        <v>0.49881422924901186</v>
      </c>
      <c r="V1744" s="5">
        <f t="shared" si="139"/>
        <v>28.781484999999996</v>
      </c>
    </row>
    <row r="1745" spans="1:22" x14ac:dyDescent="0.25">
      <c r="A1745" s="2" t="s">
        <v>1779</v>
      </c>
      <c r="B1745" s="2" t="s">
        <v>18</v>
      </c>
      <c r="C1745" s="2" t="s">
        <v>19</v>
      </c>
      <c r="D1745" s="2" t="s">
        <v>20</v>
      </c>
      <c r="E1745" s="2">
        <v>522.16</v>
      </c>
      <c r="F1745" s="2">
        <v>16.12</v>
      </c>
      <c r="G1745" s="2">
        <v>26.15</v>
      </c>
      <c r="H1745" s="2">
        <v>3.8</v>
      </c>
      <c r="I1745" s="2">
        <v>0.7</v>
      </c>
      <c r="J1745" s="2">
        <v>21</v>
      </c>
      <c r="K1745" s="2" t="s">
        <v>34</v>
      </c>
      <c r="L1745" s="2">
        <v>9.99</v>
      </c>
      <c r="M1745" s="2" t="s">
        <v>37</v>
      </c>
      <c r="N1745" s="2">
        <v>50.23</v>
      </c>
      <c r="O1745" s="2" t="s">
        <v>30</v>
      </c>
      <c r="P1745" s="2">
        <v>3.43</v>
      </c>
      <c r="Q1745" s="2">
        <v>12.7</v>
      </c>
      <c r="R1745" s="3">
        <f t="shared" si="135"/>
        <v>1791.0088000000001</v>
      </c>
      <c r="S1745" s="3">
        <f t="shared" si="136"/>
        <v>6631.4319999999989</v>
      </c>
      <c r="T1745" s="3">
        <f t="shared" si="137"/>
        <v>4840.4231999999993</v>
      </c>
      <c r="U1745" s="4">
        <f t="shared" si="138"/>
        <v>0.72992125984251965</v>
      </c>
      <c r="V1745" s="5">
        <f t="shared" si="139"/>
        <v>52.163783999999993</v>
      </c>
    </row>
    <row r="1746" spans="1:22" x14ac:dyDescent="0.25">
      <c r="A1746" s="2" t="s">
        <v>1780</v>
      </c>
      <c r="B1746" s="2" t="s">
        <v>45</v>
      </c>
      <c r="C1746" s="2" t="s">
        <v>19</v>
      </c>
      <c r="D1746" s="2" t="s">
        <v>20</v>
      </c>
      <c r="E1746" s="2">
        <v>623.48</v>
      </c>
      <c r="F1746" s="2">
        <v>16.53</v>
      </c>
      <c r="G1746" s="2">
        <v>20.85</v>
      </c>
      <c r="H1746" s="2">
        <v>1.6</v>
      </c>
      <c r="I1746" s="2">
        <v>1.3</v>
      </c>
      <c r="J1746" s="2">
        <v>5</v>
      </c>
      <c r="K1746" s="2" t="s">
        <v>29</v>
      </c>
      <c r="L1746" s="2">
        <v>9.5500000000000007</v>
      </c>
      <c r="M1746" s="2" t="s">
        <v>40</v>
      </c>
      <c r="N1746" s="2">
        <v>64.819999999999993</v>
      </c>
      <c r="O1746" s="2" t="s">
        <v>23</v>
      </c>
      <c r="P1746" s="2">
        <v>6.18</v>
      </c>
      <c r="Q1746" s="2">
        <v>13.17</v>
      </c>
      <c r="R1746" s="3">
        <f t="shared" si="135"/>
        <v>3853.1064000000001</v>
      </c>
      <c r="S1746" s="3">
        <f t="shared" si="136"/>
        <v>8211.231600000001</v>
      </c>
      <c r="T1746" s="3">
        <f t="shared" si="137"/>
        <v>4358.1252000000004</v>
      </c>
      <c r="U1746" s="4">
        <f t="shared" si="138"/>
        <v>0.53075170842824604</v>
      </c>
      <c r="V1746" s="5">
        <f t="shared" si="139"/>
        <v>59.542340000000003</v>
      </c>
    </row>
    <row r="1747" spans="1:22" x14ac:dyDescent="0.25">
      <c r="A1747" s="2" t="s">
        <v>1781</v>
      </c>
      <c r="B1747" s="2" t="s">
        <v>45</v>
      </c>
      <c r="C1747" s="2" t="s">
        <v>19</v>
      </c>
      <c r="D1747" s="2" t="s">
        <v>28</v>
      </c>
      <c r="E1747" s="2">
        <v>396.8</v>
      </c>
      <c r="F1747" s="2">
        <v>17.14</v>
      </c>
      <c r="G1747" s="2">
        <v>32.67</v>
      </c>
      <c r="H1747" s="2">
        <v>2.5</v>
      </c>
      <c r="I1747" s="2">
        <v>0.6</v>
      </c>
      <c r="J1747" s="2">
        <v>23</v>
      </c>
      <c r="K1747" s="2" t="s">
        <v>29</v>
      </c>
      <c r="L1747" s="2">
        <v>6.72</v>
      </c>
      <c r="M1747" s="2" t="s">
        <v>40</v>
      </c>
      <c r="N1747" s="2">
        <v>81.180000000000007</v>
      </c>
      <c r="O1747" s="2" t="s">
        <v>24</v>
      </c>
      <c r="P1747" s="2">
        <v>5.01</v>
      </c>
      <c r="Q1747" s="2">
        <v>13.41</v>
      </c>
      <c r="R1747" s="3">
        <f t="shared" si="135"/>
        <v>1987.9680000000001</v>
      </c>
      <c r="S1747" s="3">
        <f t="shared" si="136"/>
        <v>5321.0880000000006</v>
      </c>
      <c r="T1747" s="3">
        <f t="shared" si="137"/>
        <v>3333.1200000000008</v>
      </c>
      <c r="U1747" s="4">
        <f t="shared" si="138"/>
        <v>0.62639821029082776</v>
      </c>
      <c r="V1747" s="5">
        <f t="shared" si="139"/>
        <v>26.664960000000001</v>
      </c>
    </row>
    <row r="1748" spans="1:22" x14ac:dyDescent="0.25">
      <c r="A1748" s="2" t="s">
        <v>1782</v>
      </c>
      <c r="B1748" s="2" t="s">
        <v>26</v>
      </c>
      <c r="C1748" s="2" t="s">
        <v>27</v>
      </c>
      <c r="D1748" s="2" t="s">
        <v>28</v>
      </c>
      <c r="E1748" s="2">
        <v>559.54999999999995</v>
      </c>
      <c r="F1748" s="2">
        <v>10.65</v>
      </c>
      <c r="G1748" s="2">
        <v>24.97</v>
      </c>
      <c r="H1748" s="2">
        <v>4.5</v>
      </c>
      <c r="I1748" s="2">
        <v>0.4</v>
      </c>
      <c r="J1748" s="2">
        <v>29</v>
      </c>
      <c r="K1748" s="2" t="s">
        <v>29</v>
      </c>
      <c r="L1748" s="2">
        <v>4.91</v>
      </c>
      <c r="M1748" s="2" t="s">
        <v>37</v>
      </c>
      <c r="N1748" s="2">
        <v>56.01</v>
      </c>
      <c r="O1748" s="2" t="s">
        <v>23</v>
      </c>
      <c r="P1748" s="2">
        <v>4.92</v>
      </c>
      <c r="Q1748" s="2">
        <v>9.1999999999999993</v>
      </c>
      <c r="R1748" s="3">
        <f t="shared" si="135"/>
        <v>2752.9859999999999</v>
      </c>
      <c r="S1748" s="3">
        <f t="shared" si="136"/>
        <v>5147.8599999999988</v>
      </c>
      <c r="T1748" s="3">
        <f t="shared" si="137"/>
        <v>2394.8739999999989</v>
      </c>
      <c r="U1748" s="4">
        <f t="shared" si="138"/>
        <v>0.46521739130434775</v>
      </c>
      <c r="V1748" s="5">
        <f t="shared" si="139"/>
        <v>27.473904999999998</v>
      </c>
    </row>
    <row r="1749" spans="1:22" x14ac:dyDescent="0.25">
      <c r="A1749" s="2" t="s">
        <v>1783</v>
      </c>
      <c r="B1749" s="2" t="s">
        <v>32</v>
      </c>
      <c r="C1749" s="2" t="s">
        <v>27</v>
      </c>
      <c r="D1749" s="2" t="s">
        <v>20</v>
      </c>
      <c r="E1749" s="2">
        <v>441.01</v>
      </c>
      <c r="F1749" s="2">
        <v>17.04</v>
      </c>
      <c r="G1749" s="2">
        <v>26.08</v>
      </c>
      <c r="H1749" s="2">
        <v>4.5999999999999996</v>
      </c>
      <c r="I1749" s="2">
        <v>0.3</v>
      </c>
      <c r="J1749" s="2">
        <v>15</v>
      </c>
      <c r="K1749" s="2" t="s">
        <v>21</v>
      </c>
      <c r="L1749" s="2">
        <v>1.95</v>
      </c>
      <c r="M1749" s="2" t="s">
        <v>37</v>
      </c>
      <c r="N1749" s="2">
        <v>53.56</v>
      </c>
      <c r="O1749" s="2" t="s">
        <v>24</v>
      </c>
      <c r="P1749" s="2">
        <v>4.5599999999999996</v>
      </c>
      <c r="Q1749" s="2">
        <v>13.68</v>
      </c>
      <c r="R1749" s="3">
        <f t="shared" si="135"/>
        <v>2011.0055999999997</v>
      </c>
      <c r="S1749" s="3">
        <f t="shared" si="136"/>
        <v>6033.0167999999994</v>
      </c>
      <c r="T1749" s="3">
        <f t="shared" si="137"/>
        <v>4022.0111999999999</v>
      </c>
      <c r="U1749" s="4">
        <f t="shared" si="138"/>
        <v>0.66666666666666674</v>
      </c>
      <c r="V1749" s="5">
        <f t="shared" si="139"/>
        <v>8.5996949999999988</v>
      </c>
    </row>
    <row r="1750" spans="1:22" x14ac:dyDescent="0.25">
      <c r="A1750" s="2" t="s">
        <v>1784</v>
      </c>
      <c r="B1750" s="2" t="s">
        <v>18</v>
      </c>
      <c r="C1750" s="2" t="s">
        <v>43</v>
      </c>
      <c r="D1750" s="2" t="s">
        <v>20</v>
      </c>
      <c r="E1750" s="2">
        <v>486.78</v>
      </c>
      <c r="F1750" s="2">
        <v>11.21</v>
      </c>
      <c r="G1750" s="2">
        <v>35.42</v>
      </c>
      <c r="H1750" s="2">
        <v>0.8</v>
      </c>
      <c r="I1750" s="2">
        <v>0.2</v>
      </c>
      <c r="J1750" s="2">
        <v>5</v>
      </c>
      <c r="K1750" s="2" t="s">
        <v>34</v>
      </c>
      <c r="L1750" s="2">
        <v>5.4</v>
      </c>
      <c r="M1750" s="2" t="s">
        <v>22</v>
      </c>
      <c r="N1750" s="2">
        <v>91.42</v>
      </c>
      <c r="O1750" s="2" t="s">
        <v>24</v>
      </c>
      <c r="P1750" s="2">
        <v>5.33</v>
      </c>
      <c r="Q1750" s="2">
        <v>10.26</v>
      </c>
      <c r="R1750" s="3">
        <f t="shared" si="135"/>
        <v>2594.5373999999997</v>
      </c>
      <c r="S1750" s="3">
        <f t="shared" si="136"/>
        <v>4994.3627999999999</v>
      </c>
      <c r="T1750" s="3">
        <f t="shared" si="137"/>
        <v>2399.8254000000002</v>
      </c>
      <c r="U1750" s="4">
        <f t="shared" si="138"/>
        <v>0.48050682261208583</v>
      </c>
      <c r="V1750" s="5">
        <f t="shared" si="139"/>
        <v>26.28612</v>
      </c>
    </row>
    <row r="1751" spans="1:22" x14ac:dyDescent="0.25">
      <c r="A1751" s="2" t="s">
        <v>1785</v>
      </c>
      <c r="B1751" s="2" t="s">
        <v>18</v>
      </c>
      <c r="C1751" s="2" t="s">
        <v>33</v>
      </c>
      <c r="D1751" s="2" t="s">
        <v>28</v>
      </c>
      <c r="E1751" s="2">
        <v>507.23</v>
      </c>
      <c r="F1751" s="2">
        <v>13.52</v>
      </c>
      <c r="G1751" s="2">
        <v>26.54</v>
      </c>
      <c r="H1751" s="2">
        <v>6.1</v>
      </c>
      <c r="I1751" s="2">
        <v>0.3</v>
      </c>
      <c r="J1751" s="2">
        <v>11</v>
      </c>
      <c r="K1751" s="2" t="s">
        <v>21</v>
      </c>
      <c r="L1751" s="2">
        <v>2</v>
      </c>
      <c r="M1751" s="2" t="s">
        <v>40</v>
      </c>
      <c r="N1751" s="2">
        <v>72.63</v>
      </c>
      <c r="O1751" s="2" t="s">
        <v>24</v>
      </c>
      <c r="P1751" s="2">
        <v>5.47</v>
      </c>
      <c r="Q1751" s="2">
        <v>9.7100000000000009</v>
      </c>
      <c r="R1751" s="3">
        <f t="shared" si="135"/>
        <v>2774.5481</v>
      </c>
      <c r="S1751" s="3">
        <f t="shared" si="136"/>
        <v>4925.203300000001</v>
      </c>
      <c r="T1751" s="3">
        <f t="shared" si="137"/>
        <v>2150.6552000000011</v>
      </c>
      <c r="U1751" s="4">
        <f t="shared" si="138"/>
        <v>0.43666323377960875</v>
      </c>
      <c r="V1751" s="5">
        <f t="shared" si="139"/>
        <v>10.144600000000001</v>
      </c>
    </row>
    <row r="1752" spans="1:22" x14ac:dyDescent="0.25">
      <c r="A1752" s="2" t="s">
        <v>1786</v>
      </c>
      <c r="B1752" s="2" t="s">
        <v>26</v>
      </c>
      <c r="C1752" s="2" t="s">
        <v>19</v>
      </c>
      <c r="D1752" s="2" t="s">
        <v>20</v>
      </c>
      <c r="E1752" s="2">
        <v>349.98</v>
      </c>
      <c r="F1752" s="2">
        <v>8.51</v>
      </c>
      <c r="G1752" s="2">
        <v>24.84</v>
      </c>
      <c r="H1752" s="2">
        <v>0.1</v>
      </c>
      <c r="I1752" s="2">
        <v>0.1</v>
      </c>
      <c r="J1752" s="2">
        <v>22</v>
      </c>
      <c r="K1752" s="2" t="s">
        <v>21</v>
      </c>
      <c r="L1752" s="2">
        <v>4.29</v>
      </c>
      <c r="M1752" s="2" t="s">
        <v>22</v>
      </c>
      <c r="N1752" s="2">
        <v>92.78</v>
      </c>
      <c r="O1752" s="2" t="s">
        <v>23</v>
      </c>
      <c r="P1752" s="2">
        <v>5.16</v>
      </c>
      <c r="Q1752" s="2">
        <v>12.19</v>
      </c>
      <c r="R1752" s="3">
        <f t="shared" si="135"/>
        <v>1805.8968000000002</v>
      </c>
      <c r="S1752" s="3">
        <f t="shared" si="136"/>
        <v>4266.2561999999998</v>
      </c>
      <c r="T1752" s="3">
        <f t="shared" si="137"/>
        <v>2460.3593999999994</v>
      </c>
      <c r="U1752" s="4">
        <f t="shared" si="138"/>
        <v>0.57670221493027063</v>
      </c>
      <c r="V1752" s="5">
        <f t="shared" si="139"/>
        <v>15.014142000000001</v>
      </c>
    </row>
    <row r="1753" spans="1:22" x14ac:dyDescent="0.25">
      <c r="A1753" s="2" t="s">
        <v>1787</v>
      </c>
      <c r="B1753" s="2" t="s">
        <v>26</v>
      </c>
      <c r="C1753" s="2" t="s">
        <v>43</v>
      </c>
      <c r="D1753" s="2" t="s">
        <v>20</v>
      </c>
      <c r="E1753" s="2">
        <v>422.12</v>
      </c>
      <c r="F1753" s="2">
        <v>8.44</v>
      </c>
      <c r="G1753" s="2">
        <v>23.38</v>
      </c>
      <c r="H1753" s="2">
        <v>0.9</v>
      </c>
      <c r="I1753" s="2">
        <v>0.4</v>
      </c>
      <c r="J1753" s="2">
        <v>14</v>
      </c>
      <c r="K1753" s="2" t="s">
        <v>34</v>
      </c>
      <c r="L1753" s="2">
        <v>9.4600000000000009</v>
      </c>
      <c r="M1753" s="2" t="s">
        <v>37</v>
      </c>
      <c r="N1753" s="2">
        <v>91.18</v>
      </c>
      <c r="O1753" s="2" t="s">
        <v>30</v>
      </c>
      <c r="P1753" s="2">
        <v>9.85</v>
      </c>
      <c r="Q1753" s="2">
        <v>7.14</v>
      </c>
      <c r="R1753" s="3">
        <f t="shared" si="135"/>
        <v>4157.8819999999996</v>
      </c>
      <c r="S1753" s="3">
        <f t="shared" si="136"/>
        <v>3013.9367999999999</v>
      </c>
      <c r="T1753" s="3">
        <f t="shared" si="137"/>
        <v>-1143.9451999999997</v>
      </c>
      <c r="U1753" s="4">
        <f t="shared" si="138"/>
        <v>-0.37955182072829119</v>
      </c>
      <c r="V1753" s="5">
        <f t="shared" si="139"/>
        <v>39.932552000000008</v>
      </c>
    </row>
    <row r="1754" spans="1:22" x14ac:dyDescent="0.25">
      <c r="A1754" s="2" t="s">
        <v>1788</v>
      </c>
      <c r="B1754" s="2" t="s">
        <v>45</v>
      </c>
      <c r="C1754" s="2" t="s">
        <v>43</v>
      </c>
      <c r="D1754" s="2" t="s">
        <v>28</v>
      </c>
      <c r="E1754" s="2">
        <v>635.11</v>
      </c>
      <c r="F1754" s="2">
        <v>15.2</v>
      </c>
      <c r="G1754" s="2">
        <v>35.5</v>
      </c>
      <c r="H1754" s="2">
        <v>4.5</v>
      </c>
      <c r="I1754" s="2">
        <v>0</v>
      </c>
      <c r="J1754" s="2">
        <v>25</v>
      </c>
      <c r="K1754" s="2" t="s">
        <v>21</v>
      </c>
      <c r="L1754" s="2">
        <v>3.75</v>
      </c>
      <c r="M1754" s="2" t="s">
        <v>22</v>
      </c>
      <c r="N1754" s="2">
        <v>94.67</v>
      </c>
      <c r="O1754" s="2" t="s">
        <v>30</v>
      </c>
      <c r="P1754" s="2">
        <v>9.5299999999999994</v>
      </c>
      <c r="Q1754" s="2">
        <v>12.89</v>
      </c>
      <c r="R1754" s="3">
        <f t="shared" si="135"/>
        <v>6052.5982999999997</v>
      </c>
      <c r="S1754" s="3">
        <f t="shared" si="136"/>
        <v>8186.5679000000009</v>
      </c>
      <c r="T1754" s="3">
        <f t="shared" si="137"/>
        <v>2133.9696000000013</v>
      </c>
      <c r="U1754" s="4">
        <f t="shared" si="138"/>
        <v>0.26066718386346016</v>
      </c>
      <c r="V1754" s="5">
        <f t="shared" si="139"/>
        <v>23.816624999999998</v>
      </c>
    </row>
    <row r="1755" spans="1:22" x14ac:dyDescent="0.25">
      <c r="A1755" s="2" t="s">
        <v>1789</v>
      </c>
      <c r="B1755" s="2" t="s">
        <v>18</v>
      </c>
      <c r="C1755" s="2" t="s">
        <v>43</v>
      </c>
      <c r="D1755" s="2" t="s">
        <v>20</v>
      </c>
      <c r="E1755" s="2">
        <v>588.62</v>
      </c>
      <c r="F1755" s="2">
        <v>12.44</v>
      </c>
      <c r="G1755" s="2">
        <v>22.59</v>
      </c>
      <c r="H1755" s="2">
        <v>0.6</v>
      </c>
      <c r="I1755" s="2">
        <v>0.2</v>
      </c>
      <c r="J1755" s="2">
        <v>19</v>
      </c>
      <c r="K1755" s="2" t="s">
        <v>21</v>
      </c>
      <c r="L1755" s="2">
        <v>1.95</v>
      </c>
      <c r="M1755" s="2" t="s">
        <v>37</v>
      </c>
      <c r="N1755" s="2">
        <v>52.41</v>
      </c>
      <c r="O1755" s="2" t="s">
        <v>24</v>
      </c>
      <c r="P1755" s="2">
        <v>7.02</v>
      </c>
      <c r="Q1755" s="2">
        <v>9.2899999999999991</v>
      </c>
      <c r="R1755" s="3">
        <f t="shared" si="135"/>
        <v>4132.1124</v>
      </c>
      <c r="S1755" s="3">
        <f t="shared" si="136"/>
        <v>5468.2797999999993</v>
      </c>
      <c r="T1755" s="3">
        <f t="shared" si="137"/>
        <v>1336.1673999999994</v>
      </c>
      <c r="U1755" s="4">
        <f t="shared" si="138"/>
        <v>0.24434876210979539</v>
      </c>
      <c r="V1755" s="5">
        <f t="shared" si="139"/>
        <v>11.47809</v>
      </c>
    </row>
    <row r="1756" spans="1:22" x14ac:dyDescent="0.25">
      <c r="A1756" s="2" t="s">
        <v>1790</v>
      </c>
      <c r="B1756" s="2" t="s">
        <v>32</v>
      </c>
      <c r="C1756" s="2" t="s">
        <v>27</v>
      </c>
      <c r="D1756" s="2" t="s">
        <v>20</v>
      </c>
      <c r="E1756" s="2">
        <v>493.74</v>
      </c>
      <c r="F1756" s="2">
        <v>10.56</v>
      </c>
      <c r="G1756" s="2">
        <v>29.08</v>
      </c>
      <c r="H1756" s="2">
        <v>0.6</v>
      </c>
      <c r="I1756" s="2">
        <v>1.4</v>
      </c>
      <c r="J1756" s="2">
        <v>3</v>
      </c>
      <c r="K1756" s="2" t="s">
        <v>29</v>
      </c>
      <c r="L1756" s="2">
        <v>6.03</v>
      </c>
      <c r="M1756" s="2" t="s">
        <v>37</v>
      </c>
      <c r="N1756" s="2">
        <v>59.31</v>
      </c>
      <c r="O1756" s="2" t="s">
        <v>30</v>
      </c>
      <c r="P1756" s="2">
        <v>9.8699999999999992</v>
      </c>
      <c r="Q1756" s="2">
        <v>6.27</v>
      </c>
      <c r="R1756" s="3">
        <f t="shared" si="135"/>
        <v>4873.2137999999995</v>
      </c>
      <c r="S1756" s="3">
        <f t="shared" si="136"/>
        <v>3095.7498000000001</v>
      </c>
      <c r="T1756" s="3">
        <f t="shared" si="137"/>
        <v>-1777.4639999999995</v>
      </c>
      <c r="U1756" s="4">
        <f t="shared" si="138"/>
        <v>-0.5741626794258371</v>
      </c>
      <c r="V1756" s="5">
        <f t="shared" si="139"/>
        <v>29.772522000000002</v>
      </c>
    </row>
    <row r="1757" spans="1:22" x14ac:dyDescent="0.25">
      <c r="A1757" s="2" t="s">
        <v>1791</v>
      </c>
      <c r="B1757" s="2" t="s">
        <v>26</v>
      </c>
      <c r="C1757" s="2" t="s">
        <v>19</v>
      </c>
      <c r="D1757" s="2" t="s">
        <v>28</v>
      </c>
      <c r="E1757" s="2">
        <v>524.30999999999995</v>
      </c>
      <c r="F1757" s="2">
        <v>9.9</v>
      </c>
      <c r="G1757" s="2">
        <v>30.14</v>
      </c>
      <c r="H1757" s="2">
        <v>0.7</v>
      </c>
      <c r="I1757" s="2">
        <v>0.4</v>
      </c>
      <c r="J1757" s="2">
        <v>24</v>
      </c>
      <c r="K1757" s="2" t="s">
        <v>21</v>
      </c>
      <c r="L1757" s="2">
        <v>6.22</v>
      </c>
      <c r="M1757" s="2" t="s">
        <v>22</v>
      </c>
      <c r="N1757" s="2">
        <v>64.81</v>
      </c>
      <c r="O1757" s="2" t="s">
        <v>30</v>
      </c>
      <c r="P1757" s="2">
        <v>9.94</v>
      </c>
      <c r="Q1757" s="2">
        <v>6.19</v>
      </c>
      <c r="R1757" s="3">
        <f t="shared" si="135"/>
        <v>5211.6413999999995</v>
      </c>
      <c r="S1757" s="3">
        <f t="shared" si="136"/>
        <v>3245.4789000000001</v>
      </c>
      <c r="T1757" s="3">
        <f t="shared" si="137"/>
        <v>-1966.1624999999995</v>
      </c>
      <c r="U1757" s="4">
        <f t="shared" si="138"/>
        <v>-0.60581583198707578</v>
      </c>
      <c r="V1757" s="5">
        <f t="shared" si="139"/>
        <v>32.612081999999994</v>
      </c>
    </row>
    <row r="1758" spans="1:22" x14ac:dyDescent="0.25">
      <c r="A1758" s="2" t="s">
        <v>1792</v>
      </c>
      <c r="B1758" s="2" t="s">
        <v>32</v>
      </c>
      <c r="C1758" s="2" t="s">
        <v>19</v>
      </c>
      <c r="D1758" s="2" t="s">
        <v>28</v>
      </c>
      <c r="E1758" s="2">
        <v>470.58</v>
      </c>
      <c r="F1758" s="2">
        <v>14.7</v>
      </c>
      <c r="G1758" s="2">
        <v>33.75</v>
      </c>
      <c r="H1758" s="2">
        <v>1.9</v>
      </c>
      <c r="I1758" s="2">
        <v>1.1000000000000001</v>
      </c>
      <c r="J1758" s="2">
        <v>10</v>
      </c>
      <c r="K1758" s="2" t="s">
        <v>34</v>
      </c>
      <c r="L1758" s="2">
        <v>2.34</v>
      </c>
      <c r="M1758" s="2" t="s">
        <v>40</v>
      </c>
      <c r="N1758" s="2">
        <v>56.81</v>
      </c>
      <c r="O1758" s="2" t="s">
        <v>23</v>
      </c>
      <c r="P1758" s="2">
        <v>5.49</v>
      </c>
      <c r="Q1758" s="2">
        <v>6.65</v>
      </c>
      <c r="R1758" s="3">
        <f t="shared" si="135"/>
        <v>2583.4841999999999</v>
      </c>
      <c r="S1758" s="3">
        <f t="shared" si="136"/>
        <v>3129.357</v>
      </c>
      <c r="T1758" s="3">
        <f t="shared" si="137"/>
        <v>545.8728000000001</v>
      </c>
      <c r="U1758" s="4">
        <f t="shared" si="138"/>
        <v>0.17443609022556394</v>
      </c>
      <c r="V1758" s="5">
        <f t="shared" si="139"/>
        <v>11.011571999999999</v>
      </c>
    </row>
    <row r="1759" spans="1:22" x14ac:dyDescent="0.25">
      <c r="A1759" s="2" t="s">
        <v>1793</v>
      </c>
      <c r="B1759" s="2" t="s">
        <v>32</v>
      </c>
      <c r="C1759" s="2" t="s">
        <v>33</v>
      </c>
      <c r="D1759" s="2" t="s">
        <v>20</v>
      </c>
      <c r="E1759" s="2">
        <v>635.66</v>
      </c>
      <c r="F1759" s="2">
        <v>8</v>
      </c>
      <c r="G1759" s="2">
        <v>32.67</v>
      </c>
      <c r="H1759" s="2">
        <v>1.2</v>
      </c>
      <c r="I1759" s="2">
        <v>1.3</v>
      </c>
      <c r="J1759" s="2">
        <v>28</v>
      </c>
      <c r="K1759" s="2" t="s">
        <v>21</v>
      </c>
      <c r="L1759" s="2">
        <v>2.37</v>
      </c>
      <c r="M1759" s="2" t="s">
        <v>22</v>
      </c>
      <c r="N1759" s="2">
        <v>74.27</v>
      </c>
      <c r="O1759" s="2" t="s">
        <v>30</v>
      </c>
      <c r="P1759" s="2">
        <v>6.12</v>
      </c>
      <c r="Q1759" s="2">
        <v>13.91</v>
      </c>
      <c r="R1759" s="3">
        <f t="shared" si="135"/>
        <v>3890.2392</v>
      </c>
      <c r="S1759" s="3">
        <f t="shared" si="136"/>
        <v>8842.0306</v>
      </c>
      <c r="T1759" s="3">
        <f t="shared" si="137"/>
        <v>4951.7914000000001</v>
      </c>
      <c r="U1759" s="4">
        <f t="shared" si="138"/>
        <v>0.56002875629043858</v>
      </c>
      <c r="V1759" s="5">
        <f t="shared" si="139"/>
        <v>15.065142000000002</v>
      </c>
    </row>
    <row r="1760" spans="1:22" x14ac:dyDescent="0.25">
      <c r="A1760" s="2" t="s">
        <v>1794</v>
      </c>
      <c r="B1760" s="2" t="s">
        <v>18</v>
      </c>
      <c r="C1760" s="2" t="s">
        <v>19</v>
      </c>
      <c r="D1760" s="2" t="s">
        <v>28</v>
      </c>
      <c r="E1760" s="2">
        <v>479.96</v>
      </c>
      <c r="F1760" s="2">
        <v>16.059999999999999</v>
      </c>
      <c r="G1760" s="2">
        <v>36.21</v>
      </c>
      <c r="H1760" s="2">
        <v>2.6</v>
      </c>
      <c r="I1760" s="2">
        <v>0.9</v>
      </c>
      <c r="J1760" s="2">
        <v>6</v>
      </c>
      <c r="K1760" s="2" t="s">
        <v>29</v>
      </c>
      <c r="L1760" s="2">
        <v>9.9</v>
      </c>
      <c r="M1760" s="2" t="s">
        <v>22</v>
      </c>
      <c r="N1760" s="2">
        <v>89.95</v>
      </c>
      <c r="O1760" s="2" t="s">
        <v>30</v>
      </c>
      <c r="P1760" s="2">
        <v>9.7100000000000009</v>
      </c>
      <c r="Q1760" s="2">
        <v>14.91</v>
      </c>
      <c r="R1760" s="3">
        <f t="shared" si="135"/>
        <v>4660.4116000000004</v>
      </c>
      <c r="S1760" s="3">
        <f t="shared" si="136"/>
        <v>7156.2035999999998</v>
      </c>
      <c r="T1760" s="3">
        <f t="shared" si="137"/>
        <v>2495.7919999999995</v>
      </c>
      <c r="U1760" s="4">
        <f t="shared" si="138"/>
        <v>0.34875922199865855</v>
      </c>
      <c r="V1760" s="5">
        <f t="shared" si="139"/>
        <v>47.516040000000004</v>
      </c>
    </row>
    <row r="1761" spans="1:22" x14ac:dyDescent="0.25">
      <c r="A1761" s="2" t="s">
        <v>1795</v>
      </c>
      <c r="B1761" s="2" t="s">
        <v>18</v>
      </c>
      <c r="C1761" s="2" t="s">
        <v>19</v>
      </c>
      <c r="D1761" s="2" t="s">
        <v>20</v>
      </c>
      <c r="E1761" s="2">
        <v>523.17999999999995</v>
      </c>
      <c r="F1761" s="2">
        <v>8.7899999999999991</v>
      </c>
      <c r="G1761" s="2">
        <v>20.9</v>
      </c>
      <c r="H1761" s="2">
        <v>4.5</v>
      </c>
      <c r="I1761" s="2">
        <v>3.2</v>
      </c>
      <c r="J1761" s="2">
        <v>28</v>
      </c>
      <c r="K1761" s="2" t="s">
        <v>21</v>
      </c>
      <c r="L1761" s="2">
        <v>2.81</v>
      </c>
      <c r="M1761" s="2" t="s">
        <v>40</v>
      </c>
      <c r="N1761" s="2">
        <v>97.56</v>
      </c>
      <c r="O1761" s="2" t="s">
        <v>23</v>
      </c>
      <c r="P1761" s="2">
        <v>7.26</v>
      </c>
      <c r="Q1761" s="2">
        <v>8.57</v>
      </c>
      <c r="R1761" s="3">
        <f t="shared" si="135"/>
        <v>3798.2867999999994</v>
      </c>
      <c r="S1761" s="3">
        <f t="shared" si="136"/>
        <v>4483.6525999999994</v>
      </c>
      <c r="T1761" s="3">
        <f t="shared" si="137"/>
        <v>685.36580000000004</v>
      </c>
      <c r="U1761" s="4">
        <f t="shared" si="138"/>
        <v>0.15285880980163363</v>
      </c>
      <c r="V1761" s="5">
        <f t="shared" si="139"/>
        <v>14.701357999999997</v>
      </c>
    </row>
    <row r="1762" spans="1:22" x14ac:dyDescent="0.25">
      <c r="A1762" s="2" t="s">
        <v>1796</v>
      </c>
      <c r="B1762" s="2" t="s">
        <v>26</v>
      </c>
      <c r="C1762" s="2" t="s">
        <v>43</v>
      </c>
      <c r="D1762" s="2" t="s">
        <v>28</v>
      </c>
      <c r="E1762" s="2">
        <v>614.6</v>
      </c>
      <c r="F1762" s="2">
        <v>9.91</v>
      </c>
      <c r="G1762" s="2">
        <v>25.93</v>
      </c>
      <c r="H1762" s="2">
        <v>2.2000000000000002</v>
      </c>
      <c r="I1762" s="2">
        <v>0</v>
      </c>
      <c r="J1762" s="2">
        <v>26</v>
      </c>
      <c r="K1762" s="2" t="s">
        <v>34</v>
      </c>
      <c r="L1762" s="2">
        <v>8.4600000000000009</v>
      </c>
      <c r="M1762" s="2" t="s">
        <v>40</v>
      </c>
      <c r="N1762" s="2">
        <v>94.48</v>
      </c>
      <c r="O1762" s="2" t="s">
        <v>30</v>
      </c>
      <c r="P1762" s="2">
        <v>4.49</v>
      </c>
      <c r="Q1762" s="2">
        <v>7.92</v>
      </c>
      <c r="R1762" s="3">
        <f t="shared" si="135"/>
        <v>2759.5540000000001</v>
      </c>
      <c r="S1762" s="3">
        <f t="shared" si="136"/>
        <v>4867.6320000000005</v>
      </c>
      <c r="T1762" s="3">
        <f t="shared" si="137"/>
        <v>2108.0780000000004</v>
      </c>
      <c r="U1762" s="4">
        <f t="shared" si="138"/>
        <v>0.43308080808080812</v>
      </c>
      <c r="V1762" s="5">
        <f t="shared" si="139"/>
        <v>51.995160000000006</v>
      </c>
    </row>
    <row r="1763" spans="1:22" x14ac:dyDescent="0.25">
      <c r="A1763" s="2" t="s">
        <v>1797</v>
      </c>
      <c r="B1763" s="2" t="s">
        <v>18</v>
      </c>
      <c r="C1763" s="2" t="s">
        <v>33</v>
      </c>
      <c r="D1763" s="2" t="s">
        <v>20</v>
      </c>
      <c r="E1763" s="2">
        <v>422.26</v>
      </c>
      <c r="F1763" s="2">
        <v>11.86</v>
      </c>
      <c r="G1763" s="2">
        <v>25.6</v>
      </c>
      <c r="H1763" s="2">
        <v>0.5</v>
      </c>
      <c r="I1763" s="2">
        <v>1.3</v>
      </c>
      <c r="J1763" s="2">
        <v>3</v>
      </c>
      <c r="K1763" s="2" t="s">
        <v>29</v>
      </c>
      <c r="L1763" s="2">
        <v>4.97</v>
      </c>
      <c r="M1763" s="2" t="s">
        <v>22</v>
      </c>
      <c r="N1763" s="2">
        <v>72.87</v>
      </c>
      <c r="O1763" s="2" t="s">
        <v>24</v>
      </c>
      <c r="P1763" s="2">
        <v>7.83</v>
      </c>
      <c r="Q1763" s="2">
        <v>7.19</v>
      </c>
      <c r="R1763" s="3">
        <f t="shared" si="135"/>
        <v>3306.2957999999999</v>
      </c>
      <c r="S1763" s="3">
        <f t="shared" si="136"/>
        <v>3036.0493999999999</v>
      </c>
      <c r="T1763" s="3">
        <f t="shared" si="137"/>
        <v>-270.24639999999999</v>
      </c>
      <c r="U1763" s="4">
        <f t="shared" si="138"/>
        <v>-8.9012517385257298E-2</v>
      </c>
      <c r="V1763" s="5">
        <f t="shared" si="139"/>
        <v>20.986322000000001</v>
      </c>
    </row>
    <row r="1764" spans="1:22" x14ac:dyDescent="0.25">
      <c r="A1764" s="2" t="s">
        <v>1798</v>
      </c>
      <c r="B1764" s="2" t="s">
        <v>18</v>
      </c>
      <c r="C1764" s="2" t="s">
        <v>19</v>
      </c>
      <c r="D1764" s="2" t="s">
        <v>28</v>
      </c>
      <c r="E1764" s="2">
        <v>655.88</v>
      </c>
      <c r="F1764" s="2">
        <v>12.85</v>
      </c>
      <c r="G1764" s="2">
        <v>22.92</v>
      </c>
      <c r="H1764" s="2">
        <v>5.4</v>
      </c>
      <c r="I1764" s="2">
        <v>3.2</v>
      </c>
      <c r="J1764" s="2">
        <v>2</v>
      </c>
      <c r="K1764" s="2" t="s">
        <v>21</v>
      </c>
      <c r="L1764" s="2">
        <v>4.63</v>
      </c>
      <c r="M1764" s="2" t="s">
        <v>37</v>
      </c>
      <c r="N1764" s="2">
        <v>81.819999999999993</v>
      </c>
      <c r="O1764" s="2" t="s">
        <v>23</v>
      </c>
      <c r="P1764" s="2">
        <v>4.4400000000000004</v>
      </c>
      <c r="Q1764" s="2">
        <v>13.24</v>
      </c>
      <c r="R1764" s="3">
        <f t="shared" si="135"/>
        <v>2912.1072000000004</v>
      </c>
      <c r="S1764" s="3">
        <f t="shared" si="136"/>
        <v>8683.851200000001</v>
      </c>
      <c r="T1764" s="3">
        <f t="shared" si="137"/>
        <v>5771.7440000000006</v>
      </c>
      <c r="U1764" s="4">
        <f t="shared" si="138"/>
        <v>0.66465256797583083</v>
      </c>
      <c r="V1764" s="5">
        <f t="shared" si="139"/>
        <v>30.367243999999999</v>
      </c>
    </row>
    <row r="1765" spans="1:22" x14ac:dyDescent="0.25">
      <c r="A1765" s="2" t="s">
        <v>1799</v>
      </c>
      <c r="B1765" s="2" t="s">
        <v>18</v>
      </c>
      <c r="C1765" s="2" t="s">
        <v>27</v>
      </c>
      <c r="D1765" s="2" t="s">
        <v>20</v>
      </c>
      <c r="E1765" s="2">
        <v>346.95</v>
      </c>
      <c r="F1765" s="2">
        <v>11.55</v>
      </c>
      <c r="G1765" s="2">
        <v>25.78</v>
      </c>
      <c r="H1765" s="2">
        <v>0.6</v>
      </c>
      <c r="I1765" s="2">
        <v>2</v>
      </c>
      <c r="J1765" s="2">
        <v>13</v>
      </c>
      <c r="K1765" s="2" t="s">
        <v>34</v>
      </c>
      <c r="L1765" s="2">
        <v>3.3</v>
      </c>
      <c r="M1765" s="2" t="s">
        <v>22</v>
      </c>
      <c r="N1765" s="2">
        <v>61.53</v>
      </c>
      <c r="O1765" s="2" t="s">
        <v>30</v>
      </c>
      <c r="P1765" s="2">
        <v>5.38</v>
      </c>
      <c r="Q1765" s="2">
        <v>7.09</v>
      </c>
      <c r="R1765" s="3">
        <f t="shared" si="135"/>
        <v>1866.5909999999999</v>
      </c>
      <c r="S1765" s="3">
        <f t="shared" si="136"/>
        <v>2459.8754999999996</v>
      </c>
      <c r="T1765" s="3">
        <f t="shared" si="137"/>
        <v>593.28449999999975</v>
      </c>
      <c r="U1765" s="4">
        <f t="shared" si="138"/>
        <v>0.24118476727785607</v>
      </c>
      <c r="V1765" s="5">
        <f t="shared" si="139"/>
        <v>11.449349999999999</v>
      </c>
    </row>
    <row r="1766" spans="1:22" x14ac:dyDescent="0.25">
      <c r="A1766" s="2" t="s">
        <v>1800</v>
      </c>
      <c r="B1766" s="2" t="s">
        <v>32</v>
      </c>
      <c r="C1766" s="2" t="s">
        <v>19</v>
      </c>
      <c r="D1766" s="2" t="s">
        <v>20</v>
      </c>
      <c r="E1766" s="2">
        <v>662.96</v>
      </c>
      <c r="F1766" s="2">
        <v>11.21</v>
      </c>
      <c r="G1766" s="2">
        <v>26.2</v>
      </c>
      <c r="H1766" s="2">
        <v>0.3</v>
      </c>
      <c r="I1766" s="2">
        <v>0.2</v>
      </c>
      <c r="J1766" s="2">
        <v>18</v>
      </c>
      <c r="K1766" s="2" t="s">
        <v>34</v>
      </c>
      <c r="L1766" s="2">
        <v>7.85</v>
      </c>
      <c r="M1766" s="2" t="s">
        <v>37</v>
      </c>
      <c r="N1766" s="2">
        <v>70.150000000000006</v>
      </c>
      <c r="O1766" s="2" t="s">
        <v>30</v>
      </c>
      <c r="P1766" s="2">
        <v>4.59</v>
      </c>
      <c r="Q1766" s="2">
        <v>14.24</v>
      </c>
      <c r="R1766" s="3">
        <f t="shared" si="135"/>
        <v>3042.9864000000002</v>
      </c>
      <c r="S1766" s="3">
        <f t="shared" si="136"/>
        <v>9440.5504000000001</v>
      </c>
      <c r="T1766" s="3">
        <f t="shared" si="137"/>
        <v>6397.5640000000003</v>
      </c>
      <c r="U1766" s="4">
        <f t="shared" si="138"/>
        <v>0.6776685393258427</v>
      </c>
      <c r="V1766" s="5">
        <f t="shared" si="139"/>
        <v>52.042360000000002</v>
      </c>
    </row>
    <row r="1767" spans="1:22" x14ac:dyDescent="0.25">
      <c r="A1767" s="2" t="s">
        <v>1801</v>
      </c>
      <c r="B1767" s="2" t="s">
        <v>26</v>
      </c>
      <c r="C1767" s="2" t="s">
        <v>43</v>
      </c>
      <c r="D1767" s="2" t="s">
        <v>20</v>
      </c>
      <c r="E1767" s="2">
        <v>462.73</v>
      </c>
      <c r="F1767" s="2">
        <v>17.64</v>
      </c>
      <c r="G1767" s="2">
        <v>30.44</v>
      </c>
      <c r="H1767" s="2">
        <v>0.2</v>
      </c>
      <c r="I1767" s="2">
        <v>0.4</v>
      </c>
      <c r="J1767" s="2">
        <v>2</v>
      </c>
      <c r="K1767" s="2" t="s">
        <v>21</v>
      </c>
      <c r="L1767" s="2">
        <v>8.8699999999999992</v>
      </c>
      <c r="M1767" s="2" t="s">
        <v>40</v>
      </c>
      <c r="N1767" s="2">
        <v>93.56</v>
      </c>
      <c r="O1767" s="2" t="s">
        <v>23</v>
      </c>
      <c r="P1767" s="2">
        <v>4.71</v>
      </c>
      <c r="Q1767" s="2">
        <v>11.67</v>
      </c>
      <c r="R1767" s="3">
        <f t="shared" si="135"/>
        <v>2179.4583000000002</v>
      </c>
      <c r="S1767" s="3">
        <f t="shared" si="136"/>
        <v>5400.0591000000004</v>
      </c>
      <c r="T1767" s="3">
        <f t="shared" si="137"/>
        <v>3220.6008000000002</v>
      </c>
      <c r="U1767" s="4">
        <f t="shared" si="138"/>
        <v>0.59640102827763497</v>
      </c>
      <c r="V1767" s="5">
        <f t="shared" si="139"/>
        <v>41.044150999999999</v>
      </c>
    </row>
    <row r="1768" spans="1:22" x14ac:dyDescent="0.25">
      <c r="A1768" s="2" t="s">
        <v>1802</v>
      </c>
      <c r="B1768" s="2" t="s">
        <v>45</v>
      </c>
      <c r="C1768" s="2" t="s">
        <v>27</v>
      </c>
      <c r="D1768" s="2" t="s">
        <v>28</v>
      </c>
      <c r="E1768" s="2">
        <v>475.73</v>
      </c>
      <c r="F1768" s="2">
        <v>14.42</v>
      </c>
      <c r="G1768" s="2">
        <v>33.270000000000003</v>
      </c>
      <c r="H1768" s="2">
        <v>1.7</v>
      </c>
      <c r="I1768" s="2">
        <v>0.2</v>
      </c>
      <c r="J1768" s="2">
        <v>15</v>
      </c>
      <c r="K1768" s="2" t="s">
        <v>21</v>
      </c>
      <c r="L1768" s="2">
        <v>2.98</v>
      </c>
      <c r="M1768" s="2" t="s">
        <v>40</v>
      </c>
      <c r="N1768" s="2">
        <v>51.46</v>
      </c>
      <c r="O1768" s="2" t="s">
        <v>24</v>
      </c>
      <c r="P1768" s="2">
        <v>3.03</v>
      </c>
      <c r="Q1768" s="2">
        <v>13.97</v>
      </c>
      <c r="R1768" s="3">
        <f t="shared" si="135"/>
        <v>1441.4619</v>
      </c>
      <c r="S1768" s="3">
        <f t="shared" si="136"/>
        <v>6645.9481000000005</v>
      </c>
      <c r="T1768" s="3">
        <f t="shared" si="137"/>
        <v>5204.4862000000003</v>
      </c>
      <c r="U1768" s="4">
        <f t="shared" si="138"/>
        <v>0.78310665712240513</v>
      </c>
      <c r="V1768" s="5">
        <f t="shared" si="139"/>
        <v>14.176754000000001</v>
      </c>
    </row>
    <row r="1769" spans="1:22" x14ac:dyDescent="0.25">
      <c r="A1769" s="2" t="s">
        <v>1803</v>
      </c>
      <c r="B1769" s="2" t="s">
        <v>32</v>
      </c>
      <c r="C1769" s="2" t="s">
        <v>43</v>
      </c>
      <c r="D1769" s="2" t="s">
        <v>28</v>
      </c>
      <c r="E1769" s="2">
        <v>311</v>
      </c>
      <c r="F1769" s="2">
        <v>8.23</v>
      </c>
      <c r="G1769" s="2">
        <v>27.62</v>
      </c>
      <c r="H1769" s="2">
        <v>0.2</v>
      </c>
      <c r="I1769" s="2">
        <v>0.9</v>
      </c>
      <c r="J1769" s="2">
        <v>5</v>
      </c>
      <c r="K1769" s="2" t="s">
        <v>29</v>
      </c>
      <c r="L1769" s="2">
        <v>1.4</v>
      </c>
      <c r="M1769" s="2" t="s">
        <v>37</v>
      </c>
      <c r="N1769" s="2">
        <v>76.64</v>
      </c>
      <c r="O1769" s="2" t="s">
        <v>23</v>
      </c>
      <c r="P1769" s="2">
        <v>9.16</v>
      </c>
      <c r="Q1769" s="2">
        <v>10.54</v>
      </c>
      <c r="R1769" s="3">
        <f t="shared" si="135"/>
        <v>2848.76</v>
      </c>
      <c r="S1769" s="3">
        <f t="shared" si="136"/>
        <v>3277.9399999999996</v>
      </c>
      <c r="T1769" s="3">
        <f t="shared" si="137"/>
        <v>429.17999999999938</v>
      </c>
      <c r="U1769" s="4">
        <f t="shared" si="138"/>
        <v>0.13092979127134707</v>
      </c>
      <c r="V1769" s="5">
        <f t="shared" si="139"/>
        <v>4.3540000000000001</v>
      </c>
    </row>
    <row r="1770" spans="1:22" x14ac:dyDescent="0.25">
      <c r="A1770" s="2" t="s">
        <v>1804</v>
      </c>
      <c r="B1770" s="2" t="s">
        <v>18</v>
      </c>
      <c r="C1770" s="2" t="s">
        <v>19</v>
      </c>
      <c r="D1770" s="2" t="s">
        <v>20</v>
      </c>
      <c r="E1770" s="2">
        <v>454.52</v>
      </c>
      <c r="F1770" s="2">
        <v>12.3</v>
      </c>
      <c r="G1770" s="2">
        <v>34.39</v>
      </c>
      <c r="H1770" s="2">
        <v>0.3</v>
      </c>
      <c r="I1770" s="2">
        <v>1.2</v>
      </c>
      <c r="J1770" s="2">
        <v>15</v>
      </c>
      <c r="K1770" s="2" t="s">
        <v>21</v>
      </c>
      <c r="L1770" s="2">
        <v>1.8</v>
      </c>
      <c r="M1770" s="2" t="s">
        <v>22</v>
      </c>
      <c r="N1770" s="2">
        <v>93.64</v>
      </c>
      <c r="O1770" s="2" t="s">
        <v>24</v>
      </c>
      <c r="P1770" s="2">
        <v>5.07</v>
      </c>
      <c r="Q1770" s="2">
        <v>11.91</v>
      </c>
      <c r="R1770" s="3">
        <f t="shared" si="135"/>
        <v>2304.4164000000001</v>
      </c>
      <c r="S1770" s="3">
        <f t="shared" si="136"/>
        <v>5413.3332</v>
      </c>
      <c r="T1770" s="3">
        <f t="shared" si="137"/>
        <v>3108.9168</v>
      </c>
      <c r="U1770" s="4">
        <f t="shared" si="138"/>
        <v>0.5743073047858942</v>
      </c>
      <c r="V1770" s="5">
        <f t="shared" si="139"/>
        <v>8.1813599999999997</v>
      </c>
    </row>
    <row r="1771" spans="1:22" x14ac:dyDescent="0.25">
      <c r="A1771" s="2" t="s">
        <v>1805</v>
      </c>
      <c r="B1771" s="2" t="s">
        <v>32</v>
      </c>
      <c r="C1771" s="2" t="s">
        <v>27</v>
      </c>
      <c r="D1771" s="2" t="s">
        <v>20</v>
      </c>
      <c r="E1771" s="2">
        <v>396.02</v>
      </c>
      <c r="F1771" s="2">
        <v>16.75</v>
      </c>
      <c r="G1771" s="2">
        <v>26.72</v>
      </c>
      <c r="H1771" s="2">
        <v>0.7</v>
      </c>
      <c r="I1771" s="2">
        <v>0.4</v>
      </c>
      <c r="J1771" s="2">
        <v>28</v>
      </c>
      <c r="K1771" s="2" t="s">
        <v>29</v>
      </c>
      <c r="L1771" s="2">
        <v>8.0299999999999994</v>
      </c>
      <c r="M1771" s="2" t="s">
        <v>40</v>
      </c>
      <c r="N1771" s="2">
        <v>56.1</v>
      </c>
      <c r="O1771" s="2" t="s">
        <v>23</v>
      </c>
      <c r="P1771" s="2">
        <v>3.6</v>
      </c>
      <c r="Q1771" s="2">
        <v>11.19</v>
      </c>
      <c r="R1771" s="3">
        <f t="shared" si="135"/>
        <v>1425.672</v>
      </c>
      <c r="S1771" s="3">
        <f t="shared" si="136"/>
        <v>4431.4637999999995</v>
      </c>
      <c r="T1771" s="3">
        <f t="shared" si="137"/>
        <v>3005.7917999999995</v>
      </c>
      <c r="U1771" s="4">
        <f t="shared" si="138"/>
        <v>0.67828418230563003</v>
      </c>
      <c r="V1771" s="5">
        <f t="shared" si="139"/>
        <v>31.800405999999999</v>
      </c>
    </row>
    <row r="1772" spans="1:22" x14ac:dyDescent="0.25">
      <c r="A1772" s="2" t="s">
        <v>1806</v>
      </c>
      <c r="B1772" s="2" t="s">
        <v>18</v>
      </c>
      <c r="C1772" s="2" t="s">
        <v>33</v>
      </c>
      <c r="D1772" s="2" t="s">
        <v>28</v>
      </c>
      <c r="E1772" s="2">
        <v>439.24</v>
      </c>
      <c r="F1772" s="2">
        <v>11.01</v>
      </c>
      <c r="G1772" s="2">
        <v>25.81</v>
      </c>
      <c r="H1772" s="2">
        <v>0.7</v>
      </c>
      <c r="I1772" s="2">
        <v>0.8</v>
      </c>
      <c r="J1772" s="2">
        <v>21</v>
      </c>
      <c r="K1772" s="2" t="s">
        <v>21</v>
      </c>
      <c r="L1772" s="2">
        <v>4.6399999999999997</v>
      </c>
      <c r="M1772" s="2" t="s">
        <v>37</v>
      </c>
      <c r="N1772" s="2">
        <v>99.13</v>
      </c>
      <c r="O1772" s="2" t="s">
        <v>30</v>
      </c>
      <c r="P1772" s="2">
        <v>3.61</v>
      </c>
      <c r="Q1772" s="2">
        <v>13.31</v>
      </c>
      <c r="R1772" s="3">
        <f t="shared" si="135"/>
        <v>1585.6564000000001</v>
      </c>
      <c r="S1772" s="3">
        <f t="shared" si="136"/>
        <v>5846.2844000000005</v>
      </c>
      <c r="T1772" s="3">
        <f t="shared" si="137"/>
        <v>4260.6280000000006</v>
      </c>
      <c r="U1772" s="4">
        <f t="shared" si="138"/>
        <v>0.72877535687453043</v>
      </c>
      <c r="V1772" s="5">
        <f t="shared" si="139"/>
        <v>20.380735999999999</v>
      </c>
    </row>
    <row r="1773" spans="1:22" x14ac:dyDescent="0.25">
      <c r="A1773" s="2" t="s">
        <v>1807</v>
      </c>
      <c r="B1773" s="2" t="s">
        <v>18</v>
      </c>
      <c r="C1773" s="2" t="s">
        <v>33</v>
      </c>
      <c r="D1773" s="2" t="s">
        <v>28</v>
      </c>
      <c r="E1773" s="2">
        <v>486.27</v>
      </c>
      <c r="F1773" s="2">
        <v>8.9499999999999993</v>
      </c>
      <c r="G1773" s="2">
        <v>30.82</v>
      </c>
      <c r="H1773" s="2">
        <v>1.9</v>
      </c>
      <c r="I1773" s="2">
        <v>1.2</v>
      </c>
      <c r="J1773" s="2">
        <v>17</v>
      </c>
      <c r="K1773" s="2" t="s">
        <v>34</v>
      </c>
      <c r="L1773" s="2">
        <v>1.75</v>
      </c>
      <c r="M1773" s="2" t="s">
        <v>37</v>
      </c>
      <c r="N1773" s="2">
        <v>50.62</v>
      </c>
      <c r="O1773" s="2" t="s">
        <v>23</v>
      </c>
      <c r="P1773" s="2">
        <v>6.89</v>
      </c>
      <c r="Q1773" s="2">
        <v>13.36</v>
      </c>
      <c r="R1773" s="3">
        <f t="shared" si="135"/>
        <v>3350.4002999999998</v>
      </c>
      <c r="S1773" s="3">
        <f t="shared" si="136"/>
        <v>6496.5671999999995</v>
      </c>
      <c r="T1773" s="3">
        <f t="shared" si="137"/>
        <v>3146.1668999999997</v>
      </c>
      <c r="U1773" s="4">
        <f t="shared" si="138"/>
        <v>0.4842814371257485</v>
      </c>
      <c r="V1773" s="5">
        <f t="shared" si="139"/>
        <v>8.5097249999999995</v>
      </c>
    </row>
    <row r="1774" spans="1:22" x14ac:dyDescent="0.25">
      <c r="A1774" s="2" t="s">
        <v>1808</v>
      </c>
      <c r="B1774" s="2" t="s">
        <v>32</v>
      </c>
      <c r="C1774" s="2" t="s">
        <v>27</v>
      </c>
      <c r="D1774" s="2" t="s">
        <v>28</v>
      </c>
      <c r="E1774" s="2">
        <v>595.78</v>
      </c>
      <c r="F1774" s="2">
        <v>15.58</v>
      </c>
      <c r="G1774" s="2">
        <v>20.47</v>
      </c>
      <c r="H1774" s="2">
        <v>3.4</v>
      </c>
      <c r="I1774" s="2">
        <v>0.5</v>
      </c>
      <c r="J1774" s="2">
        <v>2</v>
      </c>
      <c r="K1774" s="2" t="s">
        <v>34</v>
      </c>
      <c r="L1774" s="2">
        <v>3.73</v>
      </c>
      <c r="M1774" s="2" t="s">
        <v>22</v>
      </c>
      <c r="N1774" s="2">
        <v>94.31</v>
      </c>
      <c r="O1774" s="2" t="s">
        <v>23</v>
      </c>
      <c r="P1774" s="2">
        <v>9.9499999999999993</v>
      </c>
      <c r="Q1774" s="2">
        <v>10.9</v>
      </c>
      <c r="R1774" s="3">
        <f t="shared" si="135"/>
        <v>5928.0109999999995</v>
      </c>
      <c r="S1774" s="3">
        <f t="shared" si="136"/>
        <v>6494.0019999999995</v>
      </c>
      <c r="T1774" s="3">
        <f t="shared" si="137"/>
        <v>565.99099999999999</v>
      </c>
      <c r="U1774" s="4">
        <f t="shared" si="138"/>
        <v>8.7155963302752298E-2</v>
      </c>
      <c r="V1774" s="5">
        <f t="shared" si="139"/>
        <v>22.222594000000001</v>
      </c>
    </row>
    <row r="1775" spans="1:22" x14ac:dyDescent="0.25">
      <c r="A1775" s="2" t="s">
        <v>1809</v>
      </c>
      <c r="B1775" s="2" t="s">
        <v>26</v>
      </c>
      <c r="C1775" s="2" t="s">
        <v>27</v>
      </c>
      <c r="D1775" s="2" t="s">
        <v>28</v>
      </c>
      <c r="E1775" s="2">
        <v>520.76</v>
      </c>
      <c r="F1775" s="2">
        <v>14.06</v>
      </c>
      <c r="G1775" s="2">
        <v>21.6</v>
      </c>
      <c r="H1775" s="2">
        <v>2.9</v>
      </c>
      <c r="I1775" s="2">
        <v>1.9</v>
      </c>
      <c r="J1775" s="2">
        <v>18</v>
      </c>
      <c r="K1775" s="2" t="s">
        <v>34</v>
      </c>
      <c r="L1775" s="2">
        <v>5.39</v>
      </c>
      <c r="M1775" s="2" t="s">
        <v>37</v>
      </c>
      <c r="N1775" s="2">
        <v>67.680000000000007</v>
      </c>
      <c r="O1775" s="2" t="s">
        <v>24</v>
      </c>
      <c r="P1775" s="2">
        <v>4.0199999999999996</v>
      </c>
      <c r="Q1775" s="2">
        <v>11.33</v>
      </c>
      <c r="R1775" s="3">
        <f t="shared" si="135"/>
        <v>2093.4551999999999</v>
      </c>
      <c r="S1775" s="3">
        <f t="shared" si="136"/>
        <v>5900.2107999999998</v>
      </c>
      <c r="T1775" s="3">
        <f t="shared" si="137"/>
        <v>3806.7556</v>
      </c>
      <c r="U1775" s="4">
        <f t="shared" si="138"/>
        <v>0.64518976169461606</v>
      </c>
      <c r="V1775" s="5">
        <f t="shared" si="139"/>
        <v>28.068963999999998</v>
      </c>
    </row>
    <row r="1776" spans="1:22" x14ac:dyDescent="0.25">
      <c r="A1776" s="2" t="s">
        <v>1810</v>
      </c>
      <c r="B1776" s="2" t="s">
        <v>18</v>
      </c>
      <c r="C1776" s="2" t="s">
        <v>43</v>
      </c>
      <c r="D1776" s="2" t="s">
        <v>28</v>
      </c>
      <c r="E1776" s="2">
        <v>530.77</v>
      </c>
      <c r="F1776" s="2">
        <v>13.7</v>
      </c>
      <c r="G1776" s="2">
        <v>28.36</v>
      </c>
      <c r="H1776" s="2">
        <v>0.6</v>
      </c>
      <c r="I1776" s="2">
        <v>1.5</v>
      </c>
      <c r="J1776" s="2">
        <v>15</v>
      </c>
      <c r="K1776" s="2" t="s">
        <v>34</v>
      </c>
      <c r="L1776" s="2">
        <v>8.59</v>
      </c>
      <c r="M1776" s="2" t="s">
        <v>37</v>
      </c>
      <c r="N1776" s="2">
        <v>56.63</v>
      </c>
      <c r="O1776" s="2" t="s">
        <v>23</v>
      </c>
      <c r="P1776" s="2">
        <v>3.7</v>
      </c>
      <c r="Q1776" s="2">
        <v>14.22</v>
      </c>
      <c r="R1776" s="3">
        <f t="shared" si="135"/>
        <v>1963.8489999999999</v>
      </c>
      <c r="S1776" s="3">
        <f t="shared" si="136"/>
        <v>7547.5493999999999</v>
      </c>
      <c r="T1776" s="3">
        <f t="shared" si="137"/>
        <v>5583.7003999999997</v>
      </c>
      <c r="U1776" s="4">
        <f t="shared" si="138"/>
        <v>0.7398030942334739</v>
      </c>
      <c r="V1776" s="5">
        <f t="shared" si="139"/>
        <v>45.593142999999998</v>
      </c>
    </row>
    <row r="1777" spans="1:22" x14ac:dyDescent="0.25">
      <c r="A1777" s="2" t="s">
        <v>1811</v>
      </c>
      <c r="B1777" s="2" t="s">
        <v>26</v>
      </c>
      <c r="C1777" s="2" t="s">
        <v>27</v>
      </c>
      <c r="D1777" s="2" t="s">
        <v>28</v>
      </c>
      <c r="E1777" s="2">
        <v>390.45</v>
      </c>
      <c r="F1777" s="2">
        <v>8.5399999999999991</v>
      </c>
      <c r="G1777" s="2">
        <v>38.86</v>
      </c>
      <c r="H1777" s="2">
        <v>0.6</v>
      </c>
      <c r="I1777" s="2">
        <v>0.1</v>
      </c>
      <c r="J1777" s="2">
        <v>20</v>
      </c>
      <c r="K1777" s="2" t="s">
        <v>29</v>
      </c>
      <c r="L1777" s="2">
        <v>6.6</v>
      </c>
      <c r="M1777" s="2" t="s">
        <v>22</v>
      </c>
      <c r="N1777" s="2">
        <v>57.87</v>
      </c>
      <c r="O1777" s="2" t="s">
        <v>24</v>
      </c>
      <c r="P1777" s="2">
        <v>6.07</v>
      </c>
      <c r="Q1777" s="2">
        <v>14.3</v>
      </c>
      <c r="R1777" s="3">
        <f t="shared" si="135"/>
        <v>2370.0315000000001</v>
      </c>
      <c r="S1777" s="3">
        <f t="shared" si="136"/>
        <v>5583.4350000000004</v>
      </c>
      <c r="T1777" s="3">
        <f t="shared" si="137"/>
        <v>3213.4035000000003</v>
      </c>
      <c r="U1777" s="4">
        <f t="shared" si="138"/>
        <v>0.5755244755244755</v>
      </c>
      <c r="V1777" s="5">
        <f t="shared" si="139"/>
        <v>25.769699999999997</v>
      </c>
    </row>
    <row r="1778" spans="1:22" x14ac:dyDescent="0.25">
      <c r="A1778" s="2" t="s">
        <v>1812</v>
      </c>
      <c r="B1778" s="2" t="s">
        <v>45</v>
      </c>
      <c r="C1778" s="2" t="s">
        <v>43</v>
      </c>
      <c r="D1778" s="2" t="s">
        <v>20</v>
      </c>
      <c r="E1778" s="2">
        <v>411.92</v>
      </c>
      <c r="F1778" s="2">
        <v>9.4</v>
      </c>
      <c r="G1778" s="2">
        <v>34.43</v>
      </c>
      <c r="H1778" s="2">
        <v>6.8</v>
      </c>
      <c r="I1778" s="2">
        <v>1</v>
      </c>
      <c r="J1778" s="2">
        <v>23</v>
      </c>
      <c r="K1778" s="2" t="s">
        <v>34</v>
      </c>
      <c r="L1778" s="2">
        <v>2.17</v>
      </c>
      <c r="M1778" s="2" t="s">
        <v>40</v>
      </c>
      <c r="N1778" s="2">
        <v>85.06</v>
      </c>
      <c r="O1778" s="2" t="s">
        <v>23</v>
      </c>
      <c r="P1778" s="2">
        <v>6.94</v>
      </c>
      <c r="Q1778" s="2">
        <v>11.64</v>
      </c>
      <c r="R1778" s="3">
        <f t="shared" si="135"/>
        <v>2858.7248000000004</v>
      </c>
      <c r="S1778" s="3">
        <f t="shared" si="136"/>
        <v>4794.7488000000003</v>
      </c>
      <c r="T1778" s="3">
        <f t="shared" si="137"/>
        <v>1936.0239999999999</v>
      </c>
      <c r="U1778" s="4">
        <f t="shared" si="138"/>
        <v>0.40378006872852229</v>
      </c>
      <c r="V1778" s="5">
        <f t="shared" si="139"/>
        <v>8.9386639999999993</v>
      </c>
    </row>
    <row r="1779" spans="1:22" x14ac:dyDescent="0.25">
      <c r="A1779" s="2" t="s">
        <v>1813</v>
      </c>
      <c r="B1779" s="2" t="s">
        <v>18</v>
      </c>
      <c r="C1779" s="2" t="s">
        <v>19</v>
      </c>
      <c r="D1779" s="2" t="s">
        <v>28</v>
      </c>
      <c r="E1779" s="2">
        <v>679.87</v>
      </c>
      <c r="F1779" s="2">
        <v>14.23</v>
      </c>
      <c r="G1779" s="2">
        <v>21.76</v>
      </c>
      <c r="H1779" s="2">
        <v>0</v>
      </c>
      <c r="I1779" s="2">
        <v>0.3</v>
      </c>
      <c r="J1779" s="2">
        <v>3</v>
      </c>
      <c r="K1779" s="2" t="s">
        <v>29</v>
      </c>
      <c r="L1779" s="2">
        <v>2.0099999999999998</v>
      </c>
      <c r="M1779" s="2" t="s">
        <v>40</v>
      </c>
      <c r="N1779" s="2">
        <v>93.54</v>
      </c>
      <c r="O1779" s="2" t="s">
        <v>30</v>
      </c>
      <c r="P1779" s="2">
        <v>5.0599999999999996</v>
      </c>
      <c r="Q1779" s="2">
        <v>5.08</v>
      </c>
      <c r="R1779" s="3">
        <f t="shared" si="135"/>
        <v>3440.1421999999998</v>
      </c>
      <c r="S1779" s="3">
        <f t="shared" si="136"/>
        <v>3453.7395999999999</v>
      </c>
      <c r="T1779" s="3">
        <f t="shared" si="137"/>
        <v>13.597400000000107</v>
      </c>
      <c r="U1779" s="4">
        <f t="shared" si="138"/>
        <v>3.9370078740157792E-3</v>
      </c>
      <c r="V1779" s="5">
        <f t="shared" si="139"/>
        <v>13.665386999999999</v>
      </c>
    </row>
    <row r="1780" spans="1:22" x14ac:dyDescent="0.25">
      <c r="A1780" s="2" t="s">
        <v>1814</v>
      </c>
      <c r="B1780" s="2" t="s">
        <v>26</v>
      </c>
      <c r="C1780" s="2" t="s">
        <v>43</v>
      </c>
      <c r="D1780" s="2" t="s">
        <v>20</v>
      </c>
      <c r="E1780" s="2">
        <v>426.48</v>
      </c>
      <c r="F1780" s="2">
        <v>10.08</v>
      </c>
      <c r="G1780" s="2">
        <v>36.93</v>
      </c>
      <c r="H1780" s="2">
        <v>4.2</v>
      </c>
      <c r="I1780" s="2">
        <v>0.8</v>
      </c>
      <c r="J1780" s="2">
        <v>5</v>
      </c>
      <c r="K1780" s="2" t="s">
        <v>29</v>
      </c>
      <c r="L1780" s="2">
        <v>4.42</v>
      </c>
      <c r="M1780" s="2" t="s">
        <v>40</v>
      </c>
      <c r="N1780" s="2">
        <v>82.05</v>
      </c>
      <c r="O1780" s="2" t="s">
        <v>23</v>
      </c>
      <c r="P1780" s="2">
        <v>5.12</v>
      </c>
      <c r="Q1780" s="2">
        <v>6.04</v>
      </c>
      <c r="R1780" s="3">
        <f t="shared" si="135"/>
        <v>2183.5776000000001</v>
      </c>
      <c r="S1780" s="3">
        <f t="shared" si="136"/>
        <v>2575.9392000000003</v>
      </c>
      <c r="T1780" s="3">
        <f t="shared" si="137"/>
        <v>392.36160000000018</v>
      </c>
      <c r="U1780" s="4">
        <f t="shared" si="138"/>
        <v>0.15231788079470204</v>
      </c>
      <c r="V1780" s="5">
        <f t="shared" si="139"/>
        <v>18.850415999999999</v>
      </c>
    </row>
    <row r="1781" spans="1:22" x14ac:dyDescent="0.25">
      <c r="A1781" s="2" t="s">
        <v>1815</v>
      </c>
      <c r="B1781" s="2" t="s">
        <v>26</v>
      </c>
      <c r="C1781" s="2" t="s">
        <v>27</v>
      </c>
      <c r="D1781" s="2" t="s">
        <v>28</v>
      </c>
      <c r="E1781" s="2">
        <v>665.62</v>
      </c>
      <c r="F1781" s="2">
        <v>13.04</v>
      </c>
      <c r="G1781" s="2">
        <v>34.65</v>
      </c>
      <c r="H1781" s="2">
        <v>0.4</v>
      </c>
      <c r="I1781" s="2">
        <v>3.1</v>
      </c>
      <c r="J1781" s="2">
        <v>11</v>
      </c>
      <c r="K1781" s="2" t="s">
        <v>29</v>
      </c>
      <c r="L1781" s="2">
        <v>1.21</v>
      </c>
      <c r="M1781" s="2" t="s">
        <v>37</v>
      </c>
      <c r="N1781" s="2">
        <v>96.44</v>
      </c>
      <c r="O1781" s="2" t="s">
        <v>30</v>
      </c>
      <c r="P1781" s="2">
        <v>5.97</v>
      </c>
      <c r="Q1781" s="2">
        <v>13.58</v>
      </c>
      <c r="R1781" s="3">
        <f t="shared" si="135"/>
        <v>3973.7513999999996</v>
      </c>
      <c r="S1781" s="3">
        <f t="shared" si="136"/>
        <v>9039.1196</v>
      </c>
      <c r="T1781" s="3">
        <f t="shared" si="137"/>
        <v>5065.3682000000008</v>
      </c>
      <c r="U1781" s="4">
        <f t="shared" si="138"/>
        <v>0.56038291605301926</v>
      </c>
      <c r="V1781" s="5">
        <f t="shared" si="139"/>
        <v>8.0540019999999988</v>
      </c>
    </row>
    <row r="1782" spans="1:22" x14ac:dyDescent="0.25">
      <c r="A1782" s="2" t="s">
        <v>1816</v>
      </c>
      <c r="B1782" s="2" t="s">
        <v>45</v>
      </c>
      <c r="C1782" s="2" t="s">
        <v>27</v>
      </c>
      <c r="D1782" s="2" t="s">
        <v>28</v>
      </c>
      <c r="E1782" s="2">
        <v>475.69</v>
      </c>
      <c r="F1782" s="2">
        <v>13.45</v>
      </c>
      <c r="G1782" s="2">
        <v>32.22</v>
      </c>
      <c r="H1782" s="2">
        <v>5.9</v>
      </c>
      <c r="I1782" s="2">
        <v>2.1</v>
      </c>
      <c r="J1782" s="2">
        <v>9</v>
      </c>
      <c r="K1782" s="2" t="s">
        <v>21</v>
      </c>
      <c r="L1782" s="2">
        <v>7.68</v>
      </c>
      <c r="M1782" s="2" t="s">
        <v>37</v>
      </c>
      <c r="N1782" s="2">
        <v>92.12</v>
      </c>
      <c r="O1782" s="2" t="s">
        <v>24</v>
      </c>
      <c r="P1782" s="2">
        <v>5.2</v>
      </c>
      <c r="Q1782" s="2">
        <v>5.85</v>
      </c>
      <c r="R1782" s="3">
        <f t="shared" si="135"/>
        <v>2473.5880000000002</v>
      </c>
      <c r="S1782" s="3">
        <f t="shared" si="136"/>
        <v>2782.7864999999997</v>
      </c>
      <c r="T1782" s="3">
        <f t="shared" si="137"/>
        <v>309.19849999999951</v>
      </c>
      <c r="U1782" s="4">
        <f t="shared" si="138"/>
        <v>0.11111111111111095</v>
      </c>
      <c r="V1782" s="5">
        <f t="shared" si="139"/>
        <v>36.532992</v>
      </c>
    </row>
    <row r="1783" spans="1:22" x14ac:dyDescent="0.25">
      <c r="A1783" s="2" t="s">
        <v>1817</v>
      </c>
      <c r="B1783" s="2" t="s">
        <v>26</v>
      </c>
      <c r="C1783" s="2" t="s">
        <v>19</v>
      </c>
      <c r="D1783" s="2" t="s">
        <v>20</v>
      </c>
      <c r="E1783" s="2">
        <v>500.23</v>
      </c>
      <c r="F1783" s="2">
        <v>10.84</v>
      </c>
      <c r="G1783" s="2">
        <v>36.409999999999997</v>
      </c>
      <c r="H1783" s="2">
        <v>0.8</v>
      </c>
      <c r="I1783" s="2">
        <v>0.5</v>
      </c>
      <c r="J1783" s="2">
        <v>5</v>
      </c>
      <c r="K1783" s="2" t="s">
        <v>29</v>
      </c>
      <c r="L1783" s="2">
        <v>4.3099999999999996</v>
      </c>
      <c r="M1783" s="2" t="s">
        <v>22</v>
      </c>
      <c r="N1783" s="2">
        <v>50.45</v>
      </c>
      <c r="O1783" s="2" t="s">
        <v>24</v>
      </c>
      <c r="P1783" s="2">
        <v>9.41</v>
      </c>
      <c r="Q1783" s="2">
        <v>7.14</v>
      </c>
      <c r="R1783" s="3">
        <f t="shared" si="135"/>
        <v>4707.1643000000004</v>
      </c>
      <c r="S1783" s="3">
        <f t="shared" si="136"/>
        <v>3571.6421999999998</v>
      </c>
      <c r="T1783" s="3">
        <f t="shared" si="137"/>
        <v>-1135.5221000000006</v>
      </c>
      <c r="U1783" s="4">
        <f t="shared" si="138"/>
        <v>-0.31792717086834754</v>
      </c>
      <c r="V1783" s="5">
        <f t="shared" si="139"/>
        <v>21.559912999999998</v>
      </c>
    </row>
    <row r="1784" spans="1:22" x14ac:dyDescent="0.25">
      <c r="A1784" s="2" t="s">
        <v>1818</v>
      </c>
      <c r="B1784" s="2" t="s">
        <v>26</v>
      </c>
      <c r="C1784" s="2" t="s">
        <v>27</v>
      </c>
      <c r="D1784" s="2" t="s">
        <v>20</v>
      </c>
      <c r="E1784" s="2">
        <v>607.04</v>
      </c>
      <c r="F1784" s="2">
        <v>17.48</v>
      </c>
      <c r="G1784" s="2">
        <v>28.08</v>
      </c>
      <c r="H1784" s="2">
        <v>1.2</v>
      </c>
      <c r="I1784" s="2">
        <v>0.3</v>
      </c>
      <c r="J1784" s="2">
        <v>25</v>
      </c>
      <c r="K1784" s="2" t="s">
        <v>21</v>
      </c>
      <c r="L1784" s="2">
        <v>3.76</v>
      </c>
      <c r="M1784" s="2" t="s">
        <v>37</v>
      </c>
      <c r="N1784" s="2">
        <v>83.47</v>
      </c>
      <c r="O1784" s="2" t="s">
        <v>24</v>
      </c>
      <c r="P1784" s="2">
        <v>3.29</v>
      </c>
      <c r="Q1784" s="2">
        <v>7.31</v>
      </c>
      <c r="R1784" s="3">
        <f t="shared" si="135"/>
        <v>1997.1615999999999</v>
      </c>
      <c r="S1784" s="3">
        <f t="shared" si="136"/>
        <v>4437.4623999999994</v>
      </c>
      <c r="T1784" s="3">
        <f t="shared" si="137"/>
        <v>2440.3007999999995</v>
      </c>
      <c r="U1784" s="4">
        <f t="shared" si="138"/>
        <v>0.54993160054719559</v>
      </c>
      <c r="V1784" s="5">
        <f t="shared" si="139"/>
        <v>22.824703999999997</v>
      </c>
    </row>
    <row r="1785" spans="1:22" x14ac:dyDescent="0.25">
      <c r="A1785" s="2" t="s">
        <v>1819</v>
      </c>
      <c r="B1785" s="2" t="s">
        <v>45</v>
      </c>
      <c r="C1785" s="2" t="s">
        <v>27</v>
      </c>
      <c r="D1785" s="2" t="s">
        <v>28</v>
      </c>
      <c r="E1785" s="2">
        <v>627.19000000000005</v>
      </c>
      <c r="F1785" s="2">
        <v>16.420000000000002</v>
      </c>
      <c r="G1785" s="2">
        <v>24.43</v>
      </c>
      <c r="H1785" s="2">
        <v>2.5</v>
      </c>
      <c r="I1785" s="2">
        <v>0.3</v>
      </c>
      <c r="J1785" s="2">
        <v>1</v>
      </c>
      <c r="K1785" s="2" t="s">
        <v>29</v>
      </c>
      <c r="L1785" s="2">
        <v>5.34</v>
      </c>
      <c r="M1785" s="2" t="s">
        <v>37</v>
      </c>
      <c r="N1785" s="2">
        <v>65.23</v>
      </c>
      <c r="O1785" s="2" t="s">
        <v>24</v>
      </c>
      <c r="P1785" s="2">
        <v>4.6399999999999997</v>
      </c>
      <c r="Q1785" s="2">
        <v>11</v>
      </c>
      <c r="R1785" s="3">
        <f t="shared" si="135"/>
        <v>2910.1615999999999</v>
      </c>
      <c r="S1785" s="3">
        <f t="shared" si="136"/>
        <v>6899.09</v>
      </c>
      <c r="T1785" s="3">
        <f t="shared" si="137"/>
        <v>3988.9284000000002</v>
      </c>
      <c r="U1785" s="4">
        <f t="shared" si="138"/>
        <v>0.57818181818181824</v>
      </c>
      <c r="V1785" s="5">
        <f t="shared" si="139"/>
        <v>33.491946000000006</v>
      </c>
    </row>
    <row r="1786" spans="1:22" x14ac:dyDescent="0.25">
      <c r="A1786" s="2" t="s">
        <v>1820</v>
      </c>
      <c r="B1786" s="2" t="s">
        <v>18</v>
      </c>
      <c r="C1786" s="2" t="s">
        <v>33</v>
      </c>
      <c r="D1786" s="2" t="s">
        <v>20</v>
      </c>
      <c r="E1786" s="2">
        <v>488.92</v>
      </c>
      <c r="F1786" s="2">
        <v>15.22</v>
      </c>
      <c r="G1786" s="2">
        <v>30.24</v>
      </c>
      <c r="H1786" s="2">
        <v>1.8</v>
      </c>
      <c r="I1786" s="2">
        <v>0.8</v>
      </c>
      <c r="J1786" s="2">
        <v>25</v>
      </c>
      <c r="K1786" s="2" t="s">
        <v>21</v>
      </c>
      <c r="L1786" s="2">
        <v>7.24</v>
      </c>
      <c r="M1786" s="2" t="s">
        <v>40</v>
      </c>
      <c r="N1786" s="2">
        <v>72.73</v>
      </c>
      <c r="O1786" s="2" t="s">
        <v>23</v>
      </c>
      <c r="P1786" s="2">
        <v>8.66</v>
      </c>
      <c r="Q1786" s="2">
        <v>10.77</v>
      </c>
      <c r="R1786" s="3">
        <f t="shared" si="135"/>
        <v>4234.0472</v>
      </c>
      <c r="S1786" s="3">
        <f t="shared" si="136"/>
        <v>5265.6683999999996</v>
      </c>
      <c r="T1786" s="3">
        <f t="shared" si="137"/>
        <v>1031.6211999999996</v>
      </c>
      <c r="U1786" s="4">
        <f t="shared" si="138"/>
        <v>0.19591457753017635</v>
      </c>
      <c r="V1786" s="5">
        <f t="shared" si="139"/>
        <v>35.397807999999998</v>
      </c>
    </row>
    <row r="1787" spans="1:22" x14ac:dyDescent="0.25">
      <c r="A1787" s="2" t="s">
        <v>1821</v>
      </c>
      <c r="B1787" s="2" t="s">
        <v>26</v>
      </c>
      <c r="C1787" s="2" t="s">
        <v>33</v>
      </c>
      <c r="D1787" s="2" t="s">
        <v>20</v>
      </c>
      <c r="E1787" s="2">
        <v>461.18</v>
      </c>
      <c r="F1787" s="2">
        <v>8.7799999999999994</v>
      </c>
      <c r="G1787" s="2">
        <v>30.98</v>
      </c>
      <c r="H1787" s="2">
        <v>0.8</v>
      </c>
      <c r="I1787" s="2">
        <v>0.1</v>
      </c>
      <c r="J1787" s="2">
        <v>14</v>
      </c>
      <c r="K1787" s="2" t="s">
        <v>21</v>
      </c>
      <c r="L1787" s="2">
        <v>5.91</v>
      </c>
      <c r="M1787" s="2" t="s">
        <v>37</v>
      </c>
      <c r="N1787" s="2">
        <v>54.7</v>
      </c>
      <c r="O1787" s="2" t="s">
        <v>23</v>
      </c>
      <c r="P1787" s="2">
        <v>8.84</v>
      </c>
      <c r="Q1787" s="2">
        <v>7.89</v>
      </c>
      <c r="R1787" s="3">
        <f t="shared" si="135"/>
        <v>4076.8312000000001</v>
      </c>
      <c r="S1787" s="3">
        <f t="shared" si="136"/>
        <v>3638.7102</v>
      </c>
      <c r="T1787" s="3">
        <f t="shared" si="137"/>
        <v>-438.12100000000009</v>
      </c>
      <c r="U1787" s="4">
        <f t="shared" si="138"/>
        <v>-0.12040557667934096</v>
      </c>
      <c r="V1787" s="5">
        <f t="shared" si="139"/>
        <v>27.255738000000001</v>
      </c>
    </row>
    <row r="1788" spans="1:22" x14ac:dyDescent="0.25">
      <c r="A1788" s="2" t="s">
        <v>1822</v>
      </c>
      <c r="B1788" s="2" t="s">
        <v>26</v>
      </c>
      <c r="C1788" s="2" t="s">
        <v>19</v>
      </c>
      <c r="D1788" s="2" t="s">
        <v>20</v>
      </c>
      <c r="E1788" s="2">
        <v>494.41</v>
      </c>
      <c r="F1788" s="2">
        <v>9.06</v>
      </c>
      <c r="G1788" s="2">
        <v>30.77</v>
      </c>
      <c r="H1788" s="2">
        <v>1.6</v>
      </c>
      <c r="I1788" s="2">
        <v>0.8</v>
      </c>
      <c r="J1788" s="2">
        <v>5</v>
      </c>
      <c r="K1788" s="2" t="s">
        <v>34</v>
      </c>
      <c r="L1788" s="2">
        <v>8.1199999999999992</v>
      </c>
      <c r="M1788" s="2" t="s">
        <v>37</v>
      </c>
      <c r="N1788" s="2">
        <v>64.099999999999994</v>
      </c>
      <c r="O1788" s="2" t="s">
        <v>23</v>
      </c>
      <c r="P1788" s="2">
        <v>3.78</v>
      </c>
      <c r="Q1788" s="2">
        <v>7.08</v>
      </c>
      <c r="R1788" s="3">
        <f t="shared" si="135"/>
        <v>1868.8697999999999</v>
      </c>
      <c r="S1788" s="3">
        <f t="shared" si="136"/>
        <v>3500.4228000000003</v>
      </c>
      <c r="T1788" s="3">
        <f t="shared" si="137"/>
        <v>1631.5530000000003</v>
      </c>
      <c r="U1788" s="4">
        <f t="shared" si="138"/>
        <v>0.46610169491525427</v>
      </c>
      <c r="V1788" s="5">
        <f t="shared" si="139"/>
        <v>40.146091999999996</v>
      </c>
    </row>
    <row r="1789" spans="1:22" x14ac:dyDescent="0.25">
      <c r="A1789" s="2" t="s">
        <v>1823</v>
      </c>
      <c r="B1789" s="2" t="s">
        <v>26</v>
      </c>
      <c r="C1789" s="2" t="s">
        <v>43</v>
      </c>
      <c r="D1789" s="2" t="s">
        <v>20</v>
      </c>
      <c r="E1789" s="2">
        <v>533.79999999999995</v>
      </c>
      <c r="F1789" s="2">
        <v>12.93</v>
      </c>
      <c r="G1789" s="2">
        <v>31.3</v>
      </c>
      <c r="H1789" s="2">
        <v>2.6</v>
      </c>
      <c r="I1789" s="2">
        <v>0</v>
      </c>
      <c r="J1789" s="2">
        <v>8</v>
      </c>
      <c r="K1789" s="2" t="s">
        <v>29</v>
      </c>
      <c r="L1789" s="2">
        <v>6.48</v>
      </c>
      <c r="M1789" s="2" t="s">
        <v>37</v>
      </c>
      <c r="N1789" s="2">
        <v>81.63</v>
      </c>
      <c r="O1789" s="2" t="s">
        <v>30</v>
      </c>
      <c r="P1789" s="2">
        <v>9.82</v>
      </c>
      <c r="Q1789" s="2">
        <v>12.65</v>
      </c>
      <c r="R1789" s="3">
        <f t="shared" si="135"/>
        <v>5241.9159999999993</v>
      </c>
      <c r="S1789" s="3">
        <f t="shared" si="136"/>
        <v>6752.57</v>
      </c>
      <c r="T1789" s="3">
        <f t="shared" si="137"/>
        <v>1510.6540000000005</v>
      </c>
      <c r="U1789" s="4">
        <f t="shared" si="138"/>
        <v>0.22371541501976291</v>
      </c>
      <c r="V1789" s="5">
        <f t="shared" si="139"/>
        <v>34.590240000000001</v>
      </c>
    </row>
    <row r="1790" spans="1:22" x14ac:dyDescent="0.25">
      <c r="A1790" s="2" t="s">
        <v>1824</v>
      </c>
      <c r="B1790" s="2" t="s">
        <v>32</v>
      </c>
      <c r="C1790" s="2" t="s">
        <v>33</v>
      </c>
      <c r="D1790" s="2" t="s">
        <v>28</v>
      </c>
      <c r="E1790" s="2">
        <v>589.13</v>
      </c>
      <c r="F1790" s="2">
        <v>9.61</v>
      </c>
      <c r="G1790" s="2">
        <v>38.97</v>
      </c>
      <c r="H1790" s="2">
        <v>0.1</v>
      </c>
      <c r="I1790" s="2">
        <v>0.4</v>
      </c>
      <c r="J1790" s="2">
        <v>21</v>
      </c>
      <c r="K1790" s="2" t="s">
        <v>21</v>
      </c>
      <c r="L1790" s="2">
        <v>7.99</v>
      </c>
      <c r="M1790" s="2" t="s">
        <v>22</v>
      </c>
      <c r="N1790" s="2">
        <v>60.92</v>
      </c>
      <c r="O1790" s="2" t="s">
        <v>23</v>
      </c>
      <c r="P1790" s="2">
        <v>7.85</v>
      </c>
      <c r="Q1790" s="2">
        <v>14.35</v>
      </c>
      <c r="R1790" s="3">
        <f t="shared" si="135"/>
        <v>4624.6705000000002</v>
      </c>
      <c r="S1790" s="3">
        <f t="shared" si="136"/>
        <v>8454.0154999999995</v>
      </c>
      <c r="T1790" s="3">
        <f t="shared" si="137"/>
        <v>3829.3449999999993</v>
      </c>
      <c r="U1790" s="4">
        <f t="shared" si="138"/>
        <v>0.45296167247386754</v>
      </c>
      <c r="V1790" s="5">
        <f t="shared" si="139"/>
        <v>47.071486999999998</v>
      </c>
    </row>
    <row r="1791" spans="1:22" x14ac:dyDescent="0.25">
      <c r="A1791" s="2" t="s">
        <v>1825</v>
      </c>
      <c r="B1791" s="2" t="s">
        <v>45</v>
      </c>
      <c r="C1791" s="2" t="s">
        <v>43</v>
      </c>
      <c r="D1791" s="2" t="s">
        <v>20</v>
      </c>
      <c r="E1791" s="2">
        <v>500.42</v>
      </c>
      <c r="F1791" s="2">
        <v>17.78</v>
      </c>
      <c r="G1791" s="2">
        <v>38.04</v>
      </c>
      <c r="H1791" s="2">
        <v>0</v>
      </c>
      <c r="I1791" s="2">
        <v>0.2</v>
      </c>
      <c r="J1791" s="2">
        <v>14</v>
      </c>
      <c r="K1791" s="2" t="s">
        <v>34</v>
      </c>
      <c r="L1791" s="2">
        <v>7.12</v>
      </c>
      <c r="M1791" s="2" t="s">
        <v>37</v>
      </c>
      <c r="N1791" s="2">
        <v>82.38</v>
      </c>
      <c r="O1791" s="2" t="s">
        <v>30</v>
      </c>
      <c r="P1791" s="2">
        <v>4.91</v>
      </c>
      <c r="Q1791" s="2">
        <v>5.53</v>
      </c>
      <c r="R1791" s="3">
        <f t="shared" si="135"/>
        <v>2457.0622000000003</v>
      </c>
      <c r="S1791" s="3">
        <f t="shared" si="136"/>
        <v>2767.3226000000004</v>
      </c>
      <c r="T1791" s="3">
        <f t="shared" si="137"/>
        <v>310.26040000000012</v>
      </c>
      <c r="U1791" s="4">
        <f t="shared" si="138"/>
        <v>0.11211573236889695</v>
      </c>
      <c r="V1791" s="5">
        <f t="shared" si="139"/>
        <v>35.629904000000003</v>
      </c>
    </row>
    <row r="1792" spans="1:22" x14ac:dyDescent="0.25">
      <c r="A1792" s="2" t="s">
        <v>1826</v>
      </c>
      <c r="B1792" s="2" t="s">
        <v>32</v>
      </c>
      <c r="C1792" s="2" t="s">
        <v>27</v>
      </c>
      <c r="D1792" s="2" t="s">
        <v>28</v>
      </c>
      <c r="E1792" s="2">
        <v>561.89</v>
      </c>
      <c r="F1792" s="2">
        <v>9.59</v>
      </c>
      <c r="G1792" s="2">
        <v>37.51</v>
      </c>
      <c r="H1792" s="2">
        <v>1.2</v>
      </c>
      <c r="I1792" s="2">
        <v>3.5</v>
      </c>
      <c r="J1792" s="2">
        <v>28</v>
      </c>
      <c r="K1792" s="2" t="s">
        <v>29</v>
      </c>
      <c r="L1792" s="2">
        <v>2.33</v>
      </c>
      <c r="M1792" s="2" t="s">
        <v>22</v>
      </c>
      <c r="N1792" s="2">
        <v>96.15</v>
      </c>
      <c r="O1792" s="2" t="s">
        <v>30</v>
      </c>
      <c r="P1792" s="2">
        <v>6.19</v>
      </c>
      <c r="Q1792" s="2">
        <v>6.33</v>
      </c>
      <c r="R1792" s="3">
        <f t="shared" si="135"/>
        <v>3478.0991000000004</v>
      </c>
      <c r="S1792" s="3">
        <f t="shared" si="136"/>
        <v>3556.7637</v>
      </c>
      <c r="T1792" s="3">
        <f t="shared" si="137"/>
        <v>78.664599999999609</v>
      </c>
      <c r="U1792" s="4">
        <f t="shared" si="138"/>
        <v>2.2116903633491201E-2</v>
      </c>
      <c r="V1792" s="5">
        <f t="shared" si="139"/>
        <v>13.092036999999999</v>
      </c>
    </row>
    <row r="1793" spans="1:22" x14ac:dyDescent="0.25">
      <c r="A1793" s="2" t="s">
        <v>1827</v>
      </c>
      <c r="B1793" s="2" t="s">
        <v>45</v>
      </c>
      <c r="C1793" s="2" t="s">
        <v>33</v>
      </c>
      <c r="D1793" s="2" t="s">
        <v>28</v>
      </c>
      <c r="E1793" s="2">
        <v>663.84</v>
      </c>
      <c r="F1793" s="2">
        <v>12.87</v>
      </c>
      <c r="G1793" s="2">
        <v>36.03</v>
      </c>
      <c r="H1793" s="2">
        <v>0.3</v>
      </c>
      <c r="I1793" s="2">
        <v>1.3</v>
      </c>
      <c r="J1793" s="2">
        <v>16</v>
      </c>
      <c r="K1793" s="2" t="s">
        <v>34</v>
      </c>
      <c r="L1793" s="2">
        <v>1</v>
      </c>
      <c r="M1793" s="2" t="s">
        <v>40</v>
      </c>
      <c r="N1793" s="2">
        <v>50.25</v>
      </c>
      <c r="O1793" s="2" t="s">
        <v>23</v>
      </c>
      <c r="P1793" s="2">
        <v>5.08</v>
      </c>
      <c r="Q1793" s="2">
        <v>11.42</v>
      </c>
      <c r="R1793" s="3">
        <f t="shared" si="135"/>
        <v>3372.3072000000002</v>
      </c>
      <c r="S1793" s="3">
        <f t="shared" si="136"/>
        <v>7581.0528000000004</v>
      </c>
      <c r="T1793" s="3">
        <f t="shared" si="137"/>
        <v>4208.7456000000002</v>
      </c>
      <c r="U1793" s="4">
        <f t="shared" si="138"/>
        <v>0.55516637478108577</v>
      </c>
      <c r="V1793" s="5">
        <f t="shared" si="139"/>
        <v>6.6384000000000007</v>
      </c>
    </row>
    <row r="1794" spans="1:22" x14ac:dyDescent="0.25">
      <c r="A1794" s="2" t="s">
        <v>1828</v>
      </c>
      <c r="B1794" s="2" t="s">
        <v>18</v>
      </c>
      <c r="C1794" s="2" t="s">
        <v>19</v>
      </c>
      <c r="D1794" s="2" t="s">
        <v>28</v>
      </c>
      <c r="E1794" s="2">
        <v>538.13</v>
      </c>
      <c r="F1794" s="2">
        <v>11.64</v>
      </c>
      <c r="G1794" s="2">
        <v>38.869999999999997</v>
      </c>
      <c r="H1794" s="2">
        <v>2.2000000000000002</v>
      </c>
      <c r="I1794" s="2">
        <v>0.4</v>
      </c>
      <c r="J1794" s="2">
        <v>6</v>
      </c>
      <c r="K1794" s="2" t="s">
        <v>21</v>
      </c>
      <c r="L1794" s="2">
        <v>9.08</v>
      </c>
      <c r="M1794" s="2" t="s">
        <v>37</v>
      </c>
      <c r="N1794" s="2">
        <v>89.29</v>
      </c>
      <c r="O1794" s="2" t="s">
        <v>30</v>
      </c>
      <c r="P1794" s="2">
        <v>4.05</v>
      </c>
      <c r="Q1794" s="2">
        <v>13.04</v>
      </c>
      <c r="R1794" s="3">
        <f t="shared" si="135"/>
        <v>2179.4265</v>
      </c>
      <c r="S1794" s="3">
        <f t="shared" si="136"/>
        <v>7017.2151999999996</v>
      </c>
      <c r="T1794" s="3">
        <f t="shared" si="137"/>
        <v>4837.7886999999992</v>
      </c>
      <c r="U1794" s="4">
        <f t="shared" si="138"/>
        <v>0.68941717791411039</v>
      </c>
      <c r="V1794" s="5">
        <f t="shared" si="139"/>
        <v>48.862203999999998</v>
      </c>
    </row>
    <row r="1795" spans="1:22" x14ac:dyDescent="0.25">
      <c r="A1795" s="2" t="s">
        <v>1829</v>
      </c>
      <c r="B1795" s="2" t="s">
        <v>18</v>
      </c>
      <c r="C1795" s="2" t="s">
        <v>19</v>
      </c>
      <c r="D1795" s="2" t="s">
        <v>28</v>
      </c>
      <c r="E1795" s="2">
        <v>531.16999999999996</v>
      </c>
      <c r="F1795" s="2">
        <v>14.39</v>
      </c>
      <c r="G1795" s="2">
        <v>21.97</v>
      </c>
      <c r="H1795" s="2">
        <v>0.5</v>
      </c>
      <c r="I1795" s="2">
        <v>0.1</v>
      </c>
      <c r="J1795" s="2">
        <v>8</v>
      </c>
      <c r="K1795" s="2" t="s">
        <v>34</v>
      </c>
      <c r="L1795" s="2">
        <v>9.48</v>
      </c>
      <c r="M1795" s="2" t="s">
        <v>22</v>
      </c>
      <c r="N1795" s="2">
        <v>82.07</v>
      </c>
      <c r="O1795" s="2" t="s">
        <v>24</v>
      </c>
      <c r="P1795" s="2">
        <v>5.04</v>
      </c>
      <c r="Q1795" s="2">
        <v>12.91</v>
      </c>
      <c r="R1795" s="3">
        <f t="shared" ref="R1795:R1858" si="140">E1795*P1795</f>
        <v>2677.0967999999998</v>
      </c>
      <c r="S1795" s="3">
        <f t="shared" ref="S1795:S1858" si="141">E1795*Q1795</f>
        <v>6857.4046999999991</v>
      </c>
      <c r="T1795" s="3">
        <f t="shared" ref="T1795:T1858" si="142">S1795-R1795</f>
        <v>4180.3078999999998</v>
      </c>
      <c r="U1795" s="4">
        <f t="shared" ref="U1795:U1858" si="143">T1795/S1795</f>
        <v>0.60960495739736642</v>
      </c>
      <c r="V1795" s="5">
        <f t="shared" ref="V1795:V1858" si="144">E1795*L1795/100</f>
        <v>50.354916000000003</v>
      </c>
    </row>
    <row r="1796" spans="1:22" x14ac:dyDescent="0.25">
      <c r="A1796" s="2" t="s">
        <v>1830</v>
      </c>
      <c r="B1796" s="2" t="s">
        <v>26</v>
      </c>
      <c r="C1796" s="2" t="s">
        <v>19</v>
      </c>
      <c r="D1796" s="2" t="s">
        <v>20</v>
      </c>
      <c r="E1796" s="2">
        <v>348.11</v>
      </c>
      <c r="F1796" s="2">
        <v>9.2899999999999991</v>
      </c>
      <c r="G1796" s="2">
        <v>25.3</v>
      </c>
      <c r="H1796" s="2">
        <v>1.1000000000000001</v>
      </c>
      <c r="I1796" s="2">
        <v>0.7</v>
      </c>
      <c r="J1796" s="2">
        <v>2</v>
      </c>
      <c r="K1796" s="2" t="s">
        <v>34</v>
      </c>
      <c r="L1796" s="2">
        <v>7.41</v>
      </c>
      <c r="M1796" s="2" t="s">
        <v>40</v>
      </c>
      <c r="N1796" s="2">
        <v>52.33</v>
      </c>
      <c r="O1796" s="2" t="s">
        <v>23</v>
      </c>
      <c r="P1796" s="2">
        <v>7.06</v>
      </c>
      <c r="Q1796" s="2">
        <v>12.2</v>
      </c>
      <c r="R1796" s="3">
        <f t="shared" si="140"/>
        <v>2457.6565999999998</v>
      </c>
      <c r="S1796" s="3">
        <f t="shared" si="141"/>
        <v>4246.942</v>
      </c>
      <c r="T1796" s="3">
        <f t="shared" si="142"/>
        <v>1789.2854000000002</v>
      </c>
      <c r="U1796" s="4">
        <f t="shared" si="143"/>
        <v>0.4213114754098361</v>
      </c>
      <c r="V1796" s="5">
        <f t="shared" si="144"/>
        <v>25.794951000000001</v>
      </c>
    </row>
    <row r="1797" spans="1:22" x14ac:dyDescent="0.25">
      <c r="A1797" s="2" t="s">
        <v>1831</v>
      </c>
      <c r="B1797" s="2" t="s">
        <v>45</v>
      </c>
      <c r="C1797" s="2" t="s">
        <v>33</v>
      </c>
      <c r="D1797" s="2" t="s">
        <v>20</v>
      </c>
      <c r="E1797" s="2">
        <v>236.93</v>
      </c>
      <c r="F1797" s="2">
        <v>12.3</v>
      </c>
      <c r="G1797" s="2">
        <v>29.9</v>
      </c>
      <c r="H1797" s="2">
        <v>0.4</v>
      </c>
      <c r="I1797" s="2">
        <v>0.2</v>
      </c>
      <c r="J1797" s="2">
        <v>19</v>
      </c>
      <c r="K1797" s="2" t="s">
        <v>29</v>
      </c>
      <c r="L1797" s="2">
        <v>7.38</v>
      </c>
      <c r="M1797" s="2" t="s">
        <v>37</v>
      </c>
      <c r="N1797" s="2">
        <v>89.51</v>
      </c>
      <c r="O1797" s="2" t="s">
        <v>23</v>
      </c>
      <c r="P1797" s="2">
        <v>8.7799999999999994</v>
      </c>
      <c r="Q1797" s="2">
        <v>13.87</v>
      </c>
      <c r="R1797" s="3">
        <f t="shared" si="140"/>
        <v>2080.2453999999998</v>
      </c>
      <c r="S1797" s="3">
        <f t="shared" si="141"/>
        <v>3286.2190999999998</v>
      </c>
      <c r="T1797" s="3">
        <f t="shared" si="142"/>
        <v>1205.9737</v>
      </c>
      <c r="U1797" s="4">
        <f t="shared" si="143"/>
        <v>0.36697909156452779</v>
      </c>
      <c r="V1797" s="5">
        <f t="shared" si="144"/>
        <v>17.485434000000001</v>
      </c>
    </row>
    <row r="1798" spans="1:22" x14ac:dyDescent="0.25">
      <c r="A1798" s="2" t="s">
        <v>1832</v>
      </c>
      <c r="B1798" s="2" t="s">
        <v>18</v>
      </c>
      <c r="C1798" s="2" t="s">
        <v>43</v>
      </c>
      <c r="D1798" s="2" t="s">
        <v>28</v>
      </c>
      <c r="E1798" s="2">
        <v>538.84</v>
      </c>
      <c r="F1798" s="2">
        <v>10.75</v>
      </c>
      <c r="G1798" s="2">
        <v>36.93</v>
      </c>
      <c r="H1798" s="2">
        <v>1.6</v>
      </c>
      <c r="I1798" s="2">
        <v>0.8</v>
      </c>
      <c r="J1798" s="2">
        <v>27</v>
      </c>
      <c r="K1798" s="2" t="s">
        <v>21</v>
      </c>
      <c r="L1798" s="2">
        <v>3.07</v>
      </c>
      <c r="M1798" s="2" t="s">
        <v>22</v>
      </c>
      <c r="N1798" s="2">
        <v>61.23</v>
      </c>
      <c r="O1798" s="2" t="s">
        <v>30</v>
      </c>
      <c r="P1798" s="2">
        <v>5.54</v>
      </c>
      <c r="Q1798" s="2">
        <v>7.17</v>
      </c>
      <c r="R1798" s="3">
        <f t="shared" si="140"/>
        <v>2985.1736000000001</v>
      </c>
      <c r="S1798" s="3">
        <f t="shared" si="141"/>
        <v>3863.4828000000002</v>
      </c>
      <c r="T1798" s="3">
        <f t="shared" si="142"/>
        <v>878.30920000000015</v>
      </c>
      <c r="U1798" s="4">
        <f t="shared" si="143"/>
        <v>0.22733612273361231</v>
      </c>
      <c r="V1798" s="5">
        <f t="shared" si="144"/>
        <v>16.542388000000003</v>
      </c>
    </row>
    <row r="1799" spans="1:22" x14ac:dyDescent="0.25">
      <c r="A1799" s="2" t="s">
        <v>1833</v>
      </c>
      <c r="B1799" s="2" t="s">
        <v>45</v>
      </c>
      <c r="C1799" s="2" t="s">
        <v>27</v>
      </c>
      <c r="D1799" s="2" t="s">
        <v>28</v>
      </c>
      <c r="E1799" s="2">
        <v>490.52</v>
      </c>
      <c r="F1799" s="2">
        <v>16.88</v>
      </c>
      <c r="G1799" s="2">
        <v>30.1</v>
      </c>
      <c r="H1799" s="2">
        <v>0.2</v>
      </c>
      <c r="I1799" s="2">
        <v>1.8</v>
      </c>
      <c r="J1799" s="2">
        <v>9</v>
      </c>
      <c r="K1799" s="2" t="s">
        <v>29</v>
      </c>
      <c r="L1799" s="2">
        <v>5.65</v>
      </c>
      <c r="M1799" s="2" t="s">
        <v>22</v>
      </c>
      <c r="N1799" s="2">
        <v>63.29</v>
      </c>
      <c r="O1799" s="2" t="s">
        <v>23</v>
      </c>
      <c r="P1799" s="2">
        <v>5.44</v>
      </c>
      <c r="Q1799" s="2">
        <v>6.07</v>
      </c>
      <c r="R1799" s="3">
        <f t="shared" si="140"/>
        <v>2668.4288000000001</v>
      </c>
      <c r="S1799" s="3">
        <f t="shared" si="141"/>
        <v>2977.4564</v>
      </c>
      <c r="T1799" s="3">
        <f t="shared" si="142"/>
        <v>309.02759999999989</v>
      </c>
      <c r="U1799" s="4">
        <f t="shared" si="143"/>
        <v>0.10378912685337723</v>
      </c>
      <c r="V1799" s="5">
        <f t="shared" si="144"/>
        <v>27.714380000000002</v>
      </c>
    </row>
    <row r="1800" spans="1:22" x14ac:dyDescent="0.25">
      <c r="A1800" s="2" t="s">
        <v>1834</v>
      </c>
      <c r="B1800" s="2" t="s">
        <v>18</v>
      </c>
      <c r="C1800" s="2" t="s">
        <v>43</v>
      </c>
      <c r="D1800" s="2" t="s">
        <v>28</v>
      </c>
      <c r="E1800" s="2">
        <v>448.52</v>
      </c>
      <c r="F1800" s="2">
        <v>8.41</v>
      </c>
      <c r="G1800" s="2">
        <v>34.96</v>
      </c>
      <c r="H1800" s="2">
        <v>0</v>
      </c>
      <c r="I1800" s="2">
        <v>1</v>
      </c>
      <c r="J1800" s="2">
        <v>5</v>
      </c>
      <c r="K1800" s="2" t="s">
        <v>29</v>
      </c>
      <c r="L1800" s="2">
        <v>9.93</v>
      </c>
      <c r="M1800" s="2" t="s">
        <v>40</v>
      </c>
      <c r="N1800" s="2">
        <v>54.68</v>
      </c>
      <c r="O1800" s="2" t="s">
        <v>23</v>
      </c>
      <c r="P1800" s="2">
        <v>6.28</v>
      </c>
      <c r="Q1800" s="2">
        <v>11.15</v>
      </c>
      <c r="R1800" s="3">
        <f t="shared" si="140"/>
        <v>2816.7055999999998</v>
      </c>
      <c r="S1800" s="3">
        <f t="shared" si="141"/>
        <v>5000.9979999999996</v>
      </c>
      <c r="T1800" s="3">
        <f t="shared" si="142"/>
        <v>2184.2923999999998</v>
      </c>
      <c r="U1800" s="4">
        <f t="shared" si="143"/>
        <v>0.43677130044843049</v>
      </c>
      <c r="V1800" s="5">
        <f t="shared" si="144"/>
        <v>44.538035999999991</v>
      </c>
    </row>
    <row r="1801" spans="1:22" x14ac:dyDescent="0.25">
      <c r="A1801" s="2" t="s">
        <v>1835</v>
      </c>
      <c r="B1801" s="2" t="s">
        <v>32</v>
      </c>
      <c r="C1801" s="2" t="s">
        <v>43</v>
      </c>
      <c r="D1801" s="2" t="s">
        <v>28</v>
      </c>
      <c r="E1801" s="2">
        <v>524.35</v>
      </c>
      <c r="F1801" s="2">
        <v>17.14</v>
      </c>
      <c r="G1801" s="2">
        <v>22.78</v>
      </c>
      <c r="H1801" s="2">
        <v>0.1</v>
      </c>
      <c r="I1801" s="2">
        <v>1</v>
      </c>
      <c r="J1801" s="2">
        <v>5</v>
      </c>
      <c r="K1801" s="2" t="s">
        <v>34</v>
      </c>
      <c r="L1801" s="2">
        <v>8.6300000000000008</v>
      </c>
      <c r="M1801" s="2" t="s">
        <v>37</v>
      </c>
      <c r="N1801" s="2">
        <v>76.72</v>
      </c>
      <c r="O1801" s="2" t="s">
        <v>30</v>
      </c>
      <c r="P1801" s="2">
        <v>7.51</v>
      </c>
      <c r="Q1801" s="2">
        <v>13.22</v>
      </c>
      <c r="R1801" s="3">
        <f t="shared" si="140"/>
        <v>3937.8685</v>
      </c>
      <c r="S1801" s="3">
        <f t="shared" si="141"/>
        <v>6931.9070000000011</v>
      </c>
      <c r="T1801" s="3">
        <f t="shared" si="142"/>
        <v>2994.038500000001</v>
      </c>
      <c r="U1801" s="4">
        <f t="shared" si="143"/>
        <v>0.43192133131618765</v>
      </c>
      <c r="V1801" s="5">
        <f t="shared" si="144"/>
        <v>45.251405000000005</v>
      </c>
    </row>
    <row r="1802" spans="1:22" x14ac:dyDescent="0.25">
      <c r="A1802" s="2" t="s">
        <v>1836</v>
      </c>
      <c r="B1802" s="2" t="s">
        <v>18</v>
      </c>
      <c r="C1802" s="2" t="s">
        <v>27</v>
      </c>
      <c r="D1802" s="2" t="s">
        <v>20</v>
      </c>
      <c r="E1802" s="2">
        <v>493.96</v>
      </c>
      <c r="F1802" s="2">
        <v>16.329999999999998</v>
      </c>
      <c r="G1802" s="2">
        <v>25.05</v>
      </c>
      <c r="H1802" s="2">
        <v>6.2</v>
      </c>
      <c r="I1802" s="2">
        <v>0.8</v>
      </c>
      <c r="J1802" s="2">
        <v>25</v>
      </c>
      <c r="K1802" s="2" t="s">
        <v>21</v>
      </c>
      <c r="L1802" s="2">
        <v>3.39</v>
      </c>
      <c r="M1802" s="2" t="s">
        <v>37</v>
      </c>
      <c r="N1802" s="2">
        <v>74.91</v>
      </c>
      <c r="O1802" s="2" t="s">
        <v>23</v>
      </c>
      <c r="P1802" s="2">
        <v>8.26</v>
      </c>
      <c r="Q1802" s="2">
        <v>10.82</v>
      </c>
      <c r="R1802" s="3">
        <f t="shared" si="140"/>
        <v>4080.1095999999998</v>
      </c>
      <c r="S1802" s="3">
        <f t="shared" si="141"/>
        <v>5344.6472000000003</v>
      </c>
      <c r="T1802" s="3">
        <f t="shared" si="142"/>
        <v>1264.5376000000006</v>
      </c>
      <c r="U1802" s="4">
        <f t="shared" si="143"/>
        <v>0.23659889094269879</v>
      </c>
      <c r="V1802" s="5">
        <f t="shared" si="144"/>
        <v>16.745244</v>
      </c>
    </row>
    <row r="1803" spans="1:22" x14ac:dyDescent="0.25">
      <c r="A1803" s="2" t="s">
        <v>1837</v>
      </c>
      <c r="B1803" s="2" t="s">
        <v>32</v>
      </c>
      <c r="C1803" s="2" t="s">
        <v>27</v>
      </c>
      <c r="D1803" s="2" t="s">
        <v>28</v>
      </c>
      <c r="E1803" s="2">
        <v>612.78</v>
      </c>
      <c r="F1803" s="2">
        <v>10.98</v>
      </c>
      <c r="G1803" s="2">
        <v>34.64</v>
      </c>
      <c r="H1803" s="2">
        <v>0.3</v>
      </c>
      <c r="I1803" s="2">
        <v>2.6</v>
      </c>
      <c r="J1803" s="2">
        <v>26</v>
      </c>
      <c r="K1803" s="2" t="s">
        <v>29</v>
      </c>
      <c r="L1803" s="2">
        <v>3.36</v>
      </c>
      <c r="M1803" s="2" t="s">
        <v>37</v>
      </c>
      <c r="N1803" s="2">
        <v>67.36</v>
      </c>
      <c r="O1803" s="2" t="s">
        <v>23</v>
      </c>
      <c r="P1803" s="2">
        <v>5.29</v>
      </c>
      <c r="Q1803" s="2">
        <v>14.63</v>
      </c>
      <c r="R1803" s="3">
        <f t="shared" si="140"/>
        <v>3241.6061999999997</v>
      </c>
      <c r="S1803" s="3">
        <f t="shared" si="141"/>
        <v>8964.9714000000004</v>
      </c>
      <c r="T1803" s="3">
        <f t="shared" si="142"/>
        <v>5723.3652000000002</v>
      </c>
      <c r="U1803" s="4">
        <f t="shared" si="143"/>
        <v>0.63841421736158577</v>
      </c>
      <c r="V1803" s="5">
        <f t="shared" si="144"/>
        <v>20.589407999999999</v>
      </c>
    </row>
    <row r="1804" spans="1:22" x14ac:dyDescent="0.25">
      <c r="A1804" s="2" t="s">
        <v>1838</v>
      </c>
      <c r="B1804" s="2" t="s">
        <v>18</v>
      </c>
      <c r="C1804" s="2" t="s">
        <v>33</v>
      </c>
      <c r="D1804" s="2" t="s">
        <v>20</v>
      </c>
      <c r="E1804" s="2">
        <v>508.61</v>
      </c>
      <c r="F1804" s="2">
        <v>15.89</v>
      </c>
      <c r="G1804" s="2">
        <v>23.29</v>
      </c>
      <c r="H1804" s="2">
        <v>2.5</v>
      </c>
      <c r="I1804" s="2">
        <v>2.7</v>
      </c>
      <c r="J1804" s="2">
        <v>19</v>
      </c>
      <c r="K1804" s="2" t="s">
        <v>21</v>
      </c>
      <c r="L1804" s="2">
        <v>5.09</v>
      </c>
      <c r="M1804" s="2" t="s">
        <v>22</v>
      </c>
      <c r="N1804" s="2">
        <v>58.44</v>
      </c>
      <c r="O1804" s="2" t="s">
        <v>23</v>
      </c>
      <c r="P1804" s="2">
        <v>7.1</v>
      </c>
      <c r="Q1804" s="2">
        <v>12.96</v>
      </c>
      <c r="R1804" s="3">
        <f t="shared" si="140"/>
        <v>3611.1309999999999</v>
      </c>
      <c r="S1804" s="3">
        <f t="shared" si="141"/>
        <v>6591.5856000000003</v>
      </c>
      <c r="T1804" s="3">
        <f t="shared" si="142"/>
        <v>2980.4546000000005</v>
      </c>
      <c r="U1804" s="4">
        <f t="shared" si="143"/>
        <v>0.45216049382716056</v>
      </c>
      <c r="V1804" s="5">
        <f t="shared" si="144"/>
        <v>25.888249000000002</v>
      </c>
    </row>
    <row r="1805" spans="1:22" x14ac:dyDescent="0.25">
      <c r="A1805" s="2" t="s">
        <v>1839</v>
      </c>
      <c r="B1805" s="2" t="s">
        <v>26</v>
      </c>
      <c r="C1805" s="2" t="s">
        <v>33</v>
      </c>
      <c r="D1805" s="2" t="s">
        <v>28</v>
      </c>
      <c r="E1805" s="2">
        <v>425.31</v>
      </c>
      <c r="F1805" s="2">
        <v>8.31</v>
      </c>
      <c r="G1805" s="2">
        <v>27.03</v>
      </c>
      <c r="H1805" s="2">
        <v>0.1</v>
      </c>
      <c r="I1805" s="2">
        <v>0.7</v>
      </c>
      <c r="J1805" s="2">
        <v>4</v>
      </c>
      <c r="K1805" s="2" t="s">
        <v>29</v>
      </c>
      <c r="L1805" s="2">
        <v>4.34</v>
      </c>
      <c r="M1805" s="2" t="s">
        <v>37</v>
      </c>
      <c r="N1805" s="2">
        <v>91.9</v>
      </c>
      <c r="O1805" s="2" t="s">
        <v>30</v>
      </c>
      <c r="P1805" s="2">
        <v>5.73</v>
      </c>
      <c r="Q1805" s="2">
        <v>12.01</v>
      </c>
      <c r="R1805" s="3">
        <f t="shared" si="140"/>
        <v>2437.0263</v>
      </c>
      <c r="S1805" s="3">
        <f t="shared" si="141"/>
        <v>5107.9731000000002</v>
      </c>
      <c r="T1805" s="3">
        <f t="shared" si="142"/>
        <v>2670.9468000000002</v>
      </c>
      <c r="U1805" s="4">
        <f t="shared" si="143"/>
        <v>0.52289758534554542</v>
      </c>
      <c r="V1805" s="5">
        <f t="shared" si="144"/>
        <v>18.458454</v>
      </c>
    </row>
    <row r="1806" spans="1:22" x14ac:dyDescent="0.25">
      <c r="A1806" s="2" t="s">
        <v>1840</v>
      </c>
      <c r="B1806" s="2" t="s">
        <v>32</v>
      </c>
      <c r="C1806" s="2" t="s">
        <v>33</v>
      </c>
      <c r="D1806" s="2" t="s">
        <v>28</v>
      </c>
      <c r="E1806" s="2">
        <v>599.02</v>
      </c>
      <c r="F1806" s="2">
        <v>17.670000000000002</v>
      </c>
      <c r="G1806" s="2">
        <v>25.3</v>
      </c>
      <c r="H1806" s="2">
        <v>0.2</v>
      </c>
      <c r="I1806" s="2">
        <v>0.4</v>
      </c>
      <c r="J1806" s="2">
        <v>16</v>
      </c>
      <c r="K1806" s="2" t="s">
        <v>34</v>
      </c>
      <c r="L1806" s="2">
        <v>4.03</v>
      </c>
      <c r="M1806" s="2" t="s">
        <v>22</v>
      </c>
      <c r="N1806" s="2">
        <v>93.82</v>
      </c>
      <c r="O1806" s="2" t="s">
        <v>23</v>
      </c>
      <c r="P1806" s="2">
        <v>8.01</v>
      </c>
      <c r="Q1806" s="2">
        <v>5.6</v>
      </c>
      <c r="R1806" s="3">
        <f t="shared" si="140"/>
        <v>4798.1502</v>
      </c>
      <c r="S1806" s="3">
        <f t="shared" si="141"/>
        <v>3354.5119999999997</v>
      </c>
      <c r="T1806" s="3">
        <f t="shared" si="142"/>
        <v>-1443.6382000000003</v>
      </c>
      <c r="U1806" s="4">
        <f t="shared" si="143"/>
        <v>-0.43035714285714299</v>
      </c>
      <c r="V1806" s="5">
        <f t="shared" si="144"/>
        <v>24.140506000000002</v>
      </c>
    </row>
    <row r="1807" spans="1:22" x14ac:dyDescent="0.25">
      <c r="A1807" s="2" t="s">
        <v>1841</v>
      </c>
      <c r="B1807" s="2" t="s">
        <v>18</v>
      </c>
      <c r="C1807" s="2" t="s">
        <v>33</v>
      </c>
      <c r="D1807" s="2" t="s">
        <v>28</v>
      </c>
      <c r="E1807" s="2">
        <v>478.29</v>
      </c>
      <c r="F1807" s="2">
        <v>13.27</v>
      </c>
      <c r="G1807" s="2">
        <v>27</v>
      </c>
      <c r="H1807" s="2">
        <v>1.4</v>
      </c>
      <c r="I1807" s="2">
        <v>0.6</v>
      </c>
      <c r="J1807" s="2">
        <v>16</v>
      </c>
      <c r="K1807" s="2" t="s">
        <v>29</v>
      </c>
      <c r="L1807" s="2">
        <v>6.46</v>
      </c>
      <c r="M1807" s="2" t="s">
        <v>22</v>
      </c>
      <c r="N1807" s="2">
        <v>77.03</v>
      </c>
      <c r="O1807" s="2" t="s">
        <v>23</v>
      </c>
      <c r="P1807" s="2">
        <v>4.1500000000000004</v>
      </c>
      <c r="Q1807" s="2">
        <v>6.08</v>
      </c>
      <c r="R1807" s="3">
        <f t="shared" si="140"/>
        <v>1984.9035000000003</v>
      </c>
      <c r="S1807" s="3">
        <f t="shared" si="141"/>
        <v>2908.0032000000001</v>
      </c>
      <c r="T1807" s="3">
        <f t="shared" si="142"/>
        <v>923.09969999999976</v>
      </c>
      <c r="U1807" s="4">
        <f t="shared" si="143"/>
        <v>0.31743421052631571</v>
      </c>
      <c r="V1807" s="5">
        <f t="shared" si="144"/>
        <v>30.897534</v>
      </c>
    </row>
    <row r="1808" spans="1:22" x14ac:dyDescent="0.25">
      <c r="A1808" s="2" t="s">
        <v>1842</v>
      </c>
      <c r="B1808" s="2" t="s">
        <v>26</v>
      </c>
      <c r="C1808" s="2" t="s">
        <v>33</v>
      </c>
      <c r="D1808" s="2" t="s">
        <v>28</v>
      </c>
      <c r="E1808" s="2">
        <v>552.65</v>
      </c>
      <c r="F1808" s="2">
        <v>11.03</v>
      </c>
      <c r="G1808" s="2">
        <v>34.17</v>
      </c>
      <c r="H1808" s="2">
        <v>1.3</v>
      </c>
      <c r="I1808" s="2">
        <v>0.2</v>
      </c>
      <c r="J1808" s="2">
        <v>16</v>
      </c>
      <c r="K1808" s="2" t="s">
        <v>29</v>
      </c>
      <c r="L1808" s="2">
        <v>0.61</v>
      </c>
      <c r="M1808" s="2" t="s">
        <v>40</v>
      </c>
      <c r="N1808" s="2">
        <v>62.21</v>
      </c>
      <c r="O1808" s="2" t="s">
        <v>23</v>
      </c>
      <c r="P1808" s="2">
        <v>4.8</v>
      </c>
      <c r="Q1808" s="2">
        <v>12.85</v>
      </c>
      <c r="R1808" s="3">
        <f t="shared" si="140"/>
        <v>2652.72</v>
      </c>
      <c r="S1808" s="3">
        <f t="shared" si="141"/>
        <v>7101.5524999999998</v>
      </c>
      <c r="T1808" s="3">
        <f t="shared" si="142"/>
        <v>4448.8325000000004</v>
      </c>
      <c r="U1808" s="4">
        <f t="shared" si="143"/>
        <v>0.6264591439688717</v>
      </c>
      <c r="V1808" s="5">
        <f t="shared" si="144"/>
        <v>3.3711649999999995</v>
      </c>
    </row>
    <row r="1809" spans="1:22" x14ac:dyDescent="0.25">
      <c r="A1809" s="2" t="s">
        <v>1843</v>
      </c>
      <c r="B1809" s="2" t="s">
        <v>32</v>
      </c>
      <c r="C1809" s="2" t="s">
        <v>27</v>
      </c>
      <c r="D1809" s="2" t="s">
        <v>20</v>
      </c>
      <c r="E1809" s="2">
        <v>452.26</v>
      </c>
      <c r="F1809" s="2">
        <v>11.63</v>
      </c>
      <c r="G1809" s="2">
        <v>27.36</v>
      </c>
      <c r="H1809" s="2">
        <v>6.1</v>
      </c>
      <c r="I1809" s="2">
        <v>1</v>
      </c>
      <c r="J1809" s="2">
        <v>7</v>
      </c>
      <c r="K1809" s="2" t="s">
        <v>29</v>
      </c>
      <c r="L1809" s="2">
        <v>7.75</v>
      </c>
      <c r="M1809" s="2" t="s">
        <v>22</v>
      </c>
      <c r="N1809" s="2">
        <v>54.81</v>
      </c>
      <c r="O1809" s="2" t="s">
        <v>24</v>
      </c>
      <c r="P1809" s="2">
        <v>5.98</v>
      </c>
      <c r="Q1809" s="2">
        <v>6.98</v>
      </c>
      <c r="R1809" s="3">
        <f t="shared" si="140"/>
        <v>2704.5147999999999</v>
      </c>
      <c r="S1809" s="3">
        <f t="shared" si="141"/>
        <v>3156.7748000000001</v>
      </c>
      <c r="T1809" s="3">
        <f t="shared" si="142"/>
        <v>452.26000000000022</v>
      </c>
      <c r="U1809" s="4">
        <f t="shared" si="143"/>
        <v>0.14326647564469921</v>
      </c>
      <c r="V1809" s="5">
        <f t="shared" si="144"/>
        <v>35.050150000000002</v>
      </c>
    </row>
    <row r="1810" spans="1:22" x14ac:dyDescent="0.25">
      <c r="A1810" s="2" t="s">
        <v>1844</v>
      </c>
      <c r="B1810" s="2" t="s">
        <v>26</v>
      </c>
      <c r="C1810" s="2" t="s">
        <v>43</v>
      </c>
      <c r="D1810" s="2" t="s">
        <v>20</v>
      </c>
      <c r="E1810" s="2">
        <v>435.02</v>
      </c>
      <c r="F1810" s="2">
        <v>8.66</v>
      </c>
      <c r="G1810" s="2">
        <v>31.11</v>
      </c>
      <c r="H1810" s="2">
        <v>5.8</v>
      </c>
      <c r="I1810" s="2">
        <v>0.7</v>
      </c>
      <c r="J1810" s="2">
        <v>18</v>
      </c>
      <c r="K1810" s="2" t="s">
        <v>21</v>
      </c>
      <c r="L1810" s="2">
        <v>7.53</v>
      </c>
      <c r="M1810" s="2" t="s">
        <v>40</v>
      </c>
      <c r="N1810" s="2">
        <v>93.43</v>
      </c>
      <c r="O1810" s="2" t="s">
        <v>23</v>
      </c>
      <c r="P1810" s="2">
        <v>9.23</v>
      </c>
      <c r="Q1810" s="2">
        <v>5.29</v>
      </c>
      <c r="R1810" s="3">
        <f t="shared" si="140"/>
        <v>4015.2346000000002</v>
      </c>
      <c r="S1810" s="3">
        <f t="shared" si="141"/>
        <v>2301.2557999999999</v>
      </c>
      <c r="T1810" s="3">
        <f t="shared" si="142"/>
        <v>-1713.9788000000003</v>
      </c>
      <c r="U1810" s="4">
        <f t="shared" si="143"/>
        <v>-0.74480151228733471</v>
      </c>
      <c r="V1810" s="5">
        <f t="shared" si="144"/>
        <v>32.757006000000004</v>
      </c>
    </row>
    <row r="1811" spans="1:22" x14ac:dyDescent="0.25">
      <c r="A1811" s="2" t="s">
        <v>1845</v>
      </c>
      <c r="B1811" s="2" t="s">
        <v>45</v>
      </c>
      <c r="C1811" s="2" t="s">
        <v>33</v>
      </c>
      <c r="D1811" s="2" t="s">
        <v>20</v>
      </c>
      <c r="E1811" s="2">
        <v>508.42</v>
      </c>
      <c r="F1811" s="2">
        <v>17.89</v>
      </c>
      <c r="G1811" s="2">
        <v>22</v>
      </c>
      <c r="H1811" s="2">
        <v>3</v>
      </c>
      <c r="I1811" s="2">
        <v>0.1</v>
      </c>
      <c r="J1811" s="2">
        <v>24</v>
      </c>
      <c r="K1811" s="2" t="s">
        <v>34</v>
      </c>
      <c r="L1811" s="2">
        <v>8.39</v>
      </c>
      <c r="M1811" s="2" t="s">
        <v>40</v>
      </c>
      <c r="N1811" s="2">
        <v>54.8</v>
      </c>
      <c r="O1811" s="2" t="s">
        <v>30</v>
      </c>
      <c r="P1811" s="2">
        <v>7.01</v>
      </c>
      <c r="Q1811" s="2">
        <v>14.11</v>
      </c>
      <c r="R1811" s="3">
        <f t="shared" si="140"/>
        <v>3564.0241999999998</v>
      </c>
      <c r="S1811" s="3">
        <f t="shared" si="141"/>
        <v>7173.8062</v>
      </c>
      <c r="T1811" s="3">
        <f t="shared" si="142"/>
        <v>3609.7820000000002</v>
      </c>
      <c r="U1811" s="4">
        <f t="shared" si="143"/>
        <v>0.50318922749822825</v>
      </c>
      <c r="V1811" s="5">
        <f t="shared" si="144"/>
        <v>42.656438000000009</v>
      </c>
    </row>
    <row r="1812" spans="1:22" x14ac:dyDescent="0.25">
      <c r="A1812" s="2" t="s">
        <v>1846</v>
      </c>
      <c r="B1812" s="2" t="s">
        <v>45</v>
      </c>
      <c r="C1812" s="2" t="s">
        <v>33</v>
      </c>
      <c r="D1812" s="2" t="s">
        <v>28</v>
      </c>
      <c r="E1812" s="2">
        <v>501.28</v>
      </c>
      <c r="F1812" s="2">
        <v>8.39</v>
      </c>
      <c r="G1812" s="2">
        <v>36.1</v>
      </c>
      <c r="H1812" s="2">
        <v>1.8</v>
      </c>
      <c r="I1812" s="2">
        <v>0.2</v>
      </c>
      <c r="J1812" s="2">
        <v>21</v>
      </c>
      <c r="K1812" s="2" t="s">
        <v>21</v>
      </c>
      <c r="L1812" s="2">
        <v>8.49</v>
      </c>
      <c r="M1812" s="2" t="s">
        <v>37</v>
      </c>
      <c r="N1812" s="2">
        <v>50.66</v>
      </c>
      <c r="O1812" s="2" t="s">
        <v>24</v>
      </c>
      <c r="P1812" s="2">
        <v>9.76</v>
      </c>
      <c r="Q1812" s="2">
        <v>13.91</v>
      </c>
      <c r="R1812" s="3">
        <f t="shared" si="140"/>
        <v>4892.4928</v>
      </c>
      <c r="S1812" s="3">
        <f t="shared" si="141"/>
        <v>6972.8047999999999</v>
      </c>
      <c r="T1812" s="3">
        <f t="shared" si="142"/>
        <v>2080.3119999999999</v>
      </c>
      <c r="U1812" s="4">
        <f t="shared" si="143"/>
        <v>0.29834651329978434</v>
      </c>
      <c r="V1812" s="5">
        <f t="shared" si="144"/>
        <v>42.558671999999994</v>
      </c>
    </row>
    <row r="1813" spans="1:22" x14ac:dyDescent="0.25">
      <c r="A1813" s="2" t="s">
        <v>1847</v>
      </c>
      <c r="B1813" s="2" t="s">
        <v>32</v>
      </c>
      <c r="C1813" s="2" t="s">
        <v>43</v>
      </c>
      <c r="D1813" s="2" t="s">
        <v>28</v>
      </c>
      <c r="E1813" s="2">
        <v>547.98</v>
      </c>
      <c r="F1813" s="2">
        <v>14.55</v>
      </c>
      <c r="G1813" s="2">
        <v>27.4</v>
      </c>
      <c r="H1813" s="2">
        <v>1.2</v>
      </c>
      <c r="I1813" s="2">
        <v>0.7</v>
      </c>
      <c r="J1813" s="2">
        <v>1</v>
      </c>
      <c r="K1813" s="2" t="s">
        <v>29</v>
      </c>
      <c r="L1813" s="2">
        <v>5.88</v>
      </c>
      <c r="M1813" s="2" t="s">
        <v>40</v>
      </c>
      <c r="N1813" s="2">
        <v>73.47</v>
      </c>
      <c r="O1813" s="2" t="s">
        <v>30</v>
      </c>
      <c r="P1813" s="2">
        <v>3.72</v>
      </c>
      <c r="Q1813" s="2">
        <v>7.18</v>
      </c>
      <c r="R1813" s="3">
        <f t="shared" si="140"/>
        <v>2038.4856000000002</v>
      </c>
      <c r="S1813" s="3">
        <f t="shared" si="141"/>
        <v>3934.4964</v>
      </c>
      <c r="T1813" s="3">
        <f t="shared" si="142"/>
        <v>1896.0107999999998</v>
      </c>
      <c r="U1813" s="4">
        <f t="shared" si="143"/>
        <v>0.48189415041782724</v>
      </c>
      <c r="V1813" s="5">
        <f t="shared" si="144"/>
        <v>32.221223999999999</v>
      </c>
    </row>
    <row r="1814" spans="1:22" x14ac:dyDescent="0.25">
      <c r="A1814" s="2" t="s">
        <v>1848</v>
      </c>
      <c r="B1814" s="2" t="s">
        <v>18</v>
      </c>
      <c r="C1814" s="2" t="s">
        <v>33</v>
      </c>
      <c r="D1814" s="2" t="s">
        <v>20</v>
      </c>
      <c r="E1814" s="2">
        <v>473.14</v>
      </c>
      <c r="F1814" s="2">
        <v>12.43</v>
      </c>
      <c r="G1814" s="2">
        <v>32.97</v>
      </c>
      <c r="H1814" s="2">
        <v>0.9</v>
      </c>
      <c r="I1814" s="2">
        <v>2.2000000000000002</v>
      </c>
      <c r="J1814" s="2">
        <v>3</v>
      </c>
      <c r="K1814" s="2" t="s">
        <v>34</v>
      </c>
      <c r="L1814" s="2">
        <v>7.91</v>
      </c>
      <c r="M1814" s="2" t="s">
        <v>37</v>
      </c>
      <c r="N1814" s="2">
        <v>86.56</v>
      </c>
      <c r="O1814" s="2" t="s">
        <v>23</v>
      </c>
      <c r="P1814" s="2">
        <v>6.22</v>
      </c>
      <c r="Q1814" s="2">
        <v>12.8</v>
      </c>
      <c r="R1814" s="3">
        <f t="shared" si="140"/>
        <v>2942.9307999999996</v>
      </c>
      <c r="S1814" s="3">
        <f t="shared" si="141"/>
        <v>6056.192</v>
      </c>
      <c r="T1814" s="3">
        <f t="shared" si="142"/>
        <v>3113.2612000000004</v>
      </c>
      <c r="U1814" s="4">
        <f t="shared" si="143"/>
        <v>0.51406250000000009</v>
      </c>
      <c r="V1814" s="5">
        <f t="shared" si="144"/>
        <v>37.425374000000005</v>
      </c>
    </row>
    <row r="1815" spans="1:22" x14ac:dyDescent="0.25">
      <c r="A1815" s="2" t="s">
        <v>1849</v>
      </c>
      <c r="B1815" s="2" t="s">
        <v>32</v>
      </c>
      <c r="C1815" s="2" t="s">
        <v>43</v>
      </c>
      <c r="D1815" s="2" t="s">
        <v>20</v>
      </c>
      <c r="E1815" s="2">
        <v>316.36</v>
      </c>
      <c r="F1815" s="2">
        <v>17.489999999999998</v>
      </c>
      <c r="G1815" s="2">
        <v>34.51</v>
      </c>
      <c r="H1815" s="2">
        <v>5.9</v>
      </c>
      <c r="I1815" s="2">
        <v>0.8</v>
      </c>
      <c r="J1815" s="2">
        <v>25</v>
      </c>
      <c r="K1815" s="2" t="s">
        <v>21</v>
      </c>
      <c r="L1815" s="2">
        <v>5.18</v>
      </c>
      <c r="M1815" s="2" t="s">
        <v>40</v>
      </c>
      <c r="N1815" s="2">
        <v>72.88</v>
      </c>
      <c r="O1815" s="2" t="s">
        <v>23</v>
      </c>
      <c r="P1815" s="2">
        <v>5.93</v>
      </c>
      <c r="Q1815" s="2">
        <v>5.48</v>
      </c>
      <c r="R1815" s="3">
        <f t="shared" si="140"/>
        <v>1876.0147999999999</v>
      </c>
      <c r="S1815" s="3">
        <f t="shared" si="141"/>
        <v>1733.6528000000003</v>
      </c>
      <c r="T1815" s="3">
        <f t="shared" si="142"/>
        <v>-142.36199999999963</v>
      </c>
      <c r="U1815" s="4">
        <f t="shared" si="143"/>
        <v>-8.2116788321167658E-2</v>
      </c>
      <c r="V1815" s="5">
        <f t="shared" si="144"/>
        <v>16.387447999999999</v>
      </c>
    </row>
    <row r="1816" spans="1:22" x14ac:dyDescent="0.25">
      <c r="A1816" s="2" t="s">
        <v>1850</v>
      </c>
      <c r="B1816" s="2" t="s">
        <v>26</v>
      </c>
      <c r="C1816" s="2" t="s">
        <v>43</v>
      </c>
      <c r="D1816" s="2" t="s">
        <v>28</v>
      </c>
      <c r="E1816" s="2">
        <v>456.72</v>
      </c>
      <c r="F1816" s="2">
        <v>10.46</v>
      </c>
      <c r="G1816" s="2">
        <v>24.19</v>
      </c>
      <c r="H1816" s="2">
        <v>1.8</v>
      </c>
      <c r="I1816" s="2">
        <v>1.1000000000000001</v>
      </c>
      <c r="J1816" s="2">
        <v>21</v>
      </c>
      <c r="K1816" s="2" t="s">
        <v>29</v>
      </c>
      <c r="L1816" s="2">
        <v>9.5399999999999991</v>
      </c>
      <c r="M1816" s="2" t="s">
        <v>22</v>
      </c>
      <c r="N1816" s="2">
        <v>52.57</v>
      </c>
      <c r="O1816" s="2" t="s">
        <v>23</v>
      </c>
      <c r="P1816" s="2">
        <v>7.2</v>
      </c>
      <c r="Q1816" s="2">
        <v>7.85</v>
      </c>
      <c r="R1816" s="3">
        <f t="shared" si="140"/>
        <v>3288.3840000000005</v>
      </c>
      <c r="S1816" s="3">
        <f t="shared" si="141"/>
        <v>3585.252</v>
      </c>
      <c r="T1816" s="3">
        <f t="shared" si="142"/>
        <v>296.86799999999948</v>
      </c>
      <c r="U1816" s="4">
        <f t="shared" si="143"/>
        <v>8.2802547770700494E-2</v>
      </c>
      <c r="V1816" s="5">
        <f t="shared" si="144"/>
        <v>43.571088000000003</v>
      </c>
    </row>
    <row r="1817" spans="1:22" x14ac:dyDescent="0.25">
      <c r="A1817" s="2" t="s">
        <v>1851</v>
      </c>
      <c r="B1817" s="2" t="s">
        <v>18</v>
      </c>
      <c r="C1817" s="2" t="s">
        <v>27</v>
      </c>
      <c r="D1817" s="2" t="s">
        <v>28</v>
      </c>
      <c r="E1817" s="2">
        <v>579.38</v>
      </c>
      <c r="F1817" s="2">
        <v>13.32</v>
      </c>
      <c r="G1817" s="2">
        <v>37.69</v>
      </c>
      <c r="H1817" s="2">
        <v>1.7</v>
      </c>
      <c r="I1817" s="2">
        <v>0.4</v>
      </c>
      <c r="J1817" s="2">
        <v>8</v>
      </c>
      <c r="K1817" s="2" t="s">
        <v>34</v>
      </c>
      <c r="L1817" s="2">
        <v>2.31</v>
      </c>
      <c r="M1817" s="2" t="s">
        <v>37</v>
      </c>
      <c r="N1817" s="2">
        <v>84.5</v>
      </c>
      <c r="O1817" s="2" t="s">
        <v>24</v>
      </c>
      <c r="P1817" s="2">
        <v>8.68</v>
      </c>
      <c r="Q1817" s="2">
        <v>11.24</v>
      </c>
      <c r="R1817" s="3">
        <f t="shared" si="140"/>
        <v>5029.0183999999999</v>
      </c>
      <c r="S1817" s="3">
        <f t="shared" si="141"/>
        <v>6512.2312000000002</v>
      </c>
      <c r="T1817" s="3">
        <f t="shared" si="142"/>
        <v>1483.2128000000002</v>
      </c>
      <c r="U1817" s="4">
        <f t="shared" si="143"/>
        <v>0.22775800711743777</v>
      </c>
      <c r="V1817" s="5">
        <f t="shared" si="144"/>
        <v>13.383678</v>
      </c>
    </row>
    <row r="1818" spans="1:22" x14ac:dyDescent="0.25">
      <c r="A1818" s="2" t="s">
        <v>1852</v>
      </c>
      <c r="B1818" s="2" t="s">
        <v>45</v>
      </c>
      <c r="C1818" s="2" t="s">
        <v>19</v>
      </c>
      <c r="D1818" s="2" t="s">
        <v>20</v>
      </c>
      <c r="E1818" s="2">
        <v>470.26</v>
      </c>
      <c r="F1818" s="2">
        <v>12.82</v>
      </c>
      <c r="G1818" s="2">
        <v>32.32</v>
      </c>
      <c r="H1818" s="2">
        <v>0.5</v>
      </c>
      <c r="I1818" s="2">
        <v>0.8</v>
      </c>
      <c r="J1818" s="2">
        <v>1</v>
      </c>
      <c r="K1818" s="2" t="s">
        <v>34</v>
      </c>
      <c r="L1818" s="2">
        <v>9.1999999999999993</v>
      </c>
      <c r="M1818" s="2" t="s">
        <v>22</v>
      </c>
      <c r="N1818" s="2">
        <v>82.12</v>
      </c>
      <c r="O1818" s="2" t="s">
        <v>23</v>
      </c>
      <c r="P1818" s="2">
        <v>8.89</v>
      </c>
      <c r="Q1818" s="2">
        <v>12.63</v>
      </c>
      <c r="R1818" s="3">
        <f t="shared" si="140"/>
        <v>4180.6113999999998</v>
      </c>
      <c r="S1818" s="3">
        <f t="shared" si="141"/>
        <v>5939.3838000000005</v>
      </c>
      <c r="T1818" s="3">
        <f t="shared" si="142"/>
        <v>1758.7724000000007</v>
      </c>
      <c r="U1818" s="4">
        <f t="shared" si="143"/>
        <v>0.29612034837688056</v>
      </c>
      <c r="V1818" s="5">
        <f t="shared" si="144"/>
        <v>43.263919999999999</v>
      </c>
    </row>
    <row r="1819" spans="1:22" x14ac:dyDescent="0.25">
      <c r="A1819" s="2" t="s">
        <v>1853</v>
      </c>
      <c r="B1819" s="2" t="s">
        <v>18</v>
      </c>
      <c r="C1819" s="2" t="s">
        <v>27</v>
      </c>
      <c r="D1819" s="2" t="s">
        <v>28</v>
      </c>
      <c r="E1819" s="2">
        <v>475.36</v>
      </c>
      <c r="F1819" s="2">
        <v>15.03</v>
      </c>
      <c r="G1819" s="2">
        <v>28.57</v>
      </c>
      <c r="H1819" s="2">
        <v>0.1</v>
      </c>
      <c r="I1819" s="2">
        <v>0.6</v>
      </c>
      <c r="J1819" s="2">
        <v>7</v>
      </c>
      <c r="K1819" s="2" t="s">
        <v>29</v>
      </c>
      <c r="L1819" s="2">
        <v>2.96</v>
      </c>
      <c r="M1819" s="2" t="s">
        <v>37</v>
      </c>
      <c r="N1819" s="2">
        <v>84.08</v>
      </c>
      <c r="O1819" s="2" t="s">
        <v>30</v>
      </c>
      <c r="P1819" s="2">
        <v>7.69</v>
      </c>
      <c r="Q1819" s="2">
        <v>5.0999999999999996</v>
      </c>
      <c r="R1819" s="3">
        <f t="shared" si="140"/>
        <v>3655.5184000000004</v>
      </c>
      <c r="S1819" s="3">
        <f t="shared" si="141"/>
        <v>2424.3359999999998</v>
      </c>
      <c r="T1819" s="3">
        <f t="shared" si="142"/>
        <v>-1231.1824000000006</v>
      </c>
      <c r="U1819" s="4">
        <f t="shared" si="143"/>
        <v>-0.50784313725490227</v>
      </c>
      <c r="V1819" s="5">
        <f t="shared" si="144"/>
        <v>14.070656000000001</v>
      </c>
    </row>
    <row r="1820" spans="1:22" x14ac:dyDescent="0.25">
      <c r="A1820" s="2" t="s">
        <v>1854</v>
      </c>
      <c r="B1820" s="2" t="s">
        <v>45</v>
      </c>
      <c r="C1820" s="2" t="s">
        <v>19</v>
      </c>
      <c r="D1820" s="2" t="s">
        <v>28</v>
      </c>
      <c r="E1820" s="2">
        <v>598.64</v>
      </c>
      <c r="F1820" s="2">
        <v>8.68</v>
      </c>
      <c r="G1820" s="2">
        <v>23.65</v>
      </c>
      <c r="H1820" s="2">
        <v>5.8</v>
      </c>
      <c r="I1820" s="2">
        <v>1.1000000000000001</v>
      </c>
      <c r="J1820" s="2">
        <v>7</v>
      </c>
      <c r="K1820" s="2" t="s">
        <v>34</v>
      </c>
      <c r="L1820" s="2">
        <v>1.48</v>
      </c>
      <c r="M1820" s="2" t="s">
        <v>22</v>
      </c>
      <c r="N1820" s="2">
        <v>60.56</v>
      </c>
      <c r="O1820" s="2" t="s">
        <v>24</v>
      </c>
      <c r="P1820" s="2">
        <v>7.49</v>
      </c>
      <c r="Q1820" s="2">
        <v>8.26</v>
      </c>
      <c r="R1820" s="3">
        <f t="shared" si="140"/>
        <v>4483.8136000000004</v>
      </c>
      <c r="S1820" s="3">
        <f t="shared" si="141"/>
        <v>4944.7663999999995</v>
      </c>
      <c r="T1820" s="3">
        <f t="shared" si="142"/>
        <v>460.95279999999912</v>
      </c>
      <c r="U1820" s="4">
        <f t="shared" si="143"/>
        <v>9.3220338983050682E-2</v>
      </c>
      <c r="V1820" s="5">
        <f t="shared" si="144"/>
        <v>8.8598719999999993</v>
      </c>
    </row>
    <row r="1821" spans="1:22" x14ac:dyDescent="0.25">
      <c r="A1821" s="2" t="s">
        <v>1855</v>
      </c>
      <c r="B1821" s="2" t="s">
        <v>18</v>
      </c>
      <c r="C1821" s="2" t="s">
        <v>19</v>
      </c>
      <c r="D1821" s="2" t="s">
        <v>20</v>
      </c>
      <c r="E1821" s="2">
        <v>428.8</v>
      </c>
      <c r="F1821" s="2">
        <v>9.94</v>
      </c>
      <c r="G1821" s="2">
        <v>38.85</v>
      </c>
      <c r="H1821" s="2">
        <v>0.8</v>
      </c>
      <c r="I1821" s="2">
        <v>0.1</v>
      </c>
      <c r="J1821" s="2">
        <v>8</v>
      </c>
      <c r="K1821" s="2" t="s">
        <v>34</v>
      </c>
      <c r="L1821" s="2">
        <v>4.67</v>
      </c>
      <c r="M1821" s="2" t="s">
        <v>40</v>
      </c>
      <c r="N1821" s="2">
        <v>89.78</v>
      </c>
      <c r="O1821" s="2" t="s">
        <v>30</v>
      </c>
      <c r="P1821" s="2">
        <v>9.64</v>
      </c>
      <c r="Q1821" s="2">
        <v>7.14</v>
      </c>
      <c r="R1821" s="3">
        <f t="shared" si="140"/>
        <v>4133.6320000000005</v>
      </c>
      <c r="S1821" s="3">
        <f t="shared" si="141"/>
        <v>3061.6320000000001</v>
      </c>
      <c r="T1821" s="3">
        <f t="shared" si="142"/>
        <v>-1072.0000000000005</v>
      </c>
      <c r="U1821" s="4">
        <f t="shared" si="143"/>
        <v>-0.35014005602240911</v>
      </c>
      <c r="V1821" s="5">
        <f t="shared" si="144"/>
        <v>20.02496</v>
      </c>
    </row>
    <row r="1822" spans="1:22" x14ac:dyDescent="0.25">
      <c r="A1822" s="2" t="s">
        <v>1856</v>
      </c>
      <c r="B1822" s="2" t="s">
        <v>18</v>
      </c>
      <c r="C1822" s="2" t="s">
        <v>19</v>
      </c>
      <c r="D1822" s="2" t="s">
        <v>28</v>
      </c>
      <c r="E1822" s="2">
        <v>345.72</v>
      </c>
      <c r="F1822" s="2">
        <v>10.15</v>
      </c>
      <c r="G1822" s="2">
        <v>35.1</v>
      </c>
      <c r="H1822" s="2">
        <v>1.2</v>
      </c>
      <c r="I1822" s="2">
        <v>0.7</v>
      </c>
      <c r="J1822" s="2">
        <v>19</v>
      </c>
      <c r="K1822" s="2" t="s">
        <v>21</v>
      </c>
      <c r="L1822" s="2">
        <v>6.34</v>
      </c>
      <c r="M1822" s="2" t="s">
        <v>37</v>
      </c>
      <c r="N1822" s="2">
        <v>73.959999999999994</v>
      </c>
      <c r="O1822" s="2" t="s">
        <v>30</v>
      </c>
      <c r="P1822" s="2">
        <v>5.69</v>
      </c>
      <c r="Q1822" s="2">
        <v>14.99</v>
      </c>
      <c r="R1822" s="3">
        <f t="shared" si="140"/>
        <v>1967.1468000000002</v>
      </c>
      <c r="S1822" s="3">
        <f t="shared" si="141"/>
        <v>5182.3428000000004</v>
      </c>
      <c r="T1822" s="3">
        <f t="shared" si="142"/>
        <v>3215.1959999999999</v>
      </c>
      <c r="U1822" s="4">
        <f t="shared" si="143"/>
        <v>0.62041360907271503</v>
      </c>
      <c r="V1822" s="5">
        <f t="shared" si="144"/>
        <v>21.918648000000005</v>
      </c>
    </row>
    <row r="1823" spans="1:22" x14ac:dyDescent="0.25">
      <c r="A1823" s="2" t="s">
        <v>1857</v>
      </c>
      <c r="B1823" s="2" t="s">
        <v>18</v>
      </c>
      <c r="C1823" s="2" t="s">
        <v>33</v>
      </c>
      <c r="D1823" s="2" t="s">
        <v>20</v>
      </c>
      <c r="E1823" s="2">
        <v>483.94</v>
      </c>
      <c r="F1823" s="2">
        <v>15.38</v>
      </c>
      <c r="G1823" s="2">
        <v>24.16</v>
      </c>
      <c r="H1823" s="2">
        <v>0.2</v>
      </c>
      <c r="I1823" s="2">
        <v>0.4</v>
      </c>
      <c r="J1823" s="2">
        <v>17</v>
      </c>
      <c r="K1823" s="2" t="s">
        <v>34</v>
      </c>
      <c r="L1823" s="2">
        <v>2.69</v>
      </c>
      <c r="M1823" s="2" t="s">
        <v>37</v>
      </c>
      <c r="N1823" s="2">
        <v>76.819999999999993</v>
      </c>
      <c r="O1823" s="2" t="s">
        <v>30</v>
      </c>
      <c r="P1823" s="2">
        <v>8.83</v>
      </c>
      <c r="Q1823" s="2">
        <v>11.71</v>
      </c>
      <c r="R1823" s="3">
        <f t="shared" si="140"/>
        <v>4273.1902</v>
      </c>
      <c r="S1823" s="3">
        <f t="shared" si="141"/>
        <v>5666.9374000000007</v>
      </c>
      <c r="T1823" s="3">
        <f t="shared" si="142"/>
        <v>1393.7472000000007</v>
      </c>
      <c r="U1823" s="4">
        <f t="shared" si="143"/>
        <v>0.24594363791631094</v>
      </c>
      <c r="V1823" s="5">
        <f t="shared" si="144"/>
        <v>13.017986000000001</v>
      </c>
    </row>
    <row r="1824" spans="1:22" x14ac:dyDescent="0.25">
      <c r="A1824" s="2" t="s">
        <v>1858</v>
      </c>
      <c r="B1824" s="2" t="s">
        <v>26</v>
      </c>
      <c r="C1824" s="2" t="s">
        <v>27</v>
      </c>
      <c r="D1824" s="2" t="s">
        <v>28</v>
      </c>
      <c r="E1824" s="2">
        <v>451.58</v>
      </c>
      <c r="F1824" s="2">
        <v>9.89</v>
      </c>
      <c r="G1824" s="2">
        <v>26.75</v>
      </c>
      <c r="H1824" s="2">
        <v>3.6</v>
      </c>
      <c r="I1824" s="2">
        <v>0.4</v>
      </c>
      <c r="J1824" s="2">
        <v>11</v>
      </c>
      <c r="K1824" s="2" t="s">
        <v>21</v>
      </c>
      <c r="L1824" s="2">
        <v>5.78</v>
      </c>
      <c r="M1824" s="2" t="s">
        <v>37</v>
      </c>
      <c r="N1824" s="2">
        <v>77.290000000000006</v>
      </c>
      <c r="O1824" s="2" t="s">
        <v>30</v>
      </c>
      <c r="P1824" s="2">
        <v>9.4499999999999993</v>
      </c>
      <c r="Q1824" s="2">
        <v>9.06</v>
      </c>
      <c r="R1824" s="3">
        <f t="shared" si="140"/>
        <v>4267.4309999999996</v>
      </c>
      <c r="S1824" s="3">
        <f t="shared" si="141"/>
        <v>4091.3148000000001</v>
      </c>
      <c r="T1824" s="3">
        <f t="shared" si="142"/>
        <v>-176.11619999999948</v>
      </c>
      <c r="U1824" s="4">
        <f t="shared" si="143"/>
        <v>-4.3046357615893913E-2</v>
      </c>
      <c r="V1824" s="5">
        <f t="shared" si="144"/>
        <v>26.101323999999998</v>
      </c>
    </row>
    <row r="1825" spans="1:22" x14ac:dyDescent="0.25">
      <c r="A1825" s="2" t="s">
        <v>1859</v>
      </c>
      <c r="B1825" s="2" t="s">
        <v>26</v>
      </c>
      <c r="C1825" s="2" t="s">
        <v>19</v>
      </c>
      <c r="D1825" s="2" t="s">
        <v>20</v>
      </c>
      <c r="E1825" s="2">
        <v>403.38</v>
      </c>
      <c r="F1825" s="2">
        <v>13.73</v>
      </c>
      <c r="G1825" s="2">
        <v>36.19</v>
      </c>
      <c r="H1825" s="2">
        <v>0.1</v>
      </c>
      <c r="I1825" s="2">
        <v>3.2</v>
      </c>
      <c r="J1825" s="2">
        <v>15</v>
      </c>
      <c r="K1825" s="2" t="s">
        <v>21</v>
      </c>
      <c r="L1825" s="2">
        <v>8.17</v>
      </c>
      <c r="M1825" s="2" t="s">
        <v>40</v>
      </c>
      <c r="N1825" s="2">
        <v>64.34</v>
      </c>
      <c r="O1825" s="2" t="s">
        <v>30</v>
      </c>
      <c r="P1825" s="2">
        <v>6.44</v>
      </c>
      <c r="Q1825" s="2">
        <v>5.76</v>
      </c>
      <c r="R1825" s="3">
        <f t="shared" si="140"/>
        <v>2597.7672000000002</v>
      </c>
      <c r="S1825" s="3">
        <f t="shared" si="141"/>
        <v>2323.4688000000001</v>
      </c>
      <c r="T1825" s="3">
        <f t="shared" si="142"/>
        <v>-274.29840000000013</v>
      </c>
      <c r="U1825" s="4">
        <f t="shared" si="143"/>
        <v>-0.11805555555555561</v>
      </c>
      <c r="V1825" s="5">
        <f t="shared" si="144"/>
        <v>32.956145999999997</v>
      </c>
    </row>
    <row r="1826" spans="1:22" x14ac:dyDescent="0.25">
      <c r="A1826" s="2" t="s">
        <v>1860</v>
      </c>
      <c r="B1826" s="2" t="s">
        <v>32</v>
      </c>
      <c r="C1826" s="2" t="s">
        <v>43</v>
      </c>
      <c r="D1826" s="2" t="s">
        <v>28</v>
      </c>
      <c r="E1826" s="2">
        <v>482.46</v>
      </c>
      <c r="F1826" s="2">
        <v>10.15</v>
      </c>
      <c r="G1826" s="2">
        <v>33.909999999999997</v>
      </c>
      <c r="H1826" s="2">
        <v>3.6</v>
      </c>
      <c r="I1826" s="2">
        <v>0.2</v>
      </c>
      <c r="J1826" s="2">
        <v>9</v>
      </c>
      <c r="K1826" s="2" t="s">
        <v>21</v>
      </c>
      <c r="L1826" s="2">
        <v>2.94</v>
      </c>
      <c r="M1826" s="2" t="s">
        <v>22</v>
      </c>
      <c r="N1826" s="2">
        <v>62.51</v>
      </c>
      <c r="O1826" s="2" t="s">
        <v>23</v>
      </c>
      <c r="P1826" s="2">
        <v>8.1</v>
      </c>
      <c r="Q1826" s="2">
        <v>10.99</v>
      </c>
      <c r="R1826" s="3">
        <f t="shared" si="140"/>
        <v>3907.9259999999995</v>
      </c>
      <c r="S1826" s="3">
        <f t="shared" si="141"/>
        <v>5302.2353999999996</v>
      </c>
      <c r="T1826" s="3">
        <f t="shared" si="142"/>
        <v>1394.3094000000001</v>
      </c>
      <c r="U1826" s="4">
        <f t="shared" si="143"/>
        <v>0.26296633303002731</v>
      </c>
      <c r="V1826" s="5">
        <f t="shared" si="144"/>
        <v>14.184323999999998</v>
      </c>
    </row>
    <row r="1827" spans="1:22" x14ac:dyDescent="0.25">
      <c r="A1827" s="2" t="s">
        <v>1861</v>
      </c>
      <c r="B1827" s="2" t="s">
        <v>32</v>
      </c>
      <c r="C1827" s="2" t="s">
        <v>33</v>
      </c>
      <c r="D1827" s="2" t="s">
        <v>20</v>
      </c>
      <c r="E1827" s="2">
        <v>549.15</v>
      </c>
      <c r="F1827" s="2">
        <v>16.62</v>
      </c>
      <c r="G1827" s="2">
        <v>35.32</v>
      </c>
      <c r="H1827" s="2">
        <v>0.3</v>
      </c>
      <c r="I1827" s="2">
        <v>0.4</v>
      </c>
      <c r="J1827" s="2">
        <v>17</v>
      </c>
      <c r="K1827" s="2" t="s">
        <v>21</v>
      </c>
      <c r="L1827" s="2">
        <v>6.01</v>
      </c>
      <c r="M1827" s="2" t="s">
        <v>40</v>
      </c>
      <c r="N1827" s="2">
        <v>50.24</v>
      </c>
      <c r="O1827" s="2" t="s">
        <v>30</v>
      </c>
      <c r="P1827" s="2">
        <v>5.64</v>
      </c>
      <c r="Q1827" s="2">
        <v>11.42</v>
      </c>
      <c r="R1827" s="3">
        <f t="shared" si="140"/>
        <v>3097.2059999999997</v>
      </c>
      <c r="S1827" s="3">
        <f t="shared" si="141"/>
        <v>6271.2929999999997</v>
      </c>
      <c r="T1827" s="3">
        <f t="shared" si="142"/>
        <v>3174.087</v>
      </c>
      <c r="U1827" s="4">
        <f t="shared" si="143"/>
        <v>0.50612959719789841</v>
      </c>
      <c r="V1827" s="5">
        <f t="shared" si="144"/>
        <v>33.003914999999999</v>
      </c>
    </row>
    <row r="1828" spans="1:22" x14ac:dyDescent="0.25">
      <c r="A1828" s="2" t="s">
        <v>1862</v>
      </c>
      <c r="B1828" s="2" t="s">
        <v>45</v>
      </c>
      <c r="C1828" s="2" t="s">
        <v>27</v>
      </c>
      <c r="D1828" s="2" t="s">
        <v>20</v>
      </c>
      <c r="E1828" s="2">
        <v>499.07</v>
      </c>
      <c r="F1828" s="2">
        <v>17.420000000000002</v>
      </c>
      <c r="G1828" s="2">
        <v>28.82</v>
      </c>
      <c r="H1828" s="2">
        <v>4.4000000000000004</v>
      </c>
      <c r="I1828" s="2">
        <v>0.7</v>
      </c>
      <c r="J1828" s="2">
        <v>11</v>
      </c>
      <c r="K1828" s="2" t="s">
        <v>34</v>
      </c>
      <c r="L1828" s="2">
        <v>3.72</v>
      </c>
      <c r="M1828" s="2" t="s">
        <v>40</v>
      </c>
      <c r="N1828" s="2">
        <v>69.83</v>
      </c>
      <c r="O1828" s="2" t="s">
        <v>30</v>
      </c>
      <c r="P1828" s="2">
        <v>4.1100000000000003</v>
      </c>
      <c r="Q1828" s="2">
        <v>13.16</v>
      </c>
      <c r="R1828" s="3">
        <f t="shared" si="140"/>
        <v>2051.1777000000002</v>
      </c>
      <c r="S1828" s="3">
        <f t="shared" si="141"/>
        <v>6567.7611999999999</v>
      </c>
      <c r="T1828" s="3">
        <f t="shared" si="142"/>
        <v>4516.5834999999997</v>
      </c>
      <c r="U1828" s="4">
        <f t="shared" si="143"/>
        <v>0.68768996960486317</v>
      </c>
      <c r="V1828" s="5">
        <f t="shared" si="144"/>
        <v>18.565404000000001</v>
      </c>
    </row>
    <row r="1829" spans="1:22" x14ac:dyDescent="0.25">
      <c r="A1829" s="2" t="s">
        <v>1863</v>
      </c>
      <c r="B1829" s="2" t="s">
        <v>26</v>
      </c>
      <c r="C1829" s="2" t="s">
        <v>19</v>
      </c>
      <c r="D1829" s="2" t="s">
        <v>20</v>
      </c>
      <c r="E1829" s="2">
        <v>530.70000000000005</v>
      </c>
      <c r="F1829" s="2">
        <v>13.18</v>
      </c>
      <c r="G1829" s="2">
        <v>34.33</v>
      </c>
      <c r="H1829" s="2">
        <v>2.6</v>
      </c>
      <c r="I1829" s="2">
        <v>2</v>
      </c>
      <c r="J1829" s="2">
        <v>6</v>
      </c>
      <c r="K1829" s="2" t="s">
        <v>34</v>
      </c>
      <c r="L1829" s="2">
        <v>5.53</v>
      </c>
      <c r="M1829" s="2" t="s">
        <v>40</v>
      </c>
      <c r="N1829" s="2">
        <v>74.260000000000005</v>
      </c>
      <c r="O1829" s="2" t="s">
        <v>23</v>
      </c>
      <c r="P1829" s="2">
        <v>7.11</v>
      </c>
      <c r="Q1829" s="2">
        <v>7.89</v>
      </c>
      <c r="R1829" s="3">
        <f t="shared" si="140"/>
        <v>3773.2770000000005</v>
      </c>
      <c r="S1829" s="3">
        <f t="shared" si="141"/>
        <v>4187.223</v>
      </c>
      <c r="T1829" s="3">
        <f t="shared" si="142"/>
        <v>413.94599999999946</v>
      </c>
      <c r="U1829" s="4">
        <f t="shared" si="143"/>
        <v>9.8859315589353486E-2</v>
      </c>
      <c r="V1829" s="5">
        <f t="shared" si="144"/>
        <v>29.347710000000003</v>
      </c>
    </row>
    <row r="1830" spans="1:22" x14ac:dyDescent="0.25">
      <c r="A1830" s="2" t="s">
        <v>1864</v>
      </c>
      <c r="B1830" s="2" t="s">
        <v>45</v>
      </c>
      <c r="C1830" s="2" t="s">
        <v>43</v>
      </c>
      <c r="D1830" s="2" t="s">
        <v>20</v>
      </c>
      <c r="E1830" s="2">
        <v>681.34</v>
      </c>
      <c r="F1830" s="2">
        <v>11.52</v>
      </c>
      <c r="G1830" s="2">
        <v>27.73</v>
      </c>
      <c r="H1830" s="2">
        <v>0.4</v>
      </c>
      <c r="I1830" s="2">
        <v>0.5</v>
      </c>
      <c r="J1830" s="2">
        <v>9</v>
      </c>
      <c r="K1830" s="2" t="s">
        <v>21</v>
      </c>
      <c r="L1830" s="2">
        <v>6.84</v>
      </c>
      <c r="M1830" s="2" t="s">
        <v>22</v>
      </c>
      <c r="N1830" s="2">
        <v>87.14</v>
      </c>
      <c r="O1830" s="2" t="s">
        <v>24</v>
      </c>
      <c r="P1830" s="2">
        <v>4.38</v>
      </c>
      <c r="Q1830" s="2">
        <v>14.81</v>
      </c>
      <c r="R1830" s="3">
        <f t="shared" si="140"/>
        <v>2984.2692000000002</v>
      </c>
      <c r="S1830" s="3">
        <f t="shared" si="141"/>
        <v>10090.645400000001</v>
      </c>
      <c r="T1830" s="3">
        <f t="shared" si="142"/>
        <v>7106.3762000000006</v>
      </c>
      <c r="U1830" s="4">
        <f t="shared" si="143"/>
        <v>0.70425388251181631</v>
      </c>
      <c r="V1830" s="5">
        <f t="shared" si="144"/>
        <v>46.603656000000001</v>
      </c>
    </row>
    <row r="1831" spans="1:22" x14ac:dyDescent="0.25">
      <c r="A1831" s="2" t="s">
        <v>1865</v>
      </c>
      <c r="B1831" s="2" t="s">
        <v>32</v>
      </c>
      <c r="C1831" s="2" t="s">
        <v>27</v>
      </c>
      <c r="D1831" s="2" t="s">
        <v>28</v>
      </c>
      <c r="E1831" s="2">
        <v>465.71</v>
      </c>
      <c r="F1831" s="2">
        <v>10.34</v>
      </c>
      <c r="G1831" s="2">
        <v>24.23</v>
      </c>
      <c r="H1831" s="2">
        <v>1.7</v>
      </c>
      <c r="I1831" s="2">
        <v>1.4</v>
      </c>
      <c r="J1831" s="2">
        <v>18</v>
      </c>
      <c r="K1831" s="2" t="s">
        <v>34</v>
      </c>
      <c r="L1831" s="2">
        <v>3.83</v>
      </c>
      <c r="M1831" s="2" t="s">
        <v>40</v>
      </c>
      <c r="N1831" s="2">
        <v>53.33</v>
      </c>
      <c r="O1831" s="2" t="s">
        <v>23</v>
      </c>
      <c r="P1831" s="2">
        <v>6.2</v>
      </c>
      <c r="Q1831" s="2">
        <v>9.39</v>
      </c>
      <c r="R1831" s="3">
        <f t="shared" si="140"/>
        <v>2887.402</v>
      </c>
      <c r="S1831" s="3">
        <f t="shared" si="141"/>
        <v>4373.0168999999996</v>
      </c>
      <c r="T1831" s="3">
        <f t="shared" si="142"/>
        <v>1485.6148999999996</v>
      </c>
      <c r="U1831" s="4">
        <f t="shared" si="143"/>
        <v>0.33972310969116076</v>
      </c>
      <c r="V1831" s="5">
        <f t="shared" si="144"/>
        <v>17.836693</v>
      </c>
    </row>
    <row r="1832" spans="1:22" x14ac:dyDescent="0.25">
      <c r="A1832" s="2" t="s">
        <v>1866</v>
      </c>
      <c r="B1832" s="2" t="s">
        <v>45</v>
      </c>
      <c r="C1832" s="2" t="s">
        <v>27</v>
      </c>
      <c r="D1832" s="2" t="s">
        <v>28</v>
      </c>
      <c r="E1832" s="2">
        <v>527.83000000000004</v>
      </c>
      <c r="F1832" s="2">
        <v>8.5</v>
      </c>
      <c r="G1832" s="2">
        <v>32.65</v>
      </c>
      <c r="H1832" s="2">
        <v>0.7</v>
      </c>
      <c r="I1832" s="2">
        <v>1.9</v>
      </c>
      <c r="J1832" s="2">
        <v>20</v>
      </c>
      <c r="K1832" s="2" t="s">
        <v>21</v>
      </c>
      <c r="L1832" s="2">
        <v>9.9499999999999993</v>
      </c>
      <c r="M1832" s="2" t="s">
        <v>37</v>
      </c>
      <c r="N1832" s="2">
        <v>96.2</v>
      </c>
      <c r="O1832" s="2" t="s">
        <v>24</v>
      </c>
      <c r="P1832" s="2">
        <v>9.11</v>
      </c>
      <c r="Q1832" s="2">
        <v>7.96</v>
      </c>
      <c r="R1832" s="3">
        <f t="shared" si="140"/>
        <v>4808.5312999999996</v>
      </c>
      <c r="S1832" s="3">
        <f t="shared" si="141"/>
        <v>4201.5268000000005</v>
      </c>
      <c r="T1832" s="3">
        <f t="shared" si="142"/>
        <v>-607.0044999999991</v>
      </c>
      <c r="U1832" s="4">
        <f t="shared" si="143"/>
        <v>-0.14447236180904499</v>
      </c>
      <c r="V1832" s="5">
        <f t="shared" si="144"/>
        <v>52.519085000000004</v>
      </c>
    </row>
    <row r="1833" spans="1:22" x14ac:dyDescent="0.25">
      <c r="A1833" s="2" t="s">
        <v>1867</v>
      </c>
      <c r="B1833" s="2" t="s">
        <v>32</v>
      </c>
      <c r="C1833" s="2" t="s">
        <v>33</v>
      </c>
      <c r="D1833" s="2" t="s">
        <v>20</v>
      </c>
      <c r="E1833" s="2">
        <v>449.08</v>
      </c>
      <c r="F1833" s="2">
        <v>10.69</v>
      </c>
      <c r="G1833" s="2">
        <v>39.520000000000003</v>
      </c>
      <c r="H1833" s="2">
        <v>0.4</v>
      </c>
      <c r="I1833" s="2">
        <v>0.4</v>
      </c>
      <c r="J1833" s="2">
        <v>2</v>
      </c>
      <c r="K1833" s="2" t="s">
        <v>21</v>
      </c>
      <c r="L1833" s="2">
        <v>5.86</v>
      </c>
      <c r="M1833" s="2" t="s">
        <v>40</v>
      </c>
      <c r="N1833" s="2">
        <v>63.2</v>
      </c>
      <c r="O1833" s="2" t="s">
        <v>30</v>
      </c>
      <c r="P1833" s="2">
        <v>3.6</v>
      </c>
      <c r="Q1833" s="2">
        <v>8.48</v>
      </c>
      <c r="R1833" s="3">
        <f t="shared" si="140"/>
        <v>1616.6879999999999</v>
      </c>
      <c r="S1833" s="3">
        <f t="shared" si="141"/>
        <v>3808.1984000000002</v>
      </c>
      <c r="T1833" s="3">
        <f t="shared" si="142"/>
        <v>2191.5104000000001</v>
      </c>
      <c r="U1833" s="4">
        <f t="shared" si="143"/>
        <v>0.57547169811320753</v>
      </c>
      <c r="V1833" s="5">
        <f t="shared" si="144"/>
        <v>26.316088000000001</v>
      </c>
    </row>
    <row r="1834" spans="1:22" x14ac:dyDescent="0.25">
      <c r="A1834" s="2" t="s">
        <v>1868</v>
      </c>
      <c r="B1834" s="2" t="s">
        <v>26</v>
      </c>
      <c r="C1834" s="2" t="s">
        <v>27</v>
      </c>
      <c r="D1834" s="2" t="s">
        <v>28</v>
      </c>
      <c r="E1834" s="2">
        <v>415.36</v>
      </c>
      <c r="F1834" s="2">
        <v>14.54</v>
      </c>
      <c r="G1834" s="2">
        <v>26.21</v>
      </c>
      <c r="H1834" s="2">
        <v>3.9</v>
      </c>
      <c r="I1834" s="2">
        <v>0.5</v>
      </c>
      <c r="J1834" s="2">
        <v>4</v>
      </c>
      <c r="K1834" s="2" t="s">
        <v>21</v>
      </c>
      <c r="L1834" s="2">
        <v>8.33</v>
      </c>
      <c r="M1834" s="2" t="s">
        <v>22</v>
      </c>
      <c r="N1834" s="2">
        <v>68.34</v>
      </c>
      <c r="O1834" s="2" t="s">
        <v>23</v>
      </c>
      <c r="P1834" s="2">
        <v>3.21</v>
      </c>
      <c r="Q1834" s="2">
        <v>10.199999999999999</v>
      </c>
      <c r="R1834" s="3">
        <f t="shared" si="140"/>
        <v>1333.3056000000001</v>
      </c>
      <c r="S1834" s="3">
        <f t="shared" si="141"/>
        <v>4236.6719999999996</v>
      </c>
      <c r="T1834" s="3">
        <f t="shared" si="142"/>
        <v>2903.3663999999994</v>
      </c>
      <c r="U1834" s="4">
        <f t="shared" si="143"/>
        <v>0.68529411764705872</v>
      </c>
      <c r="V1834" s="5">
        <f t="shared" si="144"/>
        <v>34.599488000000001</v>
      </c>
    </row>
    <row r="1835" spans="1:22" x14ac:dyDescent="0.25">
      <c r="A1835" s="2" t="s">
        <v>1869</v>
      </c>
      <c r="B1835" s="2" t="s">
        <v>18</v>
      </c>
      <c r="C1835" s="2" t="s">
        <v>33</v>
      </c>
      <c r="D1835" s="2" t="s">
        <v>28</v>
      </c>
      <c r="E1835" s="2">
        <v>441.51</v>
      </c>
      <c r="F1835" s="2">
        <v>13.34</v>
      </c>
      <c r="G1835" s="2">
        <v>29.22</v>
      </c>
      <c r="H1835" s="2">
        <v>1</v>
      </c>
      <c r="I1835" s="2">
        <v>0.4</v>
      </c>
      <c r="J1835" s="2">
        <v>18</v>
      </c>
      <c r="K1835" s="2" t="s">
        <v>29</v>
      </c>
      <c r="L1835" s="2">
        <v>7.39</v>
      </c>
      <c r="M1835" s="2" t="s">
        <v>37</v>
      </c>
      <c r="N1835" s="2">
        <v>52.42</v>
      </c>
      <c r="O1835" s="2" t="s">
        <v>24</v>
      </c>
      <c r="P1835" s="2">
        <v>7.25</v>
      </c>
      <c r="Q1835" s="2">
        <v>14.37</v>
      </c>
      <c r="R1835" s="3">
        <f t="shared" si="140"/>
        <v>3200.9474999999998</v>
      </c>
      <c r="S1835" s="3">
        <f t="shared" si="141"/>
        <v>6344.4986999999992</v>
      </c>
      <c r="T1835" s="3">
        <f t="shared" si="142"/>
        <v>3143.5511999999994</v>
      </c>
      <c r="U1835" s="4">
        <f t="shared" si="143"/>
        <v>0.49547668754349339</v>
      </c>
      <c r="V1835" s="5">
        <f t="shared" si="144"/>
        <v>32.627589</v>
      </c>
    </row>
    <row r="1836" spans="1:22" x14ac:dyDescent="0.25">
      <c r="A1836" s="2" t="s">
        <v>1870</v>
      </c>
      <c r="B1836" s="2" t="s">
        <v>26</v>
      </c>
      <c r="C1836" s="2" t="s">
        <v>19</v>
      </c>
      <c r="D1836" s="2" t="s">
        <v>28</v>
      </c>
      <c r="E1836" s="2">
        <v>452.12</v>
      </c>
      <c r="F1836" s="2">
        <v>17.440000000000001</v>
      </c>
      <c r="G1836" s="2">
        <v>33.479999999999997</v>
      </c>
      <c r="H1836" s="2">
        <v>1</v>
      </c>
      <c r="I1836" s="2">
        <v>1.8</v>
      </c>
      <c r="J1836" s="2">
        <v>28</v>
      </c>
      <c r="K1836" s="2" t="s">
        <v>34</v>
      </c>
      <c r="L1836" s="2">
        <v>8.6</v>
      </c>
      <c r="M1836" s="2" t="s">
        <v>22</v>
      </c>
      <c r="N1836" s="2">
        <v>82.66</v>
      </c>
      <c r="O1836" s="2" t="s">
        <v>24</v>
      </c>
      <c r="P1836" s="2">
        <v>5.32</v>
      </c>
      <c r="Q1836" s="2">
        <v>12.35</v>
      </c>
      <c r="R1836" s="3">
        <f t="shared" si="140"/>
        <v>2405.2784000000001</v>
      </c>
      <c r="S1836" s="3">
        <f t="shared" si="141"/>
        <v>5583.6819999999998</v>
      </c>
      <c r="T1836" s="3">
        <f t="shared" si="142"/>
        <v>3178.4035999999996</v>
      </c>
      <c r="U1836" s="4">
        <f t="shared" si="143"/>
        <v>0.56923076923076921</v>
      </c>
      <c r="V1836" s="5">
        <f t="shared" si="144"/>
        <v>38.88232</v>
      </c>
    </row>
    <row r="1837" spans="1:22" x14ac:dyDescent="0.25">
      <c r="A1837" s="2" t="s">
        <v>1871</v>
      </c>
      <c r="B1837" s="2" t="s">
        <v>45</v>
      </c>
      <c r="C1837" s="2" t="s">
        <v>33</v>
      </c>
      <c r="D1837" s="2" t="s">
        <v>28</v>
      </c>
      <c r="E1837" s="2">
        <v>535.95000000000005</v>
      </c>
      <c r="F1837" s="2">
        <v>11.96</v>
      </c>
      <c r="G1837" s="2">
        <v>30.83</v>
      </c>
      <c r="H1837" s="2">
        <v>0.4</v>
      </c>
      <c r="I1837" s="2">
        <v>0</v>
      </c>
      <c r="J1837" s="2">
        <v>1</v>
      </c>
      <c r="K1837" s="2" t="s">
        <v>34</v>
      </c>
      <c r="L1837" s="2">
        <v>2.15</v>
      </c>
      <c r="M1837" s="2" t="s">
        <v>40</v>
      </c>
      <c r="N1837" s="2">
        <v>85.45</v>
      </c>
      <c r="O1837" s="2" t="s">
        <v>23</v>
      </c>
      <c r="P1837" s="2">
        <v>5.93</v>
      </c>
      <c r="Q1837" s="2">
        <v>10.77</v>
      </c>
      <c r="R1837" s="3">
        <f t="shared" si="140"/>
        <v>3178.1835000000001</v>
      </c>
      <c r="S1837" s="3">
        <f t="shared" si="141"/>
        <v>5772.1815000000006</v>
      </c>
      <c r="T1837" s="3">
        <f t="shared" si="142"/>
        <v>2593.9980000000005</v>
      </c>
      <c r="U1837" s="4">
        <f t="shared" si="143"/>
        <v>0.44939647168059427</v>
      </c>
      <c r="V1837" s="5">
        <f t="shared" si="144"/>
        <v>11.522925000000001</v>
      </c>
    </row>
    <row r="1838" spans="1:22" x14ac:dyDescent="0.25">
      <c r="A1838" s="2" t="s">
        <v>1872</v>
      </c>
      <c r="B1838" s="2" t="s">
        <v>45</v>
      </c>
      <c r="C1838" s="2" t="s">
        <v>43</v>
      </c>
      <c r="D1838" s="2" t="s">
        <v>28</v>
      </c>
      <c r="E1838" s="2">
        <v>734.91</v>
      </c>
      <c r="F1838" s="2">
        <v>14.94</v>
      </c>
      <c r="G1838" s="2">
        <v>36.869999999999997</v>
      </c>
      <c r="H1838" s="2">
        <v>1</v>
      </c>
      <c r="I1838" s="2">
        <v>0.4</v>
      </c>
      <c r="J1838" s="2">
        <v>11</v>
      </c>
      <c r="K1838" s="2" t="s">
        <v>21</v>
      </c>
      <c r="L1838" s="2">
        <v>2.61</v>
      </c>
      <c r="M1838" s="2" t="s">
        <v>22</v>
      </c>
      <c r="N1838" s="2">
        <v>96.44</v>
      </c>
      <c r="O1838" s="2" t="s">
        <v>23</v>
      </c>
      <c r="P1838" s="2">
        <v>5.84</v>
      </c>
      <c r="Q1838" s="2">
        <v>6.63</v>
      </c>
      <c r="R1838" s="3">
        <f t="shared" si="140"/>
        <v>4291.8743999999997</v>
      </c>
      <c r="S1838" s="3">
        <f t="shared" si="141"/>
        <v>4872.4533000000001</v>
      </c>
      <c r="T1838" s="3">
        <f t="shared" si="142"/>
        <v>580.57890000000043</v>
      </c>
      <c r="U1838" s="4">
        <f t="shared" si="143"/>
        <v>0.11915535444947219</v>
      </c>
      <c r="V1838" s="5">
        <f t="shared" si="144"/>
        <v>19.181150999999996</v>
      </c>
    </row>
    <row r="1839" spans="1:22" x14ac:dyDescent="0.25">
      <c r="A1839" s="2" t="s">
        <v>1873</v>
      </c>
      <c r="B1839" s="2" t="s">
        <v>26</v>
      </c>
      <c r="C1839" s="2" t="s">
        <v>33</v>
      </c>
      <c r="D1839" s="2" t="s">
        <v>20</v>
      </c>
      <c r="E1839" s="2">
        <v>428.4</v>
      </c>
      <c r="F1839" s="2">
        <v>12.89</v>
      </c>
      <c r="G1839" s="2">
        <v>35.229999999999997</v>
      </c>
      <c r="H1839" s="2">
        <v>4.0999999999999996</v>
      </c>
      <c r="I1839" s="2">
        <v>1.1000000000000001</v>
      </c>
      <c r="J1839" s="2">
        <v>3</v>
      </c>
      <c r="K1839" s="2" t="s">
        <v>34</v>
      </c>
      <c r="L1839" s="2">
        <v>5.13</v>
      </c>
      <c r="M1839" s="2" t="s">
        <v>37</v>
      </c>
      <c r="N1839" s="2">
        <v>66.84</v>
      </c>
      <c r="O1839" s="2" t="s">
        <v>23</v>
      </c>
      <c r="P1839" s="2">
        <v>3.61</v>
      </c>
      <c r="Q1839" s="2">
        <v>6.49</v>
      </c>
      <c r="R1839" s="3">
        <f t="shared" si="140"/>
        <v>1546.5239999999999</v>
      </c>
      <c r="S1839" s="3">
        <f t="shared" si="141"/>
        <v>2780.3159999999998</v>
      </c>
      <c r="T1839" s="3">
        <f t="shared" si="142"/>
        <v>1233.7919999999999</v>
      </c>
      <c r="U1839" s="4">
        <f t="shared" si="143"/>
        <v>0.44375963020030817</v>
      </c>
      <c r="V1839" s="5">
        <f t="shared" si="144"/>
        <v>21.97692</v>
      </c>
    </row>
    <row r="1840" spans="1:22" x14ac:dyDescent="0.25">
      <c r="A1840" s="2" t="s">
        <v>1874</v>
      </c>
      <c r="B1840" s="2" t="s">
        <v>26</v>
      </c>
      <c r="C1840" s="2" t="s">
        <v>43</v>
      </c>
      <c r="D1840" s="2" t="s">
        <v>20</v>
      </c>
      <c r="E1840" s="2">
        <v>458.34</v>
      </c>
      <c r="F1840" s="2">
        <v>13.13</v>
      </c>
      <c r="G1840" s="2">
        <v>21.17</v>
      </c>
      <c r="H1840" s="2">
        <v>0.9</v>
      </c>
      <c r="I1840" s="2">
        <v>0.8</v>
      </c>
      <c r="J1840" s="2">
        <v>8</v>
      </c>
      <c r="K1840" s="2" t="s">
        <v>21</v>
      </c>
      <c r="L1840" s="2">
        <v>8.6</v>
      </c>
      <c r="M1840" s="2" t="s">
        <v>22</v>
      </c>
      <c r="N1840" s="2">
        <v>62.87</v>
      </c>
      <c r="O1840" s="2" t="s">
        <v>23</v>
      </c>
      <c r="P1840" s="2">
        <v>3.02</v>
      </c>
      <c r="Q1840" s="2">
        <v>10.02</v>
      </c>
      <c r="R1840" s="3">
        <f t="shared" si="140"/>
        <v>1384.1867999999999</v>
      </c>
      <c r="S1840" s="3">
        <f t="shared" si="141"/>
        <v>4592.5667999999996</v>
      </c>
      <c r="T1840" s="3">
        <f t="shared" si="142"/>
        <v>3208.3799999999997</v>
      </c>
      <c r="U1840" s="4">
        <f t="shared" si="143"/>
        <v>0.69860279441117767</v>
      </c>
      <c r="V1840" s="5">
        <f t="shared" si="144"/>
        <v>39.41724</v>
      </c>
    </row>
    <row r="1841" spans="1:22" x14ac:dyDescent="0.25">
      <c r="A1841" s="2" t="s">
        <v>1875</v>
      </c>
      <c r="B1841" s="2" t="s">
        <v>32</v>
      </c>
      <c r="C1841" s="2" t="s">
        <v>33</v>
      </c>
      <c r="D1841" s="2" t="s">
        <v>20</v>
      </c>
      <c r="E1841" s="2">
        <v>493.69</v>
      </c>
      <c r="F1841" s="2">
        <v>10.68</v>
      </c>
      <c r="G1841" s="2">
        <v>39.97</v>
      </c>
      <c r="H1841" s="2">
        <v>6.1</v>
      </c>
      <c r="I1841" s="2">
        <v>0.6</v>
      </c>
      <c r="J1841" s="2">
        <v>5</v>
      </c>
      <c r="K1841" s="2" t="s">
        <v>34</v>
      </c>
      <c r="L1841" s="2">
        <v>2.38</v>
      </c>
      <c r="M1841" s="2" t="s">
        <v>37</v>
      </c>
      <c r="N1841" s="2">
        <v>86.3</v>
      </c>
      <c r="O1841" s="2" t="s">
        <v>23</v>
      </c>
      <c r="P1841" s="2">
        <v>9.2899999999999991</v>
      </c>
      <c r="Q1841" s="2">
        <v>12.29</v>
      </c>
      <c r="R1841" s="3">
        <f t="shared" si="140"/>
        <v>4586.3800999999994</v>
      </c>
      <c r="S1841" s="3">
        <f t="shared" si="141"/>
        <v>6067.4500999999991</v>
      </c>
      <c r="T1841" s="3">
        <f t="shared" si="142"/>
        <v>1481.0699999999997</v>
      </c>
      <c r="U1841" s="4">
        <f t="shared" si="143"/>
        <v>0.24410089503661511</v>
      </c>
      <c r="V1841" s="5">
        <f t="shared" si="144"/>
        <v>11.749822</v>
      </c>
    </row>
    <row r="1842" spans="1:22" x14ac:dyDescent="0.25">
      <c r="A1842" s="2" t="s">
        <v>1876</v>
      </c>
      <c r="B1842" s="2" t="s">
        <v>45</v>
      </c>
      <c r="C1842" s="2" t="s">
        <v>27</v>
      </c>
      <c r="D1842" s="2" t="s">
        <v>20</v>
      </c>
      <c r="E1842" s="2">
        <v>539.58000000000004</v>
      </c>
      <c r="F1842" s="2">
        <v>12.55</v>
      </c>
      <c r="G1842" s="2">
        <v>35.049999999999997</v>
      </c>
      <c r="H1842" s="2">
        <v>5.8</v>
      </c>
      <c r="I1842" s="2">
        <v>0.8</v>
      </c>
      <c r="J1842" s="2">
        <v>20</v>
      </c>
      <c r="K1842" s="2" t="s">
        <v>21</v>
      </c>
      <c r="L1842" s="2">
        <v>9.73</v>
      </c>
      <c r="M1842" s="2" t="s">
        <v>37</v>
      </c>
      <c r="N1842" s="2">
        <v>85.34</v>
      </c>
      <c r="O1842" s="2" t="s">
        <v>30</v>
      </c>
      <c r="P1842" s="2">
        <v>4.5199999999999996</v>
      </c>
      <c r="Q1842" s="2">
        <v>12.51</v>
      </c>
      <c r="R1842" s="3">
        <f t="shared" si="140"/>
        <v>2438.9016000000001</v>
      </c>
      <c r="S1842" s="3">
        <f t="shared" si="141"/>
        <v>6750.1458000000002</v>
      </c>
      <c r="T1842" s="3">
        <f t="shared" si="142"/>
        <v>4311.2442000000001</v>
      </c>
      <c r="U1842" s="4">
        <f t="shared" si="143"/>
        <v>0.6386890487609912</v>
      </c>
      <c r="V1842" s="5">
        <f t="shared" si="144"/>
        <v>52.501134</v>
      </c>
    </row>
    <row r="1843" spans="1:22" x14ac:dyDescent="0.25">
      <c r="A1843" s="2" t="s">
        <v>1877</v>
      </c>
      <c r="B1843" s="2" t="s">
        <v>45</v>
      </c>
      <c r="C1843" s="2" t="s">
        <v>19</v>
      </c>
      <c r="D1843" s="2" t="s">
        <v>28</v>
      </c>
      <c r="E1843" s="2">
        <v>526.36</v>
      </c>
      <c r="F1843" s="2">
        <v>12.71</v>
      </c>
      <c r="G1843" s="2">
        <v>37.28</v>
      </c>
      <c r="H1843" s="2">
        <v>0.3</v>
      </c>
      <c r="I1843" s="2">
        <v>0.2</v>
      </c>
      <c r="J1843" s="2">
        <v>21</v>
      </c>
      <c r="K1843" s="2" t="s">
        <v>21</v>
      </c>
      <c r="L1843" s="2">
        <v>1.71</v>
      </c>
      <c r="M1843" s="2" t="s">
        <v>40</v>
      </c>
      <c r="N1843" s="2">
        <v>96.86</v>
      </c>
      <c r="O1843" s="2" t="s">
        <v>30</v>
      </c>
      <c r="P1843" s="2">
        <v>5.98</v>
      </c>
      <c r="Q1843" s="2">
        <v>7.26</v>
      </c>
      <c r="R1843" s="3">
        <f t="shared" si="140"/>
        <v>3147.6328000000003</v>
      </c>
      <c r="S1843" s="3">
        <f t="shared" si="141"/>
        <v>3821.3735999999999</v>
      </c>
      <c r="T1843" s="3">
        <f t="shared" si="142"/>
        <v>673.74079999999958</v>
      </c>
      <c r="U1843" s="4">
        <f t="shared" si="143"/>
        <v>0.17630853994490348</v>
      </c>
      <c r="V1843" s="5">
        <f t="shared" si="144"/>
        <v>9.0007560000000009</v>
      </c>
    </row>
    <row r="1844" spans="1:22" x14ac:dyDescent="0.25">
      <c r="A1844" s="2" t="s">
        <v>1878</v>
      </c>
      <c r="B1844" s="2" t="s">
        <v>26</v>
      </c>
      <c r="C1844" s="2" t="s">
        <v>43</v>
      </c>
      <c r="D1844" s="2" t="s">
        <v>28</v>
      </c>
      <c r="E1844" s="2">
        <v>628.41</v>
      </c>
      <c r="F1844" s="2">
        <v>15.07</v>
      </c>
      <c r="G1844" s="2">
        <v>33.020000000000003</v>
      </c>
      <c r="H1844" s="2">
        <v>0.4</v>
      </c>
      <c r="I1844" s="2">
        <v>0.6</v>
      </c>
      <c r="J1844" s="2">
        <v>22</v>
      </c>
      <c r="K1844" s="2" t="s">
        <v>29</v>
      </c>
      <c r="L1844" s="2">
        <v>2.16</v>
      </c>
      <c r="M1844" s="2" t="s">
        <v>40</v>
      </c>
      <c r="N1844" s="2">
        <v>60.27</v>
      </c>
      <c r="O1844" s="2" t="s">
        <v>23</v>
      </c>
      <c r="P1844" s="2">
        <v>9.8000000000000007</v>
      </c>
      <c r="Q1844" s="2">
        <v>6</v>
      </c>
      <c r="R1844" s="3">
        <f t="shared" si="140"/>
        <v>6158.4180000000006</v>
      </c>
      <c r="S1844" s="3">
        <f t="shared" si="141"/>
        <v>3770.46</v>
      </c>
      <c r="T1844" s="3">
        <f t="shared" si="142"/>
        <v>-2387.9580000000005</v>
      </c>
      <c r="U1844" s="4">
        <f t="shared" si="143"/>
        <v>-0.63333333333333341</v>
      </c>
      <c r="V1844" s="5">
        <f t="shared" si="144"/>
        <v>13.573656000000001</v>
      </c>
    </row>
    <row r="1845" spans="1:22" x14ac:dyDescent="0.25">
      <c r="A1845" s="2" t="s">
        <v>1879</v>
      </c>
      <c r="B1845" s="2" t="s">
        <v>18</v>
      </c>
      <c r="C1845" s="2" t="s">
        <v>33</v>
      </c>
      <c r="D1845" s="2" t="s">
        <v>20</v>
      </c>
      <c r="E1845" s="2">
        <v>257.36</v>
      </c>
      <c r="F1845" s="2">
        <v>17.41</v>
      </c>
      <c r="G1845" s="2">
        <v>37.130000000000003</v>
      </c>
      <c r="H1845" s="2">
        <v>4</v>
      </c>
      <c r="I1845" s="2">
        <v>0.7</v>
      </c>
      <c r="J1845" s="2">
        <v>22</v>
      </c>
      <c r="K1845" s="2" t="s">
        <v>21</v>
      </c>
      <c r="L1845" s="2">
        <v>2.09</v>
      </c>
      <c r="M1845" s="2" t="s">
        <v>37</v>
      </c>
      <c r="N1845" s="2">
        <v>85.26</v>
      </c>
      <c r="O1845" s="2" t="s">
        <v>23</v>
      </c>
      <c r="P1845" s="2">
        <v>8.7899999999999991</v>
      </c>
      <c r="Q1845" s="2">
        <v>8.84</v>
      </c>
      <c r="R1845" s="3">
        <f t="shared" si="140"/>
        <v>2262.1943999999999</v>
      </c>
      <c r="S1845" s="3">
        <f t="shared" si="141"/>
        <v>2275.0624000000003</v>
      </c>
      <c r="T1845" s="3">
        <f t="shared" si="142"/>
        <v>12.868000000000393</v>
      </c>
      <c r="U1845" s="4">
        <f t="shared" si="143"/>
        <v>5.6561085972852403E-3</v>
      </c>
      <c r="V1845" s="5">
        <f t="shared" si="144"/>
        <v>5.3788239999999998</v>
      </c>
    </row>
    <row r="1846" spans="1:22" x14ac:dyDescent="0.25">
      <c r="A1846" s="2" t="s">
        <v>1880</v>
      </c>
      <c r="B1846" s="2" t="s">
        <v>45</v>
      </c>
      <c r="C1846" s="2" t="s">
        <v>33</v>
      </c>
      <c r="D1846" s="2" t="s">
        <v>28</v>
      </c>
      <c r="E1846" s="2">
        <v>261.31</v>
      </c>
      <c r="F1846" s="2">
        <v>11.29</v>
      </c>
      <c r="G1846" s="2">
        <v>22.25</v>
      </c>
      <c r="H1846" s="2">
        <v>1</v>
      </c>
      <c r="I1846" s="2">
        <v>2.2999999999999998</v>
      </c>
      <c r="J1846" s="2">
        <v>5</v>
      </c>
      <c r="K1846" s="2" t="s">
        <v>29</v>
      </c>
      <c r="L1846" s="2">
        <v>6.07</v>
      </c>
      <c r="M1846" s="2" t="s">
        <v>22</v>
      </c>
      <c r="N1846" s="2">
        <v>53.34</v>
      </c>
      <c r="O1846" s="2" t="s">
        <v>30</v>
      </c>
      <c r="P1846" s="2">
        <v>3.76</v>
      </c>
      <c r="Q1846" s="2">
        <v>14.18</v>
      </c>
      <c r="R1846" s="3">
        <f t="shared" si="140"/>
        <v>982.52559999999994</v>
      </c>
      <c r="S1846" s="3">
        <f t="shared" si="141"/>
        <v>3705.3757999999998</v>
      </c>
      <c r="T1846" s="3">
        <f t="shared" si="142"/>
        <v>2722.8501999999999</v>
      </c>
      <c r="U1846" s="4">
        <f t="shared" si="143"/>
        <v>0.73483779971791252</v>
      </c>
      <c r="V1846" s="5">
        <f t="shared" si="144"/>
        <v>15.861517000000001</v>
      </c>
    </row>
    <row r="1847" spans="1:22" x14ac:dyDescent="0.25">
      <c r="A1847" s="2" t="s">
        <v>1881</v>
      </c>
      <c r="B1847" s="2" t="s">
        <v>18</v>
      </c>
      <c r="C1847" s="2" t="s">
        <v>33</v>
      </c>
      <c r="D1847" s="2" t="s">
        <v>28</v>
      </c>
      <c r="E1847" s="2">
        <v>450.41</v>
      </c>
      <c r="F1847" s="2">
        <v>8.42</v>
      </c>
      <c r="G1847" s="2">
        <v>26.95</v>
      </c>
      <c r="H1847" s="2">
        <v>0</v>
      </c>
      <c r="I1847" s="2">
        <v>0.3</v>
      </c>
      <c r="J1847" s="2">
        <v>28</v>
      </c>
      <c r="K1847" s="2" t="s">
        <v>34</v>
      </c>
      <c r="L1847" s="2">
        <v>9.2200000000000006</v>
      </c>
      <c r="M1847" s="2" t="s">
        <v>37</v>
      </c>
      <c r="N1847" s="2">
        <v>74.02</v>
      </c>
      <c r="O1847" s="2" t="s">
        <v>24</v>
      </c>
      <c r="P1847" s="2">
        <v>6.56</v>
      </c>
      <c r="Q1847" s="2">
        <v>10.45</v>
      </c>
      <c r="R1847" s="3">
        <f t="shared" si="140"/>
        <v>2954.6896000000002</v>
      </c>
      <c r="S1847" s="3">
        <f t="shared" si="141"/>
        <v>4706.7844999999998</v>
      </c>
      <c r="T1847" s="3">
        <f t="shared" si="142"/>
        <v>1752.0948999999996</v>
      </c>
      <c r="U1847" s="4">
        <f t="shared" si="143"/>
        <v>0.37224880382775111</v>
      </c>
      <c r="V1847" s="5">
        <f t="shared" si="144"/>
        <v>41.527802000000001</v>
      </c>
    </row>
    <row r="1848" spans="1:22" x14ac:dyDescent="0.25">
      <c r="A1848" s="2" t="s">
        <v>1882</v>
      </c>
      <c r="B1848" s="2" t="s">
        <v>26</v>
      </c>
      <c r="C1848" s="2" t="s">
        <v>27</v>
      </c>
      <c r="D1848" s="2" t="s">
        <v>20</v>
      </c>
      <c r="E1848" s="2">
        <v>609.73</v>
      </c>
      <c r="F1848" s="2">
        <v>12.96</v>
      </c>
      <c r="G1848" s="2">
        <v>37.53</v>
      </c>
      <c r="H1848" s="2">
        <v>0.6</v>
      </c>
      <c r="I1848" s="2">
        <v>2</v>
      </c>
      <c r="J1848" s="2">
        <v>11</v>
      </c>
      <c r="K1848" s="2" t="s">
        <v>34</v>
      </c>
      <c r="L1848" s="2">
        <v>2.92</v>
      </c>
      <c r="M1848" s="2" t="s">
        <v>40</v>
      </c>
      <c r="N1848" s="2">
        <v>55.97</v>
      </c>
      <c r="O1848" s="2" t="s">
        <v>30</v>
      </c>
      <c r="P1848" s="2">
        <v>8.11</v>
      </c>
      <c r="Q1848" s="2">
        <v>8.1999999999999993</v>
      </c>
      <c r="R1848" s="3">
        <f t="shared" si="140"/>
        <v>4944.9102999999996</v>
      </c>
      <c r="S1848" s="3">
        <f t="shared" si="141"/>
        <v>4999.7860000000001</v>
      </c>
      <c r="T1848" s="3">
        <f t="shared" si="142"/>
        <v>54.875700000000506</v>
      </c>
      <c r="U1848" s="4">
        <f t="shared" si="143"/>
        <v>1.0975609756097663E-2</v>
      </c>
      <c r="V1848" s="5">
        <f t="shared" si="144"/>
        <v>17.804116</v>
      </c>
    </row>
    <row r="1849" spans="1:22" x14ac:dyDescent="0.25">
      <c r="A1849" s="2" t="s">
        <v>1883</v>
      </c>
      <c r="B1849" s="2" t="s">
        <v>26</v>
      </c>
      <c r="C1849" s="2" t="s">
        <v>27</v>
      </c>
      <c r="D1849" s="2" t="s">
        <v>28</v>
      </c>
      <c r="E1849" s="2">
        <v>343.44</v>
      </c>
      <c r="F1849" s="2">
        <v>13.44</v>
      </c>
      <c r="G1849" s="2">
        <v>24.03</v>
      </c>
      <c r="H1849" s="2">
        <v>1.8</v>
      </c>
      <c r="I1849" s="2">
        <v>1</v>
      </c>
      <c r="J1849" s="2">
        <v>12</v>
      </c>
      <c r="K1849" s="2" t="s">
        <v>29</v>
      </c>
      <c r="L1849" s="2">
        <v>5.75</v>
      </c>
      <c r="M1849" s="2" t="s">
        <v>22</v>
      </c>
      <c r="N1849" s="2">
        <v>82.66</v>
      </c>
      <c r="O1849" s="2" t="s">
        <v>23</v>
      </c>
      <c r="P1849" s="2">
        <v>7.89</v>
      </c>
      <c r="Q1849" s="2">
        <v>8.24</v>
      </c>
      <c r="R1849" s="3">
        <f t="shared" si="140"/>
        <v>2709.7415999999998</v>
      </c>
      <c r="S1849" s="3">
        <f t="shared" si="141"/>
        <v>2829.9456</v>
      </c>
      <c r="T1849" s="3">
        <f t="shared" si="142"/>
        <v>120.20400000000018</v>
      </c>
      <c r="U1849" s="4">
        <f t="shared" si="143"/>
        <v>4.247572815533987E-2</v>
      </c>
      <c r="V1849" s="5">
        <f t="shared" si="144"/>
        <v>19.747799999999998</v>
      </c>
    </row>
    <row r="1850" spans="1:22" x14ac:dyDescent="0.25">
      <c r="A1850" s="2" t="s">
        <v>1884</v>
      </c>
      <c r="B1850" s="2" t="s">
        <v>32</v>
      </c>
      <c r="C1850" s="2" t="s">
        <v>43</v>
      </c>
      <c r="D1850" s="2" t="s">
        <v>20</v>
      </c>
      <c r="E1850" s="2">
        <v>199.24</v>
      </c>
      <c r="F1850" s="2">
        <v>9.68</v>
      </c>
      <c r="G1850" s="2">
        <v>21.56</v>
      </c>
      <c r="H1850" s="2">
        <v>3.2</v>
      </c>
      <c r="I1850" s="2">
        <v>0</v>
      </c>
      <c r="J1850" s="2">
        <v>22</v>
      </c>
      <c r="K1850" s="2" t="s">
        <v>34</v>
      </c>
      <c r="L1850" s="2">
        <v>2.17</v>
      </c>
      <c r="M1850" s="2" t="s">
        <v>37</v>
      </c>
      <c r="N1850" s="2">
        <v>80.069999999999993</v>
      </c>
      <c r="O1850" s="2" t="s">
        <v>24</v>
      </c>
      <c r="P1850" s="2">
        <v>8.33</v>
      </c>
      <c r="Q1850" s="2">
        <v>6.32</v>
      </c>
      <c r="R1850" s="3">
        <f t="shared" si="140"/>
        <v>1659.6692</v>
      </c>
      <c r="S1850" s="3">
        <f t="shared" si="141"/>
        <v>1259.1968000000002</v>
      </c>
      <c r="T1850" s="3">
        <f t="shared" si="142"/>
        <v>-400.47239999999988</v>
      </c>
      <c r="U1850" s="4">
        <f t="shared" si="143"/>
        <v>-0.31803797468354417</v>
      </c>
      <c r="V1850" s="5">
        <f t="shared" si="144"/>
        <v>4.3235080000000004</v>
      </c>
    </row>
    <row r="1851" spans="1:22" x14ac:dyDescent="0.25">
      <c r="A1851" s="2" t="s">
        <v>1885</v>
      </c>
      <c r="B1851" s="2" t="s">
        <v>45</v>
      </c>
      <c r="C1851" s="2" t="s">
        <v>43</v>
      </c>
      <c r="D1851" s="2" t="s">
        <v>20</v>
      </c>
      <c r="E1851" s="2">
        <v>557.12</v>
      </c>
      <c r="F1851" s="2">
        <v>15.6</v>
      </c>
      <c r="G1851" s="2">
        <v>35.76</v>
      </c>
      <c r="H1851" s="2">
        <v>0.3</v>
      </c>
      <c r="I1851" s="2">
        <v>1.3</v>
      </c>
      <c r="J1851" s="2">
        <v>9</v>
      </c>
      <c r="K1851" s="2" t="s">
        <v>29</v>
      </c>
      <c r="L1851" s="2">
        <v>6.5</v>
      </c>
      <c r="M1851" s="2" t="s">
        <v>40</v>
      </c>
      <c r="N1851" s="2">
        <v>52.44</v>
      </c>
      <c r="O1851" s="2" t="s">
        <v>23</v>
      </c>
      <c r="P1851" s="2">
        <v>6.2</v>
      </c>
      <c r="Q1851" s="2">
        <v>9.73</v>
      </c>
      <c r="R1851" s="3">
        <f t="shared" si="140"/>
        <v>3454.1440000000002</v>
      </c>
      <c r="S1851" s="3">
        <f t="shared" si="141"/>
        <v>5420.7776000000003</v>
      </c>
      <c r="T1851" s="3">
        <f t="shared" si="142"/>
        <v>1966.6336000000001</v>
      </c>
      <c r="U1851" s="4">
        <f t="shared" si="143"/>
        <v>0.36279547790339156</v>
      </c>
      <c r="V1851" s="5">
        <f t="shared" si="144"/>
        <v>36.212800000000001</v>
      </c>
    </row>
    <row r="1852" spans="1:22" x14ac:dyDescent="0.25">
      <c r="A1852" s="2" t="s">
        <v>1886</v>
      </c>
      <c r="B1852" s="2" t="s">
        <v>18</v>
      </c>
      <c r="C1852" s="2" t="s">
        <v>27</v>
      </c>
      <c r="D1852" s="2" t="s">
        <v>28</v>
      </c>
      <c r="E1852" s="2">
        <v>524.37</v>
      </c>
      <c r="F1852" s="2">
        <v>17.850000000000001</v>
      </c>
      <c r="G1852" s="2">
        <v>36.71</v>
      </c>
      <c r="H1852" s="2">
        <v>0.2</v>
      </c>
      <c r="I1852" s="2">
        <v>0</v>
      </c>
      <c r="J1852" s="2">
        <v>21</v>
      </c>
      <c r="K1852" s="2" t="s">
        <v>34</v>
      </c>
      <c r="L1852" s="2">
        <v>1.67</v>
      </c>
      <c r="M1852" s="2" t="s">
        <v>37</v>
      </c>
      <c r="N1852" s="2">
        <v>65.98</v>
      </c>
      <c r="O1852" s="2" t="s">
        <v>24</v>
      </c>
      <c r="P1852" s="2">
        <v>4.2300000000000004</v>
      </c>
      <c r="Q1852" s="2">
        <v>12.91</v>
      </c>
      <c r="R1852" s="3">
        <f t="shared" si="140"/>
        <v>2218.0851000000002</v>
      </c>
      <c r="S1852" s="3">
        <f t="shared" si="141"/>
        <v>6769.6167000000005</v>
      </c>
      <c r="T1852" s="3">
        <f t="shared" si="142"/>
        <v>4551.5316000000003</v>
      </c>
      <c r="U1852" s="4">
        <f t="shared" si="143"/>
        <v>0.67234701781564676</v>
      </c>
      <c r="V1852" s="5">
        <f t="shared" si="144"/>
        <v>8.7569789999999994</v>
      </c>
    </row>
    <row r="1853" spans="1:22" x14ac:dyDescent="0.25">
      <c r="A1853" s="2" t="s">
        <v>1887</v>
      </c>
      <c r="B1853" s="2" t="s">
        <v>32</v>
      </c>
      <c r="C1853" s="2" t="s">
        <v>43</v>
      </c>
      <c r="D1853" s="2" t="s">
        <v>28</v>
      </c>
      <c r="E1853" s="2">
        <v>390.98</v>
      </c>
      <c r="F1853" s="2">
        <v>17.46</v>
      </c>
      <c r="G1853" s="2">
        <v>23.25</v>
      </c>
      <c r="H1853" s="2">
        <v>5.0999999999999996</v>
      </c>
      <c r="I1853" s="2">
        <v>5.9</v>
      </c>
      <c r="J1853" s="2">
        <v>13</v>
      </c>
      <c r="K1853" s="2" t="s">
        <v>29</v>
      </c>
      <c r="L1853" s="2">
        <v>5.17</v>
      </c>
      <c r="M1853" s="2" t="s">
        <v>37</v>
      </c>
      <c r="N1853" s="2">
        <v>69.75</v>
      </c>
      <c r="O1853" s="2" t="s">
        <v>23</v>
      </c>
      <c r="P1853" s="2">
        <v>6.25</v>
      </c>
      <c r="Q1853" s="2">
        <v>14.69</v>
      </c>
      <c r="R1853" s="3">
        <f t="shared" si="140"/>
        <v>2443.625</v>
      </c>
      <c r="S1853" s="3">
        <f t="shared" si="141"/>
        <v>5743.4962000000005</v>
      </c>
      <c r="T1853" s="3">
        <f t="shared" si="142"/>
        <v>3299.8712000000005</v>
      </c>
      <c r="U1853" s="4">
        <f t="shared" si="143"/>
        <v>0.57454050374404364</v>
      </c>
      <c r="V1853" s="5">
        <f t="shared" si="144"/>
        <v>20.213666</v>
      </c>
    </row>
    <row r="1854" spans="1:22" x14ac:dyDescent="0.25">
      <c r="A1854" s="2" t="s">
        <v>1888</v>
      </c>
      <c r="B1854" s="2" t="s">
        <v>45</v>
      </c>
      <c r="C1854" s="2" t="s">
        <v>19</v>
      </c>
      <c r="D1854" s="2" t="s">
        <v>20</v>
      </c>
      <c r="E1854" s="2">
        <v>401.45</v>
      </c>
      <c r="F1854" s="2">
        <v>9.9700000000000006</v>
      </c>
      <c r="G1854" s="2">
        <v>37.090000000000003</v>
      </c>
      <c r="H1854" s="2">
        <v>2.8</v>
      </c>
      <c r="I1854" s="2">
        <v>2.1</v>
      </c>
      <c r="J1854" s="2">
        <v>22</v>
      </c>
      <c r="K1854" s="2" t="s">
        <v>29</v>
      </c>
      <c r="L1854" s="2">
        <v>6.72</v>
      </c>
      <c r="M1854" s="2" t="s">
        <v>37</v>
      </c>
      <c r="N1854" s="2">
        <v>62.4</v>
      </c>
      <c r="O1854" s="2" t="s">
        <v>30</v>
      </c>
      <c r="P1854" s="2">
        <v>7.54</v>
      </c>
      <c r="Q1854" s="2">
        <v>10.02</v>
      </c>
      <c r="R1854" s="3">
        <f t="shared" si="140"/>
        <v>3026.933</v>
      </c>
      <c r="S1854" s="3">
        <f t="shared" si="141"/>
        <v>4022.5289999999995</v>
      </c>
      <c r="T1854" s="3">
        <f t="shared" si="142"/>
        <v>995.59599999999955</v>
      </c>
      <c r="U1854" s="4">
        <f t="shared" si="143"/>
        <v>0.24750499001995999</v>
      </c>
      <c r="V1854" s="5">
        <f t="shared" si="144"/>
        <v>26.977439999999998</v>
      </c>
    </row>
    <row r="1855" spans="1:22" x14ac:dyDescent="0.25">
      <c r="A1855" s="2" t="s">
        <v>1889</v>
      </c>
      <c r="B1855" s="2" t="s">
        <v>32</v>
      </c>
      <c r="C1855" s="2" t="s">
        <v>19</v>
      </c>
      <c r="D1855" s="2" t="s">
        <v>20</v>
      </c>
      <c r="E1855" s="2">
        <v>403.03</v>
      </c>
      <c r="F1855" s="2">
        <v>16.75</v>
      </c>
      <c r="G1855" s="2">
        <v>33.74</v>
      </c>
      <c r="H1855" s="2">
        <v>1.8</v>
      </c>
      <c r="I1855" s="2">
        <v>0.4</v>
      </c>
      <c r="J1855" s="2">
        <v>20</v>
      </c>
      <c r="K1855" s="2" t="s">
        <v>21</v>
      </c>
      <c r="L1855" s="2">
        <v>6</v>
      </c>
      <c r="M1855" s="2" t="s">
        <v>22</v>
      </c>
      <c r="N1855" s="2">
        <v>51.93</v>
      </c>
      <c r="O1855" s="2" t="s">
        <v>23</v>
      </c>
      <c r="P1855" s="2">
        <v>7.26</v>
      </c>
      <c r="Q1855" s="2">
        <v>6.67</v>
      </c>
      <c r="R1855" s="3">
        <f t="shared" si="140"/>
        <v>2925.9977999999996</v>
      </c>
      <c r="S1855" s="3">
        <f t="shared" si="141"/>
        <v>2688.2100999999998</v>
      </c>
      <c r="T1855" s="3">
        <f t="shared" si="142"/>
        <v>-237.78769999999986</v>
      </c>
      <c r="U1855" s="4">
        <f t="shared" si="143"/>
        <v>-8.8455772113942982E-2</v>
      </c>
      <c r="V1855" s="5">
        <f t="shared" si="144"/>
        <v>24.181799999999999</v>
      </c>
    </row>
    <row r="1856" spans="1:22" x14ac:dyDescent="0.25">
      <c r="A1856" s="2" t="s">
        <v>1890</v>
      </c>
      <c r="B1856" s="2" t="s">
        <v>26</v>
      </c>
      <c r="C1856" s="2" t="s">
        <v>27</v>
      </c>
      <c r="D1856" s="2" t="s">
        <v>28</v>
      </c>
      <c r="E1856" s="2">
        <v>511.05</v>
      </c>
      <c r="F1856" s="2">
        <v>15.04</v>
      </c>
      <c r="G1856" s="2">
        <v>30.4</v>
      </c>
      <c r="H1856" s="2">
        <v>2.9</v>
      </c>
      <c r="I1856" s="2">
        <v>0.3</v>
      </c>
      <c r="J1856" s="2">
        <v>29</v>
      </c>
      <c r="K1856" s="2" t="s">
        <v>34</v>
      </c>
      <c r="L1856" s="2">
        <v>1.83</v>
      </c>
      <c r="M1856" s="2" t="s">
        <v>40</v>
      </c>
      <c r="N1856" s="2">
        <v>65.94</v>
      </c>
      <c r="O1856" s="2" t="s">
        <v>30</v>
      </c>
      <c r="P1856" s="2">
        <v>3.49</v>
      </c>
      <c r="Q1856" s="2">
        <v>11.83</v>
      </c>
      <c r="R1856" s="3">
        <f t="shared" si="140"/>
        <v>1783.5645000000002</v>
      </c>
      <c r="S1856" s="3">
        <f t="shared" si="141"/>
        <v>6045.7215000000006</v>
      </c>
      <c r="T1856" s="3">
        <f t="shared" si="142"/>
        <v>4262.1570000000002</v>
      </c>
      <c r="U1856" s="4">
        <f t="shared" si="143"/>
        <v>0.70498732037193568</v>
      </c>
      <c r="V1856" s="5">
        <f t="shared" si="144"/>
        <v>9.3522150000000011</v>
      </c>
    </row>
    <row r="1857" spans="1:22" x14ac:dyDescent="0.25">
      <c r="A1857" s="2" t="s">
        <v>1891</v>
      </c>
      <c r="B1857" s="2" t="s">
        <v>45</v>
      </c>
      <c r="C1857" s="2" t="s">
        <v>43</v>
      </c>
      <c r="D1857" s="2" t="s">
        <v>20</v>
      </c>
      <c r="E1857" s="2">
        <v>437.37</v>
      </c>
      <c r="F1857" s="2">
        <v>12.54</v>
      </c>
      <c r="G1857" s="2">
        <v>36.61</v>
      </c>
      <c r="H1857" s="2">
        <v>1.1000000000000001</v>
      </c>
      <c r="I1857" s="2">
        <v>0.5</v>
      </c>
      <c r="J1857" s="2">
        <v>3</v>
      </c>
      <c r="K1857" s="2" t="s">
        <v>21</v>
      </c>
      <c r="L1857" s="2">
        <v>2.0299999999999998</v>
      </c>
      <c r="M1857" s="2" t="s">
        <v>40</v>
      </c>
      <c r="N1857" s="2">
        <v>89.63</v>
      </c>
      <c r="O1857" s="2" t="s">
        <v>24</v>
      </c>
      <c r="P1857" s="2">
        <v>3.45</v>
      </c>
      <c r="Q1857" s="2">
        <v>12.57</v>
      </c>
      <c r="R1857" s="3">
        <f t="shared" si="140"/>
        <v>1508.9265</v>
      </c>
      <c r="S1857" s="3">
        <f t="shared" si="141"/>
        <v>5497.7408999999998</v>
      </c>
      <c r="T1857" s="3">
        <f t="shared" si="142"/>
        <v>3988.8143999999998</v>
      </c>
      <c r="U1857" s="4">
        <f t="shared" si="143"/>
        <v>0.72553699284009543</v>
      </c>
      <c r="V1857" s="5">
        <f t="shared" si="144"/>
        <v>8.8786109999999994</v>
      </c>
    </row>
    <row r="1858" spans="1:22" x14ac:dyDescent="0.25">
      <c r="A1858" s="2" t="s">
        <v>1892</v>
      </c>
      <c r="B1858" s="2" t="s">
        <v>32</v>
      </c>
      <c r="C1858" s="2" t="s">
        <v>33</v>
      </c>
      <c r="D1858" s="2" t="s">
        <v>20</v>
      </c>
      <c r="E1858" s="2">
        <v>549.41</v>
      </c>
      <c r="F1858" s="2">
        <v>13.41</v>
      </c>
      <c r="G1858" s="2">
        <v>28.38</v>
      </c>
      <c r="H1858" s="2">
        <v>2.8</v>
      </c>
      <c r="I1858" s="2">
        <v>0.4</v>
      </c>
      <c r="J1858" s="2">
        <v>13</v>
      </c>
      <c r="K1858" s="2" t="s">
        <v>29</v>
      </c>
      <c r="L1858" s="2">
        <v>6.88</v>
      </c>
      <c r="M1858" s="2" t="s">
        <v>37</v>
      </c>
      <c r="N1858" s="2">
        <v>68.010000000000005</v>
      </c>
      <c r="O1858" s="2" t="s">
        <v>30</v>
      </c>
      <c r="P1858" s="2">
        <v>9.76</v>
      </c>
      <c r="Q1858" s="2">
        <v>5.72</v>
      </c>
      <c r="R1858" s="3">
        <f t="shared" si="140"/>
        <v>5362.2415999999994</v>
      </c>
      <c r="S1858" s="3">
        <f t="shared" si="141"/>
        <v>3142.6251999999995</v>
      </c>
      <c r="T1858" s="3">
        <f t="shared" si="142"/>
        <v>-2219.6163999999999</v>
      </c>
      <c r="U1858" s="4">
        <f t="shared" si="143"/>
        <v>-0.70629370629370636</v>
      </c>
      <c r="V1858" s="5">
        <f t="shared" si="144"/>
        <v>37.799408</v>
      </c>
    </row>
    <row r="1859" spans="1:22" x14ac:dyDescent="0.25">
      <c r="A1859" s="2" t="s">
        <v>1893</v>
      </c>
      <c r="B1859" s="2" t="s">
        <v>32</v>
      </c>
      <c r="C1859" s="2" t="s">
        <v>19</v>
      </c>
      <c r="D1859" s="2" t="s">
        <v>20</v>
      </c>
      <c r="E1859" s="2">
        <v>214.54</v>
      </c>
      <c r="F1859" s="2">
        <v>16.5</v>
      </c>
      <c r="G1859" s="2">
        <v>23.88</v>
      </c>
      <c r="H1859" s="2">
        <v>0.9</v>
      </c>
      <c r="I1859" s="2">
        <v>0.5</v>
      </c>
      <c r="J1859" s="2">
        <v>28</v>
      </c>
      <c r="K1859" s="2" t="s">
        <v>21</v>
      </c>
      <c r="L1859" s="2">
        <v>8.18</v>
      </c>
      <c r="M1859" s="2" t="s">
        <v>37</v>
      </c>
      <c r="N1859" s="2">
        <v>66.17</v>
      </c>
      <c r="O1859" s="2" t="s">
        <v>24</v>
      </c>
      <c r="P1859" s="2">
        <v>4.0599999999999996</v>
      </c>
      <c r="Q1859" s="2">
        <v>13.5</v>
      </c>
      <c r="R1859" s="3">
        <f t="shared" ref="R1859:R1922" si="145">E1859*P1859</f>
        <v>871.03239999999994</v>
      </c>
      <c r="S1859" s="3">
        <f t="shared" ref="S1859:S1922" si="146">E1859*Q1859</f>
        <v>2896.29</v>
      </c>
      <c r="T1859" s="3">
        <f t="shared" ref="T1859:T1922" si="147">S1859-R1859</f>
        <v>2025.2575999999999</v>
      </c>
      <c r="U1859" s="4">
        <f t="shared" ref="U1859:U1922" si="148">T1859/S1859</f>
        <v>0.69925925925925925</v>
      </c>
      <c r="V1859" s="5">
        <f t="shared" ref="V1859:V1922" si="149">E1859*L1859/100</f>
        <v>17.549371999999998</v>
      </c>
    </row>
    <row r="1860" spans="1:22" x14ac:dyDescent="0.25">
      <c r="A1860" s="2" t="s">
        <v>1894</v>
      </c>
      <c r="B1860" s="2" t="s">
        <v>18</v>
      </c>
      <c r="C1860" s="2" t="s">
        <v>27</v>
      </c>
      <c r="D1860" s="2" t="s">
        <v>28</v>
      </c>
      <c r="E1860" s="2">
        <v>414.31</v>
      </c>
      <c r="F1860" s="2">
        <v>12.8</v>
      </c>
      <c r="G1860" s="2">
        <v>25.7</v>
      </c>
      <c r="H1860" s="2">
        <v>0.6</v>
      </c>
      <c r="I1860" s="2">
        <v>0.4</v>
      </c>
      <c r="J1860" s="2">
        <v>22</v>
      </c>
      <c r="K1860" s="2" t="s">
        <v>29</v>
      </c>
      <c r="L1860" s="2">
        <v>9.1300000000000008</v>
      </c>
      <c r="M1860" s="2" t="s">
        <v>37</v>
      </c>
      <c r="N1860" s="2">
        <v>97.09</v>
      </c>
      <c r="O1860" s="2" t="s">
        <v>23</v>
      </c>
      <c r="P1860" s="2">
        <v>5.0599999999999996</v>
      </c>
      <c r="Q1860" s="2">
        <v>13.29</v>
      </c>
      <c r="R1860" s="3">
        <f t="shared" si="145"/>
        <v>2096.4085999999998</v>
      </c>
      <c r="S1860" s="3">
        <f t="shared" si="146"/>
        <v>5506.1799000000001</v>
      </c>
      <c r="T1860" s="3">
        <f t="shared" si="147"/>
        <v>3409.7713000000003</v>
      </c>
      <c r="U1860" s="4">
        <f t="shared" si="148"/>
        <v>0.61926260346124906</v>
      </c>
      <c r="V1860" s="5">
        <f t="shared" si="149"/>
        <v>37.826503000000002</v>
      </c>
    </row>
    <row r="1861" spans="1:22" x14ac:dyDescent="0.25">
      <c r="A1861" s="2" t="s">
        <v>1895</v>
      </c>
      <c r="B1861" s="2" t="s">
        <v>32</v>
      </c>
      <c r="C1861" s="2" t="s">
        <v>43</v>
      </c>
      <c r="D1861" s="2" t="s">
        <v>20</v>
      </c>
      <c r="E1861" s="2">
        <v>387.39</v>
      </c>
      <c r="F1861" s="2">
        <v>11.73</v>
      </c>
      <c r="G1861" s="2">
        <v>30.1</v>
      </c>
      <c r="H1861" s="2">
        <v>2.6</v>
      </c>
      <c r="I1861" s="2">
        <v>1</v>
      </c>
      <c r="J1861" s="2">
        <v>11</v>
      </c>
      <c r="K1861" s="2" t="s">
        <v>34</v>
      </c>
      <c r="L1861" s="2">
        <v>8.23</v>
      </c>
      <c r="M1861" s="2" t="s">
        <v>22</v>
      </c>
      <c r="N1861" s="2">
        <v>52.08</v>
      </c>
      <c r="O1861" s="2" t="s">
        <v>30</v>
      </c>
      <c r="P1861" s="2">
        <v>8.3699999999999992</v>
      </c>
      <c r="Q1861" s="2">
        <v>9.73</v>
      </c>
      <c r="R1861" s="3">
        <f t="shared" si="145"/>
        <v>3242.4542999999994</v>
      </c>
      <c r="S1861" s="3">
        <f t="shared" si="146"/>
        <v>3769.3047000000001</v>
      </c>
      <c r="T1861" s="3">
        <f t="shared" si="147"/>
        <v>526.85040000000072</v>
      </c>
      <c r="U1861" s="4">
        <f t="shared" si="148"/>
        <v>0.1397738951695788</v>
      </c>
      <c r="V1861" s="5">
        <f t="shared" si="149"/>
        <v>31.882197000000001</v>
      </c>
    </row>
    <row r="1862" spans="1:22" x14ac:dyDescent="0.25">
      <c r="A1862" s="2" t="s">
        <v>1896</v>
      </c>
      <c r="B1862" s="2" t="s">
        <v>45</v>
      </c>
      <c r="C1862" s="2" t="s">
        <v>27</v>
      </c>
      <c r="D1862" s="2" t="s">
        <v>28</v>
      </c>
      <c r="E1862" s="2">
        <v>474.37</v>
      </c>
      <c r="F1862" s="2">
        <v>12.93</v>
      </c>
      <c r="G1862" s="2">
        <v>30.63</v>
      </c>
      <c r="H1862" s="2">
        <v>1.1000000000000001</v>
      </c>
      <c r="I1862" s="2">
        <v>0.2</v>
      </c>
      <c r="J1862" s="2">
        <v>11</v>
      </c>
      <c r="K1862" s="2" t="s">
        <v>34</v>
      </c>
      <c r="L1862" s="2">
        <v>9.75</v>
      </c>
      <c r="M1862" s="2" t="s">
        <v>40</v>
      </c>
      <c r="N1862" s="2">
        <v>88.36</v>
      </c>
      <c r="O1862" s="2" t="s">
        <v>24</v>
      </c>
      <c r="P1862" s="2">
        <v>5.87</v>
      </c>
      <c r="Q1862" s="2">
        <v>10.6</v>
      </c>
      <c r="R1862" s="3">
        <f t="shared" si="145"/>
        <v>2784.5518999999999</v>
      </c>
      <c r="S1862" s="3">
        <f t="shared" si="146"/>
        <v>5028.3220000000001</v>
      </c>
      <c r="T1862" s="3">
        <f t="shared" si="147"/>
        <v>2243.7701000000002</v>
      </c>
      <c r="U1862" s="4">
        <f t="shared" si="148"/>
        <v>0.44622641509433963</v>
      </c>
      <c r="V1862" s="5">
        <f t="shared" si="149"/>
        <v>46.251075</v>
      </c>
    </row>
    <row r="1863" spans="1:22" x14ac:dyDescent="0.25">
      <c r="A1863" s="2" t="s">
        <v>1897</v>
      </c>
      <c r="B1863" s="2" t="s">
        <v>45</v>
      </c>
      <c r="C1863" s="2" t="s">
        <v>33</v>
      </c>
      <c r="D1863" s="2" t="s">
        <v>20</v>
      </c>
      <c r="E1863" s="2">
        <v>446.2</v>
      </c>
      <c r="F1863" s="2">
        <v>13.79</v>
      </c>
      <c r="G1863" s="2">
        <v>36.11</v>
      </c>
      <c r="H1863" s="2">
        <v>8</v>
      </c>
      <c r="I1863" s="2">
        <v>1.9</v>
      </c>
      <c r="J1863" s="2">
        <v>21</v>
      </c>
      <c r="K1863" s="2" t="s">
        <v>34</v>
      </c>
      <c r="L1863" s="2">
        <v>4.38</v>
      </c>
      <c r="M1863" s="2" t="s">
        <v>37</v>
      </c>
      <c r="N1863" s="2">
        <v>74.150000000000006</v>
      </c>
      <c r="O1863" s="2" t="s">
        <v>24</v>
      </c>
      <c r="P1863" s="2">
        <v>4.2699999999999996</v>
      </c>
      <c r="Q1863" s="2">
        <v>12.13</v>
      </c>
      <c r="R1863" s="3">
        <f t="shared" si="145"/>
        <v>1905.2739999999997</v>
      </c>
      <c r="S1863" s="3">
        <f t="shared" si="146"/>
        <v>5412.4059999999999</v>
      </c>
      <c r="T1863" s="3">
        <f t="shared" si="147"/>
        <v>3507.1320000000005</v>
      </c>
      <c r="U1863" s="4">
        <f t="shared" si="148"/>
        <v>0.64798021434460029</v>
      </c>
      <c r="V1863" s="5">
        <f t="shared" si="149"/>
        <v>19.543559999999999</v>
      </c>
    </row>
    <row r="1864" spans="1:22" x14ac:dyDescent="0.25">
      <c r="A1864" s="2" t="s">
        <v>1898</v>
      </c>
      <c r="B1864" s="2" t="s">
        <v>18</v>
      </c>
      <c r="C1864" s="2" t="s">
        <v>19</v>
      </c>
      <c r="D1864" s="2" t="s">
        <v>28</v>
      </c>
      <c r="E1864" s="2">
        <v>579.78</v>
      </c>
      <c r="F1864" s="2">
        <v>9.89</v>
      </c>
      <c r="G1864" s="2">
        <v>35.83</v>
      </c>
      <c r="H1864" s="2">
        <v>0.9</v>
      </c>
      <c r="I1864" s="2">
        <v>1.7</v>
      </c>
      <c r="J1864" s="2">
        <v>20</v>
      </c>
      <c r="K1864" s="2" t="s">
        <v>29</v>
      </c>
      <c r="L1864" s="2">
        <v>3.65</v>
      </c>
      <c r="M1864" s="2" t="s">
        <v>40</v>
      </c>
      <c r="N1864" s="2">
        <v>97.22</v>
      </c>
      <c r="O1864" s="2" t="s">
        <v>24</v>
      </c>
      <c r="P1864" s="2">
        <v>6.27</v>
      </c>
      <c r="Q1864" s="2">
        <v>11.77</v>
      </c>
      <c r="R1864" s="3">
        <f t="shared" si="145"/>
        <v>3635.2205999999996</v>
      </c>
      <c r="S1864" s="3">
        <f t="shared" si="146"/>
        <v>6824.0105999999996</v>
      </c>
      <c r="T1864" s="3">
        <f t="shared" si="147"/>
        <v>3188.79</v>
      </c>
      <c r="U1864" s="4">
        <f t="shared" si="148"/>
        <v>0.46728971962616822</v>
      </c>
      <c r="V1864" s="5">
        <f t="shared" si="149"/>
        <v>21.161969999999997</v>
      </c>
    </row>
    <row r="1865" spans="1:22" x14ac:dyDescent="0.25">
      <c r="A1865" s="2" t="s">
        <v>1899</v>
      </c>
      <c r="B1865" s="2" t="s">
        <v>45</v>
      </c>
      <c r="C1865" s="2" t="s">
        <v>27</v>
      </c>
      <c r="D1865" s="2" t="s">
        <v>20</v>
      </c>
      <c r="E1865" s="2">
        <v>314.07</v>
      </c>
      <c r="F1865" s="2">
        <v>17.010000000000002</v>
      </c>
      <c r="G1865" s="2">
        <v>31.63</v>
      </c>
      <c r="H1865" s="2">
        <v>5.0999999999999996</v>
      </c>
      <c r="I1865" s="2">
        <v>0.6</v>
      </c>
      <c r="J1865" s="2">
        <v>21</v>
      </c>
      <c r="K1865" s="2" t="s">
        <v>21</v>
      </c>
      <c r="L1865" s="2">
        <v>0.77</v>
      </c>
      <c r="M1865" s="2" t="s">
        <v>37</v>
      </c>
      <c r="N1865" s="2">
        <v>69.67</v>
      </c>
      <c r="O1865" s="2" t="s">
        <v>24</v>
      </c>
      <c r="P1865" s="2">
        <v>6.98</v>
      </c>
      <c r="Q1865" s="2">
        <v>5.17</v>
      </c>
      <c r="R1865" s="3">
        <f t="shared" si="145"/>
        <v>2192.2085999999999</v>
      </c>
      <c r="S1865" s="3">
        <f t="shared" si="146"/>
        <v>1623.7419</v>
      </c>
      <c r="T1865" s="3">
        <f t="shared" si="147"/>
        <v>-568.46669999999995</v>
      </c>
      <c r="U1865" s="4">
        <f t="shared" si="148"/>
        <v>-0.35009671179883944</v>
      </c>
      <c r="V1865" s="5">
        <f t="shared" si="149"/>
        <v>2.418339</v>
      </c>
    </row>
    <row r="1866" spans="1:22" x14ac:dyDescent="0.25">
      <c r="A1866" s="2" t="s">
        <v>1900</v>
      </c>
      <c r="B1866" s="2" t="s">
        <v>26</v>
      </c>
      <c r="C1866" s="2" t="s">
        <v>27</v>
      </c>
      <c r="D1866" s="2" t="s">
        <v>28</v>
      </c>
      <c r="E1866" s="2">
        <v>504.55</v>
      </c>
      <c r="F1866" s="2">
        <v>14.74</v>
      </c>
      <c r="G1866" s="2">
        <v>35.619999999999997</v>
      </c>
      <c r="H1866" s="2">
        <v>5.4</v>
      </c>
      <c r="I1866" s="2">
        <v>1.9</v>
      </c>
      <c r="J1866" s="2">
        <v>7</v>
      </c>
      <c r="K1866" s="2" t="s">
        <v>34</v>
      </c>
      <c r="L1866" s="2">
        <v>4.7699999999999996</v>
      </c>
      <c r="M1866" s="2" t="s">
        <v>40</v>
      </c>
      <c r="N1866" s="2">
        <v>85.4</v>
      </c>
      <c r="O1866" s="2" t="s">
        <v>23</v>
      </c>
      <c r="P1866" s="2">
        <v>6.17</v>
      </c>
      <c r="Q1866" s="2">
        <v>6.22</v>
      </c>
      <c r="R1866" s="3">
        <f t="shared" si="145"/>
        <v>3113.0735</v>
      </c>
      <c r="S1866" s="3">
        <f t="shared" si="146"/>
        <v>3138.3009999999999</v>
      </c>
      <c r="T1866" s="3">
        <f t="shared" si="147"/>
        <v>25.227499999999964</v>
      </c>
      <c r="U1866" s="4">
        <f t="shared" si="148"/>
        <v>8.0385852090032045E-3</v>
      </c>
      <c r="V1866" s="5">
        <f t="shared" si="149"/>
        <v>24.067034999999997</v>
      </c>
    </row>
    <row r="1867" spans="1:22" x14ac:dyDescent="0.25">
      <c r="A1867" s="2" t="s">
        <v>1901</v>
      </c>
      <c r="B1867" s="2" t="s">
        <v>45</v>
      </c>
      <c r="C1867" s="2" t="s">
        <v>27</v>
      </c>
      <c r="D1867" s="2" t="s">
        <v>28</v>
      </c>
      <c r="E1867" s="2">
        <v>555.83000000000004</v>
      </c>
      <c r="F1867" s="2">
        <v>14.33</v>
      </c>
      <c r="G1867" s="2">
        <v>23.84</v>
      </c>
      <c r="H1867" s="2">
        <v>0.6</v>
      </c>
      <c r="I1867" s="2">
        <v>0.3</v>
      </c>
      <c r="J1867" s="2">
        <v>17</v>
      </c>
      <c r="K1867" s="2" t="s">
        <v>29</v>
      </c>
      <c r="L1867" s="2">
        <v>6.69</v>
      </c>
      <c r="M1867" s="2" t="s">
        <v>37</v>
      </c>
      <c r="N1867" s="2">
        <v>53.5</v>
      </c>
      <c r="O1867" s="2" t="s">
        <v>23</v>
      </c>
      <c r="P1867" s="2">
        <v>9.43</v>
      </c>
      <c r="Q1867" s="2">
        <v>6.63</v>
      </c>
      <c r="R1867" s="3">
        <f t="shared" si="145"/>
        <v>5241.4769000000006</v>
      </c>
      <c r="S1867" s="3">
        <f t="shared" si="146"/>
        <v>3685.1529</v>
      </c>
      <c r="T1867" s="3">
        <f t="shared" si="147"/>
        <v>-1556.3240000000005</v>
      </c>
      <c r="U1867" s="4">
        <f t="shared" si="148"/>
        <v>-0.42232277526395184</v>
      </c>
      <c r="V1867" s="5">
        <f t="shared" si="149"/>
        <v>37.185027000000005</v>
      </c>
    </row>
    <row r="1868" spans="1:22" x14ac:dyDescent="0.25">
      <c r="A1868" s="2" t="s">
        <v>1902</v>
      </c>
      <c r="B1868" s="2" t="s">
        <v>45</v>
      </c>
      <c r="C1868" s="2" t="s">
        <v>33</v>
      </c>
      <c r="D1868" s="2" t="s">
        <v>28</v>
      </c>
      <c r="E1868" s="2">
        <v>685.66</v>
      </c>
      <c r="F1868" s="2">
        <v>8.99</v>
      </c>
      <c r="G1868" s="2">
        <v>21</v>
      </c>
      <c r="H1868" s="2">
        <v>3.2</v>
      </c>
      <c r="I1868" s="2">
        <v>0</v>
      </c>
      <c r="J1868" s="2">
        <v>16</v>
      </c>
      <c r="K1868" s="2" t="s">
        <v>21</v>
      </c>
      <c r="L1868" s="2">
        <v>8.25</v>
      </c>
      <c r="M1868" s="2" t="s">
        <v>22</v>
      </c>
      <c r="N1868" s="2">
        <v>96.44</v>
      </c>
      <c r="O1868" s="2" t="s">
        <v>23</v>
      </c>
      <c r="P1868" s="2">
        <v>4.99</v>
      </c>
      <c r="Q1868" s="2">
        <v>12.56</v>
      </c>
      <c r="R1868" s="3">
        <f t="shared" si="145"/>
        <v>3421.4434000000001</v>
      </c>
      <c r="S1868" s="3">
        <f t="shared" si="146"/>
        <v>8611.8896000000004</v>
      </c>
      <c r="T1868" s="3">
        <f t="shared" si="147"/>
        <v>5190.4462000000003</v>
      </c>
      <c r="U1868" s="4">
        <f t="shared" si="148"/>
        <v>0.60270700636942676</v>
      </c>
      <c r="V1868" s="5">
        <f t="shared" si="149"/>
        <v>56.566949999999999</v>
      </c>
    </row>
    <row r="1869" spans="1:22" x14ac:dyDescent="0.25">
      <c r="A1869" s="2" t="s">
        <v>1903</v>
      </c>
      <c r="B1869" s="2" t="s">
        <v>32</v>
      </c>
      <c r="C1869" s="2" t="s">
        <v>27</v>
      </c>
      <c r="D1869" s="2" t="s">
        <v>20</v>
      </c>
      <c r="E1869" s="2">
        <v>451.82</v>
      </c>
      <c r="F1869" s="2">
        <v>14.04</v>
      </c>
      <c r="G1869" s="2">
        <v>37.47</v>
      </c>
      <c r="H1869" s="2">
        <v>1.1000000000000001</v>
      </c>
      <c r="I1869" s="2">
        <v>1</v>
      </c>
      <c r="J1869" s="2">
        <v>14</v>
      </c>
      <c r="K1869" s="2" t="s">
        <v>29</v>
      </c>
      <c r="L1869" s="2">
        <v>3.04</v>
      </c>
      <c r="M1869" s="2" t="s">
        <v>37</v>
      </c>
      <c r="N1869" s="2">
        <v>67.23</v>
      </c>
      <c r="O1869" s="2" t="s">
        <v>24</v>
      </c>
      <c r="P1869" s="2">
        <v>7.63</v>
      </c>
      <c r="Q1869" s="2">
        <v>9.4</v>
      </c>
      <c r="R1869" s="3">
        <f t="shared" si="145"/>
        <v>3447.3865999999998</v>
      </c>
      <c r="S1869" s="3">
        <f t="shared" si="146"/>
        <v>4247.1080000000002</v>
      </c>
      <c r="T1869" s="3">
        <f t="shared" si="147"/>
        <v>799.72140000000036</v>
      </c>
      <c r="U1869" s="4">
        <f t="shared" si="148"/>
        <v>0.18829787234042561</v>
      </c>
      <c r="V1869" s="5">
        <f t="shared" si="149"/>
        <v>13.735327999999999</v>
      </c>
    </row>
    <row r="1870" spans="1:22" x14ac:dyDescent="0.25">
      <c r="A1870" s="2" t="s">
        <v>1904</v>
      </c>
      <c r="B1870" s="2" t="s">
        <v>32</v>
      </c>
      <c r="C1870" s="2" t="s">
        <v>33</v>
      </c>
      <c r="D1870" s="2" t="s">
        <v>20</v>
      </c>
      <c r="E1870" s="2">
        <v>532.45000000000005</v>
      </c>
      <c r="F1870" s="2">
        <v>9.2100000000000009</v>
      </c>
      <c r="G1870" s="2">
        <v>21.51</v>
      </c>
      <c r="H1870" s="2">
        <v>5</v>
      </c>
      <c r="I1870" s="2">
        <v>0.6</v>
      </c>
      <c r="J1870" s="2">
        <v>1</v>
      </c>
      <c r="K1870" s="2" t="s">
        <v>29</v>
      </c>
      <c r="L1870" s="2">
        <v>5.38</v>
      </c>
      <c r="M1870" s="2" t="s">
        <v>37</v>
      </c>
      <c r="N1870" s="2">
        <v>76.2</v>
      </c>
      <c r="O1870" s="2" t="s">
        <v>23</v>
      </c>
      <c r="P1870" s="2">
        <v>3.79</v>
      </c>
      <c r="Q1870" s="2">
        <v>10.46</v>
      </c>
      <c r="R1870" s="3">
        <f t="shared" si="145"/>
        <v>2017.9855000000002</v>
      </c>
      <c r="S1870" s="3">
        <f t="shared" si="146"/>
        <v>5569.4270000000006</v>
      </c>
      <c r="T1870" s="3">
        <f t="shared" si="147"/>
        <v>3551.4415000000004</v>
      </c>
      <c r="U1870" s="4">
        <f t="shared" si="148"/>
        <v>0.63766730401529637</v>
      </c>
      <c r="V1870" s="5">
        <f t="shared" si="149"/>
        <v>28.645810000000001</v>
      </c>
    </row>
    <row r="1871" spans="1:22" x14ac:dyDescent="0.25">
      <c r="A1871" s="2" t="s">
        <v>1905</v>
      </c>
      <c r="B1871" s="2" t="s">
        <v>45</v>
      </c>
      <c r="C1871" s="2" t="s">
        <v>33</v>
      </c>
      <c r="D1871" s="2" t="s">
        <v>20</v>
      </c>
      <c r="E1871" s="2">
        <v>319.61</v>
      </c>
      <c r="F1871" s="2">
        <v>8.7899999999999991</v>
      </c>
      <c r="G1871" s="2">
        <v>24.93</v>
      </c>
      <c r="H1871" s="2">
        <v>1.2</v>
      </c>
      <c r="I1871" s="2">
        <v>0.8</v>
      </c>
      <c r="J1871" s="2">
        <v>11</v>
      </c>
      <c r="K1871" s="2" t="s">
        <v>34</v>
      </c>
      <c r="L1871" s="2">
        <v>6.79</v>
      </c>
      <c r="M1871" s="2" t="s">
        <v>37</v>
      </c>
      <c r="N1871" s="2">
        <v>56.92</v>
      </c>
      <c r="O1871" s="2" t="s">
        <v>24</v>
      </c>
      <c r="P1871" s="2">
        <v>5.75</v>
      </c>
      <c r="Q1871" s="2">
        <v>12.73</v>
      </c>
      <c r="R1871" s="3">
        <f t="shared" si="145"/>
        <v>1837.7575000000002</v>
      </c>
      <c r="S1871" s="3">
        <f t="shared" si="146"/>
        <v>4068.6353000000004</v>
      </c>
      <c r="T1871" s="3">
        <f t="shared" si="147"/>
        <v>2230.8778000000002</v>
      </c>
      <c r="U1871" s="4">
        <f t="shared" si="148"/>
        <v>0.5483110761979576</v>
      </c>
      <c r="V1871" s="5">
        <f t="shared" si="149"/>
        <v>21.701519000000005</v>
      </c>
    </row>
    <row r="1872" spans="1:22" x14ac:dyDescent="0.25">
      <c r="A1872" s="2" t="s">
        <v>1906</v>
      </c>
      <c r="B1872" s="2" t="s">
        <v>18</v>
      </c>
      <c r="C1872" s="2" t="s">
        <v>33</v>
      </c>
      <c r="D1872" s="2" t="s">
        <v>28</v>
      </c>
      <c r="E1872" s="2">
        <v>260.8</v>
      </c>
      <c r="F1872" s="2">
        <v>13.27</v>
      </c>
      <c r="G1872" s="2">
        <v>33.909999999999997</v>
      </c>
      <c r="H1872" s="2">
        <v>2.7</v>
      </c>
      <c r="I1872" s="2">
        <v>2.2999999999999998</v>
      </c>
      <c r="J1872" s="2">
        <v>13</v>
      </c>
      <c r="K1872" s="2" t="s">
        <v>29</v>
      </c>
      <c r="L1872" s="2">
        <v>5.74</v>
      </c>
      <c r="M1872" s="2" t="s">
        <v>37</v>
      </c>
      <c r="N1872" s="2">
        <v>97.28</v>
      </c>
      <c r="O1872" s="2" t="s">
        <v>24</v>
      </c>
      <c r="P1872" s="2">
        <v>8.19</v>
      </c>
      <c r="Q1872" s="2">
        <v>8.41</v>
      </c>
      <c r="R1872" s="3">
        <f t="shared" si="145"/>
        <v>2135.9519999999998</v>
      </c>
      <c r="S1872" s="3">
        <f t="shared" si="146"/>
        <v>2193.328</v>
      </c>
      <c r="T1872" s="3">
        <f t="shared" si="147"/>
        <v>57.376000000000204</v>
      </c>
      <c r="U1872" s="4">
        <f t="shared" si="148"/>
        <v>2.6159334126040521E-2</v>
      </c>
      <c r="V1872" s="5">
        <f t="shared" si="149"/>
        <v>14.969920000000002</v>
      </c>
    </row>
    <row r="1873" spans="1:22" x14ac:dyDescent="0.25">
      <c r="A1873" s="2" t="s">
        <v>1907</v>
      </c>
      <c r="B1873" s="2" t="s">
        <v>32</v>
      </c>
      <c r="C1873" s="2" t="s">
        <v>19</v>
      </c>
      <c r="D1873" s="2" t="s">
        <v>20</v>
      </c>
      <c r="E1873" s="2">
        <v>584.48</v>
      </c>
      <c r="F1873" s="2">
        <v>12.03</v>
      </c>
      <c r="G1873" s="2">
        <v>28.19</v>
      </c>
      <c r="H1873" s="2">
        <v>1.3</v>
      </c>
      <c r="I1873" s="2">
        <v>3.5</v>
      </c>
      <c r="J1873" s="2">
        <v>1</v>
      </c>
      <c r="K1873" s="2" t="s">
        <v>29</v>
      </c>
      <c r="L1873" s="2">
        <v>3.1</v>
      </c>
      <c r="M1873" s="2" t="s">
        <v>37</v>
      </c>
      <c r="N1873" s="2">
        <v>83.65</v>
      </c>
      <c r="O1873" s="2" t="s">
        <v>24</v>
      </c>
      <c r="P1873" s="2">
        <v>4.57</v>
      </c>
      <c r="Q1873" s="2">
        <v>12.49</v>
      </c>
      <c r="R1873" s="3">
        <f t="shared" si="145"/>
        <v>2671.0736000000002</v>
      </c>
      <c r="S1873" s="3">
        <f t="shared" si="146"/>
        <v>7300.1552000000001</v>
      </c>
      <c r="T1873" s="3">
        <f t="shared" si="147"/>
        <v>4629.0815999999995</v>
      </c>
      <c r="U1873" s="4">
        <f t="shared" si="148"/>
        <v>0.63410728582866283</v>
      </c>
      <c r="V1873" s="5">
        <f t="shared" si="149"/>
        <v>18.118880000000001</v>
      </c>
    </row>
    <row r="1874" spans="1:22" x14ac:dyDescent="0.25">
      <c r="A1874" s="2" t="s">
        <v>1908</v>
      </c>
      <c r="B1874" s="2" t="s">
        <v>18</v>
      </c>
      <c r="C1874" s="2" t="s">
        <v>19</v>
      </c>
      <c r="D1874" s="2" t="s">
        <v>28</v>
      </c>
      <c r="E1874" s="2">
        <v>499.44</v>
      </c>
      <c r="F1874" s="2">
        <v>13.89</v>
      </c>
      <c r="G1874" s="2">
        <v>37.53</v>
      </c>
      <c r="H1874" s="2">
        <v>0.5</v>
      </c>
      <c r="I1874" s="2">
        <v>1</v>
      </c>
      <c r="J1874" s="2">
        <v>2</v>
      </c>
      <c r="K1874" s="2" t="s">
        <v>21</v>
      </c>
      <c r="L1874" s="2">
        <v>8.06</v>
      </c>
      <c r="M1874" s="2" t="s">
        <v>40</v>
      </c>
      <c r="N1874" s="2">
        <v>52.7</v>
      </c>
      <c r="O1874" s="2" t="s">
        <v>30</v>
      </c>
      <c r="P1874" s="2">
        <v>7.13</v>
      </c>
      <c r="Q1874" s="2">
        <v>9.42</v>
      </c>
      <c r="R1874" s="3">
        <f t="shared" si="145"/>
        <v>3561.0072</v>
      </c>
      <c r="S1874" s="3">
        <f t="shared" si="146"/>
        <v>4704.7248</v>
      </c>
      <c r="T1874" s="3">
        <f t="shared" si="147"/>
        <v>1143.7175999999999</v>
      </c>
      <c r="U1874" s="4">
        <f t="shared" si="148"/>
        <v>0.24309978768577495</v>
      </c>
      <c r="V1874" s="5">
        <f t="shared" si="149"/>
        <v>40.254864000000005</v>
      </c>
    </row>
    <row r="1875" spans="1:22" x14ac:dyDescent="0.25">
      <c r="A1875" s="2" t="s">
        <v>1909</v>
      </c>
      <c r="B1875" s="2" t="s">
        <v>45</v>
      </c>
      <c r="C1875" s="2" t="s">
        <v>27</v>
      </c>
      <c r="D1875" s="2" t="s">
        <v>20</v>
      </c>
      <c r="E1875" s="2">
        <v>617.85</v>
      </c>
      <c r="F1875" s="2">
        <v>8.89</v>
      </c>
      <c r="G1875" s="2">
        <v>25.96</v>
      </c>
      <c r="H1875" s="2">
        <v>0.4</v>
      </c>
      <c r="I1875" s="2">
        <v>1.4</v>
      </c>
      <c r="J1875" s="2">
        <v>9</v>
      </c>
      <c r="K1875" s="2" t="s">
        <v>34</v>
      </c>
      <c r="L1875" s="2">
        <v>2.15</v>
      </c>
      <c r="M1875" s="2" t="s">
        <v>40</v>
      </c>
      <c r="N1875" s="2">
        <v>57.76</v>
      </c>
      <c r="O1875" s="2" t="s">
        <v>23</v>
      </c>
      <c r="P1875" s="2">
        <v>4.07</v>
      </c>
      <c r="Q1875" s="2">
        <v>8.77</v>
      </c>
      <c r="R1875" s="3">
        <f t="shared" si="145"/>
        <v>2514.6495000000004</v>
      </c>
      <c r="S1875" s="3">
        <f t="shared" si="146"/>
        <v>5418.5445</v>
      </c>
      <c r="T1875" s="3">
        <f t="shared" si="147"/>
        <v>2903.8949999999995</v>
      </c>
      <c r="U1875" s="4">
        <f t="shared" si="148"/>
        <v>0.53591790193842637</v>
      </c>
      <c r="V1875" s="5">
        <f t="shared" si="149"/>
        <v>13.283775</v>
      </c>
    </row>
    <row r="1876" spans="1:22" x14ac:dyDescent="0.25">
      <c r="A1876" s="2" t="s">
        <v>1910</v>
      </c>
      <c r="B1876" s="2" t="s">
        <v>45</v>
      </c>
      <c r="C1876" s="2" t="s">
        <v>27</v>
      </c>
      <c r="D1876" s="2" t="s">
        <v>28</v>
      </c>
      <c r="E1876" s="2">
        <v>362.66</v>
      </c>
      <c r="F1876" s="2">
        <v>12.31</v>
      </c>
      <c r="G1876" s="2">
        <v>20.239999999999998</v>
      </c>
      <c r="H1876" s="2">
        <v>1.1000000000000001</v>
      </c>
      <c r="I1876" s="2">
        <v>0.1</v>
      </c>
      <c r="J1876" s="2">
        <v>13</v>
      </c>
      <c r="K1876" s="2" t="s">
        <v>29</v>
      </c>
      <c r="L1876" s="2">
        <v>9.1</v>
      </c>
      <c r="M1876" s="2" t="s">
        <v>22</v>
      </c>
      <c r="N1876" s="2">
        <v>69.989999999999995</v>
      </c>
      <c r="O1876" s="2" t="s">
        <v>23</v>
      </c>
      <c r="P1876" s="2">
        <v>3.72</v>
      </c>
      <c r="Q1876" s="2">
        <v>8.33</v>
      </c>
      <c r="R1876" s="3">
        <f t="shared" si="145"/>
        <v>1349.0952000000002</v>
      </c>
      <c r="S1876" s="3">
        <f t="shared" si="146"/>
        <v>3020.9578000000001</v>
      </c>
      <c r="T1876" s="3">
        <f t="shared" si="147"/>
        <v>1671.8625999999999</v>
      </c>
      <c r="U1876" s="4">
        <f t="shared" si="148"/>
        <v>0.55342136854741897</v>
      </c>
      <c r="V1876" s="5">
        <f t="shared" si="149"/>
        <v>33.00206</v>
      </c>
    </row>
    <row r="1877" spans="1:22" x14ac:dyDescent="0.25">
      <c r="A1877" s="2" t="s">
        <v>1911</v>
      </c>
      <c r="B1877" s="2" t="s">
        <v>26</v>
      </c>
      <c r="C1877" s="2" t="s">
        <v>19</v>
      </c>
      <c r="D1877" s="2" t="s">
        <v>28</v>
      </c>
      <c r="E1877" s="2">
        <v>551.99</v>
      </c>
      <c r="F1877" s="2">
        <v>9.75</v>
      </c>
      <c r="G1877" s="2">
        <v>26.01</v>
      </c>
      <c r="H1877" s="2">
        <v>2.8</v>
      </c>
      <c r="I1877" s="2">
        <v>0.2</v>
      </c>
      <c r="J1877" s="2">
        <v>5</v>
      </c>
      <c r="K1877" s="2" t="s">
        <v>29</v>
      </c>
      <c r="L1877" s="2">
        <v>9.5500000000000007</v>
      </c>
      <c r="M1877" s="2" t="s">
        <v>37</v>
      </c>
      <c r="N1877" s="2">
        <v>60.84</v>
      </c>
      <c r="O1877" s="2" t="s">
        <v>30</v>
      </c>
      <c r="P1877" s="2">
        <v>6.66</v>
      </c>
      <c r="Q1877" s="2">
        <v>14.65</v>
      </c>
      <c r="R1877" s="3">
        <f t="shared" si="145"/>
        <v>3676.2534000000001</v>
      </c>
      <c r="S1877" s="3">
        <f t="shared" si="146"/>
        <v>8086.6535000000003</v>
      </c>
      <c r="T1877" s="3">
        <f t="shared" si="147"/>
        <v>4410.4001000000007</v>
      </c>
      <c r="U1877" s="4">
        <f t="shared" si="148"/>
        <v>0.54539249146757685</v>
      </c>
      <c r="V1877" s="5">
        <f t="shared" si="149"/>
        <v>52.715045000000011</v>
      </c>
    </row>
    <row r="1878" spans="1:22" x14ac:dyDescent="0.25">
      <c r="A1878" s="2" t="s">
        <v>1912</v>
      </c>
      <c r="B1878" s="2" t="s">
        <v>32</v>
      </c>
      <c r="C1878" s="2" t="s">
        <v>43</v>
      </c>
      <c r="D1878" s="2" t="s">
        <v>28</v>
      </c>
      <c r="E1878" s="2">
        <v>686.88</v>
      </c>
      <c r="F1878" s="2">
        <v>17.87</v>
      </c>
      <c r="G1878" s="2">
        <v>31.56</v>
      </c>
      <c r="H1878" s="2">
        <v>1.9</v>
      </c>
      <c r="I1878" s="2">
        <v>1.3</v>
      </c>
      <c r="J1878" s="2">
        <v>9</v>
      </c>
      <c r="K1878" s="2" t="s">
        <v>21</v>
      </c>
      <c r="L1878" s="2">
        <v>3.97</v>
      </c>
      <c r="M1878" s="2" t="s">
        <v>40</v>
      </c>
      <c r="N1878" s="2">
        <v>65.23</v>
      </c>
      <c r="O1878" s="2" t="s">
        <v>30</v>
      </c>
      <c r="P1878" s="2">
        <v>7.73</v>
      </c>
      <c r="Q1878" s="2">
        <v>12.72</v>
      </c>
      <c r="R1878" s="3">
        <f t="shared" si="145"/>
        <v>5309.5824000000002</v>
      </c>
      <c r="S1878" s="3">
        <f t="shared" si="146"/>
        <v>8737.1136000000006</v>
      </c>
      <c r="T1878" s="3">
        <f t="shared" si="147"/>
        <v>3427.5312000000004</v>
      </c>
      <c r="U1878" s="4">
        <f t="shared" si="148"/>
        <v>0.39229559748427673</v>
      </c>
      <c r="V1878" s="5">
        <f t="shared" si="149"/>
        <v>27.269136000000003</v>
      </c>
    </row>
    <row r="1879" spans="1:22" x14ac:dyDescent="0.25">
      <c r="A1879" s="2" t="s">
        <v>1913</v>
      </c>
      <c r="B1879" s="2" t="s">
        <v>45</v>
      </c>
      <c r="C1879" s="2" t="s">
        <v>19</v>
      </c>
      <c r="D1879" s="2" t="s">
        <v>20</v>
      </c>
      <c r="E1879" s="2">
        <v>541.97</v>
      </c>
      <c r="F1879" s="2">
        <v>13.61</v>
      </c>
      <c r="G1879" s="2">
        <v>27.52</v>
      </c>
      <c r="H1879" s="2">
        <v>2.2999999999999998</v>
      </c>
      <c r="I1879" s="2">
        <v>0.6</v>
      </c>
      <c r="J1879" s="2">
        <v>13</v>
      </c>
      <c r="K1879" s="2" t="s">
        <v>29</v>
      </c>
      <c r="L1879" s="2">
        <v>4.07</v>
      </c>
      <c r="M1879" s="2" t="s">
        <v>40</v>
      </c>
      <c r="N1879" s="2">
        <v>99.87</v>
      </c>
      <c r="O1879" s="2" t="s">
        <v>30</v>
      </c>
      <c r="P1879" s="2">
        <v>3.79</v>
      </c>
      <c r="Q1879" s="2">
        <v>5.2</v>
      </c>
      <c r="R1879" s="3">
        <f t="shared" si="145"/>
        <v>2054.0663</v>
      </c>
      <c r="S1879" s="3">
        <f t="shared" si="146"/>
        <v>2818.2440000000001</v>
      </c>
      <c r="T1879" s="3">
        <f t="shared" si="147"/>
        <v>764.17770000000019</v>
      </c>
      <c r="U1879" s="4">
        <f t="shared" si="148"/>
        <v>0.27115384615384619</v>
      </c>
      <c r="V1879" s="5">
        <f t="shared" si="149"/>
        <v>22.058179000000006</v>
      </c>
    </row>
    <row r="1880" spans="1:22" x14ac:dyDescent="0.25">
      <c r="A1880" s="2" t="s">
        <v>1914</v>
      </c>
      <c r="B1880" s="2" t="s">
        <v>26</v>
      </c>
      <c r="C1880" s="2" t="s">
        <v>33</v>
      </c>
      <c r="D1880" s="2" t="s">
        <v>20</v>
      </c>
      <c r="E1880" s="2">
        <v>527.66</v>
      </c>
      <c r="F1880" s="2">
        <v>14.87</v>
      </c>
      <c r="G1880" s="2">
        <v>30.7</v>
      </c>
      <c r="H1880" s="2">
        <v>0.7</v>
      </c>
      <c r="I1880" s="2">
        <v>0.6</v>
      </c>
      <c r="J1880" s="2">
        <v>5</v>
      </c>
      <c r="K1880" s="2" t="s">
        <v>29</v>
      </c>
      <c r="L1880" s="2">
        <v>7.56</v>
      </c>
      <c r="M1880" s="2" t="s">
        <v>37</v>
      </c>
      <c r="N1880" s="2">
        <v>82.93</v>
      </c>
      <c r="O1880" s="2" t="s">
        <v>30</v>
      </c>
      <c r="P1880" s="2">
        <v>9.42</v>
      </c>
      <c r="Q1880" s="2">
        <v>14.57</v>
      </c>
      <c r="R1880" s="3">
        <f t="shared" si="145"/>
        <v>4970.5571999999993</v>
      </c>
      <c r="S1880" s="3">
        <f t="shared" si="146"/>
        <v>7688.0061999999998</v>
      </c>
      <c r="T1880" s="3">
        <f t="shared" si="147"/>
        <v>2717.4490000000005</v>
      </c>
      <c r="U1880" s="4">
        <f t="shared" si="148"/>
        <v>0.35346602608098843</v>
      </c>
      <c r="V1880" s="5">
        <f t="shared" si="149"/>
        <v>39.891095999999997</v>
      </c>
    </row>
    <row r="1881" spans="1:22" x14ac:dyDescent="0.25">
      <c r="A1881" s="2" t="s">
        <v>1915</v>
      </c>
      <c r="B1881" s="2" t="s">
        <v>32</v>
      </c>
      <c r="C1881" s="2" t="s">
        <v>19</v>
      </c>
      <c r="D1881" s="2" t="s">
        <v>20</v>
      </c>
      <c r="E1881" s="2">
        <v>500.86</v>
      </c>
      <c r="F1881" s="2">
        <v>11.25</v>
      </c>
      <c r="G1881" s="2">
        <v>37.53</v>
      </c>
      <c r="H1881" s="2">
        <v>1.3</v>
      </c>
      <c r="I1881" s="2">
        <v>0.4</v>
      </c>
      <c r="J1881" s="2">
        <v>15</v>
      </c>
      <c r="K1881" s="2" t="s">
        <v>29</v>
      </c>
      <c r="L1881" s="2">
        <v>4.83</v>
      </c>
      <c r="M1881" s="2" t="s">
        <v>37</v>
      </c>
      <c r="N1881" s="2">
        <v>96.11</v>
      </c>
      <c r="O1881" s="2" t="s">
        <v>24</v>
      </c>
      <c r="P1881" s="2">
        <v>4.58</v>
      </c>
      <c r="Q1881" s="2">
        <v>12.75</v>
      </c>
      <c r="R1881" s="3">
        <f t="shared" si="145"/>
        <v>2293.9387999999999</v>
      </c>
      <c r="S1881" s="3">
        <f t="shared" si="146"/>
        <v>6385.9650000000001</v>
      </c>
      <c r="T1881" s="3">
        <f t="shared" si="147"/>
        <v>4092.0262000000002</v>
      </c>
      <c r="U1881" s="4">
        <f t="shared" si="148"/>
        <v>0.64078431372549027</v>
      </c>
      <c r="V1881" s="5">
        <f t="shared" si="149"/>
        <v>24.191538000000001</v>
      </c>
    </row>
    <row r="1882" spans="1:22" x14ac:dyDescent="0.25">
      <c r="A1882" s="2" t="s">
        <v>1916</v>
      </c>
      <c r="B1882" s="2" t="s">
        <v>45</v>
      </c>
      <c r="C1882" s="2" t="s">
        <v>33</v>
      </c>
      <c r="D1882" s="2" t="s">
        <v>28</v>
      </c>
      <c r="E1882" s="2">
        <v>342.91</v>
      </c>
      <c r="F1882" s="2">
        <v>8.9499999999999993</v>
      </c>
      <c r="G1882" s="2">
        <v>38.25</v>
      </c>
      <c r="H1882" s="2">
        <v>0.1</v>
      </c>
      <c r="I1882" s="2">
        <v>0.9</v>
      </c>
      <c r="J1882" s="2">
        <v>7</v>
      </c>
      <c r="K1882" s="2" t="s">
        <v>29</v>
      </c>
      <c r="L1882" s="2">
        <v>0.77</v>
      </c>
      <c r="M1882" s="2" t="s">
        <v>22</v>
      </c>
      <c r="N1882" s="2">
        <v>71.790000000000006</v>
      </c>
      <c r="O1882" s="2" t="s">
        <v>23</v>
      </c>
      <c r="P1882" s="2">
        <v>3.84</v>
      </c>
      <c r="Q1882" s="2">
        <v>6.49</v>
      </c>
      <c r="R1882" s="3">
        <f t="shared" si="145"/>
        <v>1316.7744</v>
      </c>
      <c r="S1882" s="3">
        <f t="shared" si="146"/>
        <v>2225.4859000000001</v>
      </c>
      <c r="T1882" s="3">
        <f t="shared" si="147"/>
        <v>908.71150000000011</v>
      </c>
      <c r="U1882" s="4">
        <f t="shared" si="148"/>
        <v>0.40832049306625579</v>
      </c>
      <c r="V1882" s="5">
        <f t="shared" si="149"/>
        <v>2.6404070000000002</v>
      </c>
    </row>
    <row r="1883" spans="1:22" x14ac:dyDescent="0.25">
      <c r="A1883" s="2" t="s">
        <v>1917</v>
      </c>
      <c r="B1883" s="2" t="s">
        <v>45</v>
      </c>
      <c r="C1883" s="2" t="s">
        <v>27</v>
      </c>
      <c r="D1883" s="2" t="s">
        <v>28</v>
      </c>
      <c r="E1883" s="2">
        <v>635.55999999999995</v>
      </c>
      <c r="F1883" s="2">
        <v>17.760000000000002</v>
      </c>
      <c r="G1883" s="2">
        <v>25.32</v>
      </c>
      <c r="H1883" s="2">
        <v>3.4</v>
      </c>
      <c r="I1883" s="2">
        <v>0.2</v>
      </c>
      <c r="J1883" s="2">
        <v>14</v>
      </c>
      <c r="K1883" s="2" t="s">
        <v>29</v>
      </c>
      <c r="L1883" s="2">
        <v>9.24</v>
      </c>
      <c r="M1883" s="2" t="s">
        <v>22</v>
      </c>
      <c r="N1883" s="2">
        <v>85.51</v>
      </c>
      <c r="O1883" s="2" t="s">
        <v>23</v>
      </c>
      <c r="P1883" s="2">
        <v>4.42</v>
      </c>
      <c r="Q1883" s="2">
        <v>5.76</v>
      </c>
      <c r="R1883" s="3">
        <f t="shared" si="145"/>
        <v>2809.1751999999997</v>
      </c>
      <c r="S1883" s="3">
        <f t="shared" si="146"/>
        <v>3660.8255999999997</v>
      </c>
      <c r="T1883" s="3">
        <f t="shared" si="147"/>
        <v>851.65039999999999</v>
      </c>
      <c r="U1883" s="4">
        <f t="shared" si="148"/>
        <v>0.2326388888888889</v>
      </c>
      <c r="V1883" s="5">
        <f t="shared" si="149"/>
        <v>58.725743999999992</v>
      </c>
    </row>
    <row r="1884" spans="1:22" x14ac:dyDescent="0.25">
      <c r="A1884" s="2" t="s">
        <v>1918</v>
      </c>
      <c r="B1884" s="2" t="s">
        <v>32</v>
      </c>
      <c r="C1884" s="2" t="s">
        <v>43</v>
      </c>
      <c r="D1884" s="2" t="s">
        <v>20</v>
      </c>
      <c r="E1884" s="2">
        <v>438.91</v>
      </c>
      <c r="F1884" s="2">
        <v>10.86</v>
      </c>
      <c r="G1884" s="2">
        <v>29.24</v>
      </c>
      <c r="H1884" s="2">
        <v>9.1999999999999993</v>
      </c>
      <c r="I1884" s="2">
        <v>1</v>
      </c>
      <c r="J1884" s="2">
        <v>16</v>
      </c>
      <c r="K1884" s="2" t="s">
        <v>21</v>
      </c>
      <c r="L1884" s="2">
        <v>4.59</v>
      </c>
      <c r="M1884" s="2" t="s">
        <v>40</v>
      </c>
      <c r="N1884" s="2">
        <v>72.98</v>
      </c>
      <c r="O1884" s="2" t="s">
        <v>23</v>
      </c>
      <c r="P1884" s="2">
        <v>4.1900000000000004</v>
      </c>
      <c r="Q1884" s="2">
        <v>8.08</v>
      </c>
      <c r="R1884" s="3">
        <f t="shared" si="145"/>
        <v>1839.0329000000004</v>
      </c>
      <c r="S1884" s="3">
        <f t="shared" si="146"/>
        <v>3546.3928000000001</v>
      </c>
      <c r="T1884" s="3">
        <f t="shared" si="147"/>
        <v>1707.3598999999997</v>
      </c>
      <c r="U1884" s="4">
        <f t="shared" si="148"/>
        <v>0.48143564356435636</v>
      </c>
      <c r="V1884" s="5">
        <f t="shared" si="149"/>
        <v>20.145969000000001</v>
      </c>
    </row>
    <row r="1885" spans="1:22" x14ac:dyDescent="0.25">
      <c r="A1885" s="2" t="s">
        <v>1919</v>
      </c>
      <c r="B1885" s="2" t="s">
        <v>32</v>
      </c>
      <c r="C1885" s="2" t="s">
        <v>27</v>
      </c>
      <c r="D1885" s="2" t="s">
        <v>20</v>
      </c>
      <c r="E1885" s="2">
        <v>550.45000000000005</v>
      </c>
      <c r="F1885" s="2">
        <v>12.24</v>
      </c>
      <c r="G1885" s="2">
        <v>30.98</v>
      </c>
      <c r="H1885" s="2">
        <v>1</v>
      </c>
      <c r="I1885" s="2">
        <v>0.2</v>
      </c>
      <c r="J1885" s="2">
        <v>6</v>
      </c>
      <c r="K1885" s="2" t="s">
        <v>29</v>
      </c>
      <c r="L1885" s="2">
        <v>2.4300000000000002</v>
      </c>
      <c r="M1885" s="2" t="s">
        <v>22</v>
      </c>
      <c r="N1885" s="2">
        <v>66.41</v>
      </c>
      <c r="O1885" s="2" t="s">
        <v>24</v>
      </c>
      <c r="P1885" s="2">
        <v>3.63</v>
      </c>
      <c r="Q1885" s="2">
        <v>11.24</v>
      </c>
      <c r="R1885" s="3">
        <f t="shared" si="145"/>
        <v>1998.1335000000001</v>
      </c>
      <c r="S1885" s="3">
        <f t="shared" si="146"/>
        <v>6187.0580000000009</v>
      </c>
      <c r="T1885" s="3">
        <f t="shared" si="147"/>
        <v>4188.924500000001</v>
      </c>
      <c r="U1885" s="4">
        <f t="shared" si="148"/>
        <v>0.6770462633451958</v>
      </c>
      <c r="V1885" s="5">
        <f t="shared" si="149"/>
        <v>13.375935000000002</v>
      </c>
    </row>
    <row r="1886" spans="1:22" x14ac:dyDescent="0.25">
      <c r="A1886" s="2" t="s">
        <v>1920</v>
      </c>
      <c r="B1886" s="2" t="s">
        <v>32</v>
      </c>
      <c r="C1886" s="2" t="s">
        <v>33</v>
      </c>
      <c r="D1886" s="2" t="s">
        <v>20</v>
      </c>
      <c r="E1886" s="2">
        <v>343.7</v>
      </c>
      <c r="F1886" s="2">
        <v>14.5</v>
      </c>
      <c r="G1886" s="2">
        <v>38.979999999999997</v>
      </c>
      <c r="H1886" s="2">
        <v>0</v>
      </c>
      <c r="I1886" s="2">
        <v>0.1</v>
      </c>
      <c r="J1886" s="2">
        <v>2</v>
      </c>
      <c r="K1886" s="2" t="s">
        <v>29</v>
      </c>
      <c r="L1886" s="2">
        <v>5.78</v>
      </c>
      <c r="M1886" s="2" t="s">
        <v>40</v>
      </c>
      <c r="N1886" s="2">
        <v>75.959999999999994</v>
      </c>
      <c r="O1886" s="2" t="s">
        <v>23</v>
      </c>
      <c r="P1886" s="2">
        <v>8.58</v>
      </c>
      <c r="Q1886" s="2">
        <v>11.17</v>
      </c>
      <c r="R1886" s="3">
        <f t="shared" si="145"/>
        <v>2948.9459999999999</v>
      </c>
      <c r="S1886" s="3">
        <f t="shared" si="146"/>
        <v>3839.1289999999999</v>
      </c>
      <c r="T1886" s="3">
        <f t="shared" si="147"/>
        <v>890.18299999999999</v>
      </c>
      <c r="U1886" s="4">
        <f t="shared" si="148"/>
        <v>0.23187108325872874</v>
      </c>
      <c r="V1886" s="5">
        <f t="shared" si="149"/>
        <v>19.865860000000001</v>
      </c>
    </row>
    <row r="1887" spans="1:22" x14ac:dyDescent="0.25">
      <c r="A1887" s="2" t="s">
        <v>1921</v>
      </c>
      <c r="B1887" s="2" t="s">
        <v>45</v>
      </c>
      <c r="C1887" s="2" t="s">
        <v>33</v>
      </c>
      <c r="D1887" s="2" t="s">
        <v>28</v>
      </c>
      <c r="E1887" s="2">
        <v>382.05</v>
      </c>
      <c r="F1887" s="2">
        <v>8.25</v>
      </c>
      <c r="G1887" s="2">
        <v>39.97</v>
      </c>
      <c r="H1887" s="2">
        <v>0.4</v>
      </c>
      <c r="I1887" s="2">
        <v>0.4</v>
      </c>
      <c r="J1887" s="2">
        <v>16</v>
      </c>
      <c r="K1887" s="2" t="s">
        <v>29</v>
      </c>
      <c r="L1887" s="2">
        <v>2.58</v>
      </c>
      <c r="M1887" s="2" t="s">
        <v>22</v>
      </c>
      <c r="N1887" s="2">
        <v>71.37</v>
      </c>
      <c r="O1887" s="2" t="s">
        <v>30</v>
      </c>
      <c r="P1887" s="2">
        <v>6.47</v>
      </c>
      <c r="Q1887" s="2">
        <v>7.76</v>
      </c>
      <c r="R1887" s="3">
        <f t="shared" si="145"/>
        <v>2471.8634999999999</v>
      </c>
      <c r="S1887" s="3">
        <f t="shared" si="146"/>
        <v>2964.7080000000001</v>
      </c>
      <c r="T1887" s="3">
        <f t="shared" si="147"/>
        <v>492.84450000000015</v>
      </c>
      <c r="U1887" s="4">
        <f t="shared" si="148"/>
        <v>0.1662371134020619</v>
      </c>
      <c r="V1887" s="5">
        <f t="shared" si="149"/>
        <v>9.8568899999999999</v>
      </c>
    </row>
    <row r="1888" spans="1:22" x14ac:dyDescent="0.25">
      <c r="A1888" s="2" t="s">
        <v>1922</v>
      </c>
      <c r="B1888" s="2" t="s">
        <v>45</v>
      </c>
      <c r="C1888" s="2" t="s">
        <v>33</v>
      </c>
      <c r="D1888" s="2" t="s">
        <v>28</v>
      </c>
      <c r="E1888" s="2">
        <v>643.51</v>
      </c>
      <c r="F1888" s="2">
        <v>16.100000000000001</v>
      </c>
      <c r="G1888" s="2">
        <v>24.71</v>
      </c>
      <c r="H1888" s="2">
        <v>2.1</v>
      </c>
      <c r="I1888" s="2">
        <v>0.3</v>
      </c>
      <c r="J1888" s="2">
        <v>19</v>
      </c>
      <c r="K1888" s="2" t="s">
        <v>29</v>
      </c>
      <c r="L1888" s="2">
        <v>2.46</v>
      </c>
      <c r="M1888" s="2" t="s">
        <v>37</v>
      </c>
      <c r="N1888" s="2">
        <v>99.03</v>
      </c>
      <c r="O1888" s="2" t="s">
        <v>23</v>
      </c>
      <c r="P1888" s="2">
        <v>5.72</v>
      </c>
      <c r="Q1888" s="2">
        <v>9.4600000000000009</v>
      </c>
      <c r="R1888" s="3">
        <f t="shared" si="145"/>
        <v>3680.8771999999999</v>
      </c>
      <c r="S1888" s="3">
        <f t="shared" si="146"/>
        <v>6087.6046000000006</v>
      </c>
      <c r="T1888" s="3">
        <f t="shared" si="147"/>
        <v>2406.7274000000007</v>
      </c>
      <c r="U1888" s="4">
        <f t="shared" si="148"/>
        <v>0.39534883720930242</v>
      </c>
      <c r="V1888" s="5">
        <f t="shared" si="149"/>
        <v>15.830345999999999</v>
      </c>
    </row>
    <row r="1889" spans="1:22" x14ac:dyDescent="0.25">
      <c r="A1889" s="2" t="s">
        <v>1923</v>
      </c>
      <c r="B1889" s="2" t="s">
        <v>26</v>
      </c>
      <c r="C1889" s="2" t="s">
        <v>43</v>
      </c>
      <c r="D1889" s="2" t="s">
        <v>28</v>
      </c>
      <c r="E1889" s="2">
        <v>465.27</v>
      </c>
      <c r="F1889" s="2">
        <v>13.37</v>
      </c>
      <c r="G1889" s="2">
        <v>34.54</v>
      </c>
      <c r="H1889" s="2">
        <v>1.9</v>
      </c>
      <c r="I1889" s="2">
        <v>2.2000000000000002</v>
      </c>
      <c r="J1889" s="2">
        <v>5</v>
      </c>
      <c r="K1889" s="2" t="s">
        <v>34</v>
      </c>
      <c r="L1889" s="2">
        <v>5.68</v>
      </c>
      <c r="M1889" s="2" t="s">
        <v>22</v>
      </c>
      <c r="N1889" s="2">
        <v>74.81</v>
      </c>
      <c r="O1889" s="2" t="s">
        <v>23</v>
      </c>
      <c r="P1889" s="2">
        <v>9.65</v>
      </c>
      <c r="Q1889" s="2">
        <v>7.12</v>
      </c>
      <c r="R1889" s="3">
        <f t="shared" si="145"/>
        <v>4489.8554999999997</v>
      </c>
      <c r="S1889" s="3">
        <f t="shared" si="146"/>
        <v>3312.7224000000001</v>
      </c>
      <c r="T1889" s="3">
        <f t="shared" si="147"/>
        <v>-1177.1330999999996</v>
      </c>
      <c r="U1889" s="4">
        <f t="shared" si="148"/>
        <v>-0.35533707865168523</v>
      </c>
      <c r="V1889" s="5">
        <f t="shared" si="149"/>
        <v>26.427335999999997</v>
      </c>
    </row>
    <row r="1890" spans="1:22" x14ac:dyDescent="0.25">
      <c r="A1890" s="2" t="s">
        <v>1924</v>
      </c>
      <c r="B1890" s="2" t="s">
        <v>18</v>
      </c>
      <c r="C1890" s="2" t="s">
        <v>19</v>
      </c>
      <c r="D1890" s="2" t="s">
        <v>28</v>
      </c>
      <c r="E1890" s="2">
        <v>645.33000000000004</v>
      </c>
      <c r="F1890" s="2">
        <v>10.78</v>
      </c>
      <c r="G1890" s="2">
        <v>27.56</v>
      </c>
      <c r="H1890" s="2">
        <v>3.1</v>
      </c>
      <c r="I1890" s="2">
        <v>0.1</v>
      </c>
      <c r="J1890" s="2">
        <v>4</v>
      </c>
      <c r="K1890" s="2" t="s">
        <v>34</v>
      </c>
      <c r="L1890" s="2">
        <v>4.21</v>
      </c>
      <c r="M1890" s="2" t="s">
        <v>40</v>
      </c>
      <c r="N1890" s="2">
        <v>90.56</v>
      </c>
      <c r="O1890" s="2" t="s">
        <v>24</v>
      </c>
      <c r="P1890" s="2">
        <v>5.6</v>
      </c>
      <c r="Q1890" s="2">
        <v>5.51</v>
      </c>
      <c r="R1890" s="3">
        <f t="shared" si="145"/>
        <v>3613.848</v>
      </c>
      <c r="S1890" s="3">
        <f t="shared" si="146"/>
        <v>3555.7683000000002</v>
      </c>
      <c r="T1890" s="3">
        <f t="shared" si="147"/>
        <v>-58.079699999999775</v>
      </c>
      <c r="U1890" s="4">
        <f t="shared" si="148"/>
        <v>-1.6333938294010825E-2</v>
      </c>
      <c r="V1890" s="5">
        <f t="shared" si="149"/>
        <v>27.168393000000002</v>
      </c>
    </row>
    <row r="1891" spans="1:22" x14ac:dyDescent="0.25">
      <c r="A1891" s="2" t="s">
        <v>1925</v>
      </c>
      <c r="B1891" s="2" t="s">
        <v>32</v>
      </c>
      <c r="C1891" s="2" t="s">
        <v>27</v>
      </c>
      <c r="D1891" s="2" t="s">
        <v>28</v>
      </c>
      <c r="E1891" s="2">
        <v>492.18</v>
      </c>
      <c r="F1891" s="2">
        <v>8.6199999999999992</v>
      </c>
      <c r="G1891" s="2">
        <v>20.16</v>
      </c>
      <c r="H1891" s="2">
        <v>0.6</v>
      </c>
      <c r="I1891" s="2">
        <v>0.2</v>
      </c>
      <c r="J1891" s="2">
        <v>14</v>
      </c>
      <c r="K1891" s="2" t="s">
        <v>34</v>
      </c>
      <c r="L1891" s="2">
        <v>5.94</v>
      </c>
      <c r="M1891" s="2" t="s">
        <v>22</v>
      </c>
      <c r="N1891" s="2">
        <v>83.34</v>
      </c>
      <c r="O1891" s="2" t="s">
        <v>30</v>
      </c>
      <c r="P1891" s="2">
        <v>4.17</v>
      </c>
      <c r="Q1891" s="2">
        <v>10.17</v>
      </c>
      <c r="R1891" s="3">
        <f t="shared" si="145"/>
        <v>2052.3906000000002</v>
      </c>
      <c r="S1891" s="3">
        <f t="shared" si="146"/>
        <v>5005.4705999999996</v>
      </c>
      <c r="T1891" s="3">
        <f t="shared" si="147"/>
        <v>2953.0799999999995</v>
      </c>
      <c r="U1891" s="4">
        <f t="shared" si="148"/>
        <v>0.58997050147492613</v>
      </c>
      <c r="V1891" s="5">
        <f t="shared" si="149"/>
        <v>29.235492000000004</v>
      </c>
    </row>
    <row r="1892" spans="1:22" x14ac:dyDescent="0.25">
      <c r="A1892" s="2" t="s">
        <v>1926</v>
      </c>
      <c r="B1892" s="2" t="s">
        <v>45</v>
      </c>
      <c r="C1892" s="2" t="s">
        <v>27</v>
      </c>
      <c r="D1892" s="2" t="s">
        <v>20</v>
      </c>
      <c r="E1892" s="2">
        <v>315.81</v>
      </c>
      <c r="F1892" s="2">
        <v>9.6199999999999992</v>
      </c>
      <c r="G1892" s="2">
        <v>20.190000000000001</v>
      </c>
      <c r="H1892" s="2">
        <v>2.9</v>
      </c>
      <c r="I1892" s="2">
        <v>0.8</v>
      </c>
      <c r="J1892" s="2">
        <v>27</v>
      </c>
      <c r="K1892" s="2" t="s">
        <v>34</v>
      </c>
      <c r="L1892" s="2">
        <v>9.9700000000000006</v>
      </c>
      <c r="M1892" s="2" t="s">
        <v>40</v>
      </c>
      <c r="N1892" s="2">
        <v>73.98</v>
      </c>
      <c r="O1892" s="2" t="s">
        <v>30</v>
      </c>
      <c r="P1892" s="2">
        <v>4.92</v>
      </c>
      <c r="Q1892" s="2">
        <v>8.4700000000000006</v>
      </c>
      <c r="R1892" s="3">
        <f t="shared" si="145"/>
        <v>1553.7852</v>
      </c>
      <c r="S1892" s="3">
        <f t="shared" si="146"/>
        <v>2674.9107000000004</v>
      </c>
      <c r="T1892" s="3">
        <f t="shared" si="147"/>
        <v>1121.1255000000003</v>
      </c>
      <c r="U1892" s="4">
        <f t="shared" si="148"/>
        <v>0.41912632821723739</v>
      </c>
      <c r="V1892" s="5">
        <f t="shared" si="149"/>
        <v>31.486257000000002</v>
      </c>
    </row>
    <row r="1893" spans="1:22" x14ac:dyDescent="0.25">
      <c r="A1893" s="2" t="s">
        <v>1927</v>
      </c>
      <c r="B1893" s="2" t="s">
        <v>45</v>
      </c>
      <c r="C1893" s="2" t="s">
        <v>19</v>
      </c>
      <c r="D1893" s="2" t="s">
        <v>28</v>
      </c>
      <c r="E1893" s="2">
        <v>589.21</v>
      </c>
      <c r="F1893" s="2">
        <v>16.95</v>
      </c>
      <c r="G1893" s="2">
        <v>29.21</v>
      </c>
      <c r="H1893" s="2">
        <v>2.2999999999999998</v>
      </c>
      <c r="I1893" s="2">
        <v>0.7</v>
      </c>
      <c r="J1893" s="2">
        <v>6</v>
      </c>
      <c r="K1893" s="2" t="s">
        <v>21</v>
      </c>
      <c r="L1893" s="2">
        <v>8.66</v>
      </c>
      <c r="M1893" s="2" t="s">
        <v>40</v>
      </c>
      <c r="N1893" s="2">
        <v>73.709999999999994</v>
      </c>
      <c r="O1893" s="2" t="s">
        <v>30</v>
      </c>
      <c r="P1893" s="2">
        <v>4.67</v>
      </c>
      <c r="Q1893" s="2">
        <v>10.43</v>
      </c>
      <c r="R1893" s="3">
        <f t="shared" si="145"/>
        <v>2751.6107000000002</v>
      </c>
      <c r="S1893" s="3">
        <f t="shared" si="146"/>
        <v>6145.4603000000006</v>
      </c>
      <c r="T1893" s="3">
        <f t="shared" si="147"/>
        <v>3393.8496000000005</v>
      </c>
      <c r="U1893" s="4">
        <f t="shared" si="148"/>
        <v>0.55225311601150529</v>
      </c>
      <c r="V1893" s="5">
        <f t="shared" si="149"/>
        <v>51.025586000000004</v>
      </c>
    </row>
    <row r="1894" spans="1:22" x14ac:dyDescent="0.25">
      <c r="A1894" s="2" t="s">
        <v>1928</v>
      </c>
      <c r="B1894" s="2" t="s">
        <v>32</v>
      </c>
      <c r="C1894" s="2" t="s">
        <v>27</v>
      </c>
      <c r="D1894" s="2" t="s">
        <v>28</v>
      </c>
      <c r="E1894" s="2">
        <v>441.01</v>
      </c>
      <c r="F1894" s="2">
        <v>14.86</v>
      </c>
      <c r="G1894" s="2">
        <v>29.77</v>
      </c>
      <c r="H1894" s="2">
        <v>0.8</v>
      </c>
      <c r="I1894" s="2">
        <v>0</v>
      </c>
      <c r="J1894" s="2">
        <v>8</v>
      </c>
      <c r="K1894" s="2" t="s">
        <v>34</v>
      </c>
      <c r="L1894" s="2">
        <v>0.56999999999999995</v>
      </c>
      <c r="M1894" s="2" t="s">
        <v>22</v>
      </c>
      <c r="N1894" s="2">
        <v>67.09</v>
      </c>
      <c r="O1894" s="2" t="s">
        <v>23</v>
      </c>
      <c r="P1894" s="2">
        <v>6.49</v>
      </c>
      <c r="Q1894" s="2">
        <v>14.47</v>
      </c>
      <c r="R1894" s="3">
        <f t="shared" si="145"/>
        <v>2862.1549</v>
      </c>
      <c r="S1894" s="3">
        <f t="shared" si="146"/>
        <v>6381.4147000000003</v>
      </c>
      <c r="T1894" s="3">
        <f t="shared" si="147"/>
        <v>3519.2598000000003</v>
      </c>
      <c r="U1894" s="4">
        <f t="shared" si="148"/>
        <v>0.55148583275742913</v>
      </c>
      <c r="V1894" s="5">
        <f t="shared" si="149"/>
        <v>2.5137569999999996</v>
      </c>
    </row>
    <row r="1895" spans="1:22" x14ac:dyDescent="0.25">
      <c r="A1895" s="2" t="s">
        <v>1929</v>
      </c>
      <c r="B1895" s="2" t="s">
        <v>18</v>
      </c>
      <c r="C1895" s="2" t="s">
        <v>43</v>
      </c>
      <c r="D1895" s="2" t="s">
        <v>28</v>
      </c>
      <c r="E1895" s="2">
        <v>569.87</v>
      </c>
      <c r="F1895" s="2">
        <v>10.5</v>
      </c>
      <c r="G1895" s="2">
        <v>20.45</v>
      </c>
      <c r="H1895" s="2">
        <v>1.6</v>
      </c>
      <c r="I1895" s="2">
        <v>0</v>
      </c>
      <c r="J1895" s="2">
        <v>24</v>
      </c>
      <c r="K1895" s="2" t="s">
        <v>21</v>
      </c>
      <c r="L1895" s="2">
        <v>0.98</v>
      </c>
      <c r="M1895" s="2" t="s">
        <v>22</v>
      </c>
      <c r="N1895" s="2">
        <v>55.35</v>
      </c>
      <c r="O1895" s="2" t="s">
        <v>30</v>
      </c>
      <c r="P1895" s="2">
        <v>5.04</v>
      </c>
      <c r="Q1895" s="2">
        <v>6.43</v>
      </c>
      <c r="R1895" s="3">
        <f t="shared" si="145"/>
        <v>2872.1448</v>
      </c>
      <c r="S1895" s="3">
        <f t="shared" si="146"/>
        <v>3664.2640999999999</v>
      </c>
      <c r="T1895" s="3">
        <f t="shared" si="147"/>
        <v>792.11929999999984</v>
      </c>
      <c r="U1895" s="4">
        <f t="shared" si="148"/>
        <v>0.21617418351477447</v>
      </c>
      <c r="V1895" s="5">
        <f t="shared" si="149"/>
        <v>5.5847259999999999</v>
      </c>
    </row>
    <row r="1896" spans="1:22" x14ac:dyDescent="0.25">
      <c r="A1896" s="2" t="s">
        <v>1930</v>
      </c>
      <c r="B1896" s="2" t="s">
        <v>32</v>
      </c>
      <c r="C1896" s="2" t="s">
        <v>27</v>
      </c>
      <c r="D1896" s="2" t="s">
        <v>28</v>
      </c>
      <c r="E1896" s="2">
        <v>502.52</v>
      </c>
      <c r="F1896" s="2">
        <v>8.66</v>
      </c>
      <c r="G1896" s="2">
        <v>33.74</v>
      </c>
      <c r="H1896" s="2">
        <v>0.3</v>
      </c>
      <c r="I1896" s="2">
        <v>4.4000000000000004</v>
      </c>
      <c r="J1896" s="2">
        <v>3</v>
      </c>
      <c r="K1896" s="2" t="s">
        <v>34</v>
      </c>
      <c r="L1896" s="2">
        <v>6.3</v>
      </c>
      <c r="M1896" s="2" t="s">
        <v>40</v>
      </c>
      <c r="N1896" s="2">
        <v>88.07</v>
      </c>
      <c r="O1896" s="2" t="s">
        <v>30</v>
      </c>
      <c r="P1896" s="2">
        <v>6.61</v>
      </c>
      <c r="Q1896" s="2">
        <v>5.0199999999999996</v>
      </c>
      <c r="R1896" s="3">
        <f t="shared" si="145"/>
        <v>3321.6572000000001</v>
      </c>
      <c r="S1896" s="3">
        <f t="shared" si="146"/>
        <v>2522.6503999999995</v>
      </c>
      <c r="T1896" s="3">
        <f t="shared" si="147"/>
        <v>-799.00680000000057</v>
      </c>
      <c r="U1896" s="4">
        <f t="shared" si="148"/>
        <v>-0.31673306772908394</v>
      </c>
      <c r="V1896" s="5">
        <f t="shared" si="149"/>
        <v>31.658759999999997</v>
      </c>
    </row>
    <row r="1897" spans="1:22" x14ac:dyDescent="0.25">
      <c r="A1897" s="2" t="s">
        <v>1931</v>
      </c>
      <c r="B1897" s="2" t="s">
        <v>18</v>
      </c>
      <c r="C1897" s="2" t="s">
        <v>33</v>
      </c>
      <c r="D1897" s="2" t="s">
        <v>28</v>
      </c>
      <c r="E1897" s="2">
        <v>345.69</v>
      </c>
      <c r="F1897" s="2">
        <v>14.91</v>
      </c>
      <c r="G1897" s="2">
        <v>25.88</v>
      </c>
      <c r="H1897" s="2">
        <v>1.2</v>
      </c>
      <c r="I1897" s="2">
        <v>1.1000000000000001</v>
      </c>
      <c r="J1897" s="2">
        <v>4</v>
      </c>
      <c r="K1897" s="2" t="s">
        <v>21</v>
      </c>
      <c r="L1897" s="2">
        <v>6.45</v>
      </c>
      <c r="M1897" s="2" t="s">
        <v>37</v>
      </c>
      <c r="N1897" s="2">
        <v>95.9</v>
      </c>
      <c r="O1897" s="2" t="s">
        <v>23</v>
      </c>
      <c r="P1897" s="2">
        <v>7.69</v>
      </c>
      <c r="Q1897" s="2">
        <v>5.77</v>
      </c>
      <c r="R1897" s="3">
        <f t="shared" si="145"/>
        <v>2658.3561</v>
      </c>
      <c r="S1897" s="3">
        <f t="shared" si="146"/>
        <v>1994.6312999999998</v>
      </c>
      <c r="T1897" s="3">
        <f t="shared" si="147"/>
        <v>-663.72480000000019</v>
      </c>
      <c r="U1897" s="4">
        <f t="shared" si="148"/>
        <v>-0.33275563258232249</v>
      </c>
      <c r="V1897" s="5">
        <f t="shared" si="149"/>
        <v>22.297004999999999</v>
      </c>
    </row>
    <row r="1898" spans="1:22" x14ac:dyDescent="0.25">
      <c r="A1898" s="2" t="s">
        <v>1932</v>
      </c>
      <c r="B1898" s="2" t="s">
        <v>45</v>
      </c>
      <c r="C1898" s="2" t="s">
        <v>19</v>
      </c>
      <c r="D1898" s="2" t="s">
        <v>20</v>
      </c>
      <c r="E1898" s="2">
        <v>516.42999999999995</v>
      </c>
      <c r="F1898" s="2">
        <v>13.72</v>
      </c>
      <c r="G1898" s="2">
        <v>31.2</v>
      </c>
      <c r="H1898" s="2">
        <v>4.3</v>
      </c>
      <c r="I1898" s="2">
        <v>0.5</v>
      </c>
      <c r="J1898" s="2">
        <v>1</v>
      </c>
      <c r="K1898" s="2" t="s">
        <v>34</v>
      </c>
      <c r="L1898" s="2">
        <v>8.84</v>
      </c>
      <c r="M1898" s="2" t="s">
        <v>22</v>
      </c>
      <c r="N1898" s="2">
        <v>60.9</v>
      </c>
      <c r="O1898" s="2" t="s">
        <v>24</v>
      </c>
      <c r="P1898" s="2">
        <v>8.44</v>
      </c>
      <c r="Q1898" s="2">
        <v>9.6300000000000008</v>
      </c>
      <c r="R1898" s="3">
        <f t="shared" si="145"/>
        <v>4358.6691999999994</v>
      </c>
      <c r="S1898" s="3">
        <f t="shared" si="146"/>
        <v>4973.2209000000003</v>
      </c>
      <c r="T1898" s="3">
        <f t="shared" si="147"/>
        <v>614.55170000000089</v>
      </c>
      <c r="U1898" s="4">
        <f t="shared" si="148"/>
        <v>0.12357217030114244</v>
      </c>
      <c r="V1898" s="5">
        <f t="shared" si="149"/>
        <v>45.652411999999998</v>
      </c>
    </row>
    <row r="1899" spans="1:22" x14ac:dyDescent="0.25">
      <c r="A1899" s="2" t="s">
        <v>1933</v>
      </c>
      <c r="B1899" s="2" t="s">
        <v>18</v>
      </c>
      <c r="C1899" s="2" t="s">
        <v>43</v>
      </c>
      <c r="D1899" s="2" t="s">
        <v>28</v>
      </c>
      <c r="E1899" s="2">
        <v>719.62</v>
      </c>
      <c r="F1899" s="2">
        <v>12.05</v>
      </c>
      <c r="G1899" s="2">
        <v>26.02</v>
      </c>
      <c r="H1899" s="2">
        <v>1.1000000000000001</v>
      </c>
      <c r="I1899" s="2">
        <v>0.6</v>
      </c>
      <c r="J1899" s="2">
        <v>2</v>
      </c>
      <c r="K1899" s="2" t="s">
        <v>29</v>
      </c>
      <c r="L1899" s="2">
        <v>6.48</v>
      </c>
      <c r="M1899" s="2" t="s">
        <v>40</v>
      </c>
      <c r="N1899" s="2">
        <v>96.28</v>
      </c>
      <c r="O1899" s="2" t="s">
        <v>23</v>
      </c>
      <c r="P1899" s="2">
        <v>7.97</v>
      </c>
      <c r="Q1899" s="2">
        <v>12.07</v>
      </c>
      <c r="R1899" s="3">
        <f t="shared" si="145"/>
        <v>5735.3714</v>
      </c>
      <c r="S1899" s="3">
        <f t="shared" si="146"/>
        <v>8685.8134000000009</v>
      </c>
      <c r="T1899" s="3">
        <f t="shared" si="147"/>
        <v>2950.4420000000009</v>
      </c>
      <c r="U1899" s="4">
        <f t="shared" si="148"/>
        <v>0.33968516984258501</v>
      </c>
      <c r="V1899" s="5">
        <f t="shared" si="149"/>
        <v>46.631376000000003</v>
      </c>
    </row>
    <row r="1900" spans="1:22" x14ac:dyDescent="0.25">
      <c r="A1900" s="2" t="s">
        <v>1934</v>
      </c>
      <c r="B1900" s="2" t="s">
        <v>26</v>
      </c>
      <c r="C1900" s="2" t="s">
        <v>19</v>
      </c>
      <c r="D1900" s="2" t="s">
        <v>28</v>
      </c>
      <c r="E1900" s="2">
        <v>549.29999999999995</v>
      </c>
      <c r="F1900" s="2">
        <v>11.64</v>
      </c>
      <c r="G1900" s="2">
        <v>23.34</v>
      </c>
      <c r="H1900" s="2">
        <v>3.7</v>
      </c>
      <c r="I1900" s="2">
        <v>0.3</v>
      </c>
      <c r="J1900" s="2">
        <v>13</v>
      </c>
      <c r="K1900" s="2" t="s">
        <v>34</v>
      </c>
      <c r="L1900" s="2">
        <v>2.66</v>
      </c>
      <c r="M1900" s="2" t="s">
        <v>37</v>
      </c>
      <c r="N1900" s="2">
        <v>61.62</v>
      </c>
      <c r="O1900" s="2" t="s">
        <v>24</v>
      </c>
      <c r="P1900" s="2">
        <v>4.4400000000000004</v>
      </c>
      <c r="Q1900" s="2">
        <v>10.81</v>
      </c>
      <c r="R1900" s="3">
        <f t="shared" si="145"/>
        <v>2438.8919999999998</v>
      </c>
      <c r="S1900" s="3">
        <f t="shared" si="146"/>
        <v>5937.933</v>
      </c>
      <c r="T1900" s="3">
        <f t="shared" si="147"/>
        <v>3499.0410000000002</v>
      </c>
      <c r="U1900" s="4">
        <f t="shared" si="148"/>
        <v>0.58926919518963927</v>
      </c>
      <c r="V1900" s="5">
        <f t="shared" si="149"/>
        <v>14.611379999999999</v>
      </c>
    </row>
    <row r="1901" spans="1:22" x14ac:dyDescent="0.25">
      <c r="A1901" s="2" t="s">
        <v>1935</v>
      </c>
      <c r="B1901" s="2" t="s">
        <v>45</v>
      </c>
      <c r="C1901" s="2" t="s">
        <v>43</v>
      </c>
      <c r="D1901" s="2" t="s">
        <v>28</v>
      </c>
      <c r="E1901" s="2">
        <v>494.25</v>
      </c>
      <c r="F1901" s="2">
        <v>10.17</v>
      </c>
      <c r="G1901" s="2">
        <v>28.14</v>
      </c>
      <c r="H1901" s="2">
        <v>1.8</v>
      </c>
      <c r="I1901" s="2">
        <v>0.4</v>
      </c>
      <c r="J1901" s="2">
        <v>9</v>
      </c>
      <c r="K1901" s="2" t="s">
        <v>34</v>
      </c>
      <c r="L1901" s="2">
        <v>4.95</v>
      </c>
      <c r="M1901" s="2" t="s">
        <v>40</v>
      </c>
      <c r="N1901" s="2">
        <v>76.5</v>
      </c>
      <c r="O1901" s="2" t="s">
        <v>24</v>
      </c>
      <c r="P1901" s="2">
        <v>3.81</v>
      </c>
      <c r="Q1901" s="2">
        <v>9.9499999999999993</v>
      </c>
      <c r="R1901" s="3">
        <f t="shared" si="145"/>
        <v>1883.0925</v>
      </c>
      <c r="S1901" s="3">
        <f t="shared" si="146"/>
        <v>4917.7874999999995</v>
      </c>
      <c r="T1901" s="3">
        <f t="shared" si="147"/>
        <v>3034.6949999999997</v>
      </c>
      <c r="U1901" s="4">
        <f t="shared" si="148"/>
        <v>0.61708542713567838</v>
      </c>
      <c r="V1901" s="5">
        <f t="shared" si="149"/>
        <v>24.465374999999998</v>
      </c>
    </row>
    <row r="1902" spans="1:22" x14ac:dyDescent="0.25">
      <c r="A1902" s="2" t="s">
        <v>1936</v>
      </c>
      <c r="B1902" s="2" t="s">
        <v>26</v>
      </c>
      <c r="C1902" s="2" t="s">
        <v>33</v>
      </c>
      <c r="D1902" s="2" t="s">
        <v>20</v>
      </c>
      <c r="E1902" s="2">
        <v>607.53</v>
      </c>
      <c r="F1902" s="2">
        <v>14.7</v>
      </c>
      <c r="G1902" s="2">
        <v>24.65</v>
      </c>
      <c r="H1902" s="2">
        <v>0.4</v>
      </c>
      <c r="I1902" s="2">
        <v>1</v>
      </c>
      <c r="J1902" s="2">
        <v>12</v>
      </c>
      <c r="K1902" s="2" t="s">
        <v>34</v>
      </c>
      <c r="L1902" s="2">
        <v>8.19</v>
      </c>
      <c r="M1902" s="2" t="s">
        <v>22</v>
      </c>
      <c r="N1902" s="2">
        <v>67.180000000000007</v>
      </c>
      <c r="O1902" s="2" t="s">
        <v>30</v>
      </c>
      <c r="P1902" s="2">
        <v>6.8</v>
      </c>
      <c r="Q1902" s="2">
        <v>8.5399999999999991</v>
      </c>
      <c r="R1902" s="3">
        <f t="shared" si="145"/>
        <v>4131.2039999999997</v>
      </c>
      <c r="S1902" s="3">
        <f t="shared" si="146"/>
        <v>5188.3061999999991</v>
      </c>
      <c r="T1902" s="3">
        <f t="shared" si="147"/>
        <v>1057.1021999999994</v>
      </c>
      <c r="U1902" s="4">
        <f t="shared" si="148"/>
        <v>0.20374707259953154</v>
      </c>
      <c r="V1902" s="5">
        <f t="shared" si="149"/>
        <v>49.756706999999999</v>
      </c>
    </row>
    <row r="1903" spans="1:22" x14ac:dyDescent="0.25">
      <c r="A1903" s="2" t="s">
        <v>1937</v>
      </c>
      <c r="B1903" s="2" t="s">
        <v>32</v>
      </c>
      <c r="C1903" s="2" t="s">
        <v>19</v>
      </c>
      <c r="D1903" s="2" t="s">
        <v>20</v>
      </c>
      <c r="E1903" s="2">
        <v>521.07000000000005</v>
      </c>
      <c r="F1903" s="2">
        <v>17.71</v>
      </c>
      <c r="G1903" s="2">
        <v>30.7</v>
      </c>
      <c r="H1903" s="2">
        <v>1.7</v>
      </c>
      <c r="I1903" s="2">
        <v>2.1</v>
      </c>
      <c r="J1903" s="2">
        <v>10</v>
      </c>
      <c r="K1903" s="2" t="s">
        <v>29</v>
      </c>
      <c r="L1903" s="2">
        <v>9.27</v>
      </c>
      <c r="M1903" s="2" t="s">
        <v>40</v>
      </c>
      <c r="N1903" s="2">
        <v>55.73</v>
      </c>
      <c r="O1903" s="2" t="s">
        <v>30</v>
      </c>
      <c r="P1903" s="2">
        <v>4.3899999999999997</v>
      </c>
      <c r="Q1903" s="2">
        <v>8.1</v>
      </c>
      <c r="R1903" s="3">
        <f t="shared" si="145"/>
        <v>2287.4973</v>
      </c>
      <c r="S1903" s="3">
        <f t="shared" si="146"/>
        <v>4220.6670000000004</v>
      </c>
      <c r="T1903" s="3">
        <f t="shared" si="147"/>
        <v>1933.1697000000004</v>
      </c>
      <c r="U1903" s="4">
        <f t="shared" si="148"/>
        <v>0.45802469135802476</v>
      </c>
      <c r="V1903" s="5">
        <f t="shared" si="149"/>
        <v>48.303189000000003</v>
      </c>
    </row>
    <row r="1904" spans="1:22" x14ac:dyDescent="0.25">
      <c r="A1904" s="2" t="s">
        <v>1938</v>
      </c>
      <c r="B1904" s="2" t="s">
        <v>32</v>
      </c>
      <c r="C1904" s="2" t="s">
        <v>27</v>
      </c>
      <c r="D1904" s="2" t="s">
        <v>20</v>
      </c>
      <c r="E1904" s="2">
        <v>520.95000000000005</v>
      </c>
      <c r="F1904" s="2">
        <v>9.76</v>
      </c>
      <c r="G1904" s="2">
        <v>23.98</v>
      </c>
      <c r="H1904" s="2">
        <v>1.4</v>
      </c>
      <c r="I1904" s="2">
        <v>0.2</v>
      </c>
      <c r="J1904" s="2">
        <v>10</v>
      </c>
      <c r="K1904" s="2" t="s">
        <v>21</v>
      </c>
      <c r="L1904" s="2">
        <v>2.75</v>
      </c>
      <c r="M1904" s="2" t="s">
        <v>40</v>
      </c>
      <c r="N1904" s="2">
        <v>52.64</v>
      </c>
      <c r="O1904" s="2" t="s">
        <v>23</v>
      </c>
      <c r="P1904" s="2">
        <v>3.59</v>
      </c>
      <c r="Q1904" s="2">
        <v>8.76</v>
      </c>
      <c r="R1904" s="3">
        <f t="shared" si="145"/>
        <v>1870.2105000000001</v>
      </c>
      <c r="S1904" s="3">
        <f t="shared" si="146"/>
        <v>4563.5219999999999</v>
      </c>
      <c r="T1904" s="3">
        <f t="shared" si="147"/>
        <v>2693.3114999999998</v>
      </c>
      <c r="U1904" s="4">
        <f t="shared" si="148"/>
        <v>0.59018264840182644</v>
      </c>
      <c r="V1904" s="5">
        <f t="shared" si="149"/>
        <v>14.326125000000001</v>
      </c>
    </row>
    <row r="1905" spans="1:22" x14ac:dyDescent="0.25">
      <c r="A1905" s="2" t="s">
        <v>1939</v>
      </c>
      <c r="B1905" s="2" t="s">
        <v>32</v>
      </c>
      <c r="C1905" s="2" t="s">
        <v>43</v>
      </c>
      <c r="D1905" s="2" t="s">
        <v>28</v>
      </c>
      <c r="E1905" s="2">
        <v>390.84</v>
      </c>
      <c r="F1905" s="2">
        <v>13.97</v>
      </c>
      <c r="G1905" s="2">
        <v>30.17</v>
      </c>
      <c r="H1905" s="2">
        <v>1</v>
      </c>
      <c r="I1905" s="2">
        <v>1.8</v>
      </c>
      <c r="J1905" s="2">
        <v>18</v>
      </c>
      <c r="K1905" s="2" t="s">
        <v>21</v>
      </c>
      <c r="L1905" s="2">
        <v>5.63</v>
      </c>
      <c r="M1905" s="2" t="s">
        <v>40</v>
      </c>
      <c r="N1905" s="2">
        <v>68.27</v>
      </c>
      <c r="O1905" s="2" t="s">
        <v>24</v>
      </c>
      <c r="P1905" s="2">
        <v>6.69</v>
      </c>
      <c r="Q1905" s="2">
        <v>11.12</v>
      </c>
      <c r="R1905" s="3">
        <f t="shared" si="145"/>
        <v>2614.7195999999999</v>
      </c>
      <c r="S1905" s="3">
        <f t="shared" si="146"/>
        <v>4346.1407999999992</v>
      </c>
      <c r="T1905" s="3">
        <f t="shared" si="147"/>
        <v>1731.4211999999993</v>
      </c>
      <c r="U1905" s="4">
        <f t="shared" si="148"/>
        <v>0.39838129496402869</v>
      </c>
      <c r="V1905" s="5">
        <f t="shared" si="149"/>
        <v>22.004292</v>
      </c>
    </row>
    <row r="1906" spans="1:22" x14ac:dyDescent="0.25">
      <c r="A1906" s="2" t="s">
        <v>1940</v>
      </c>
      <c r="B1906" s="2" t="s">
        <v>18</v>
      </c>
      <c r="C1906" s="2" t="s">
        <v>19</v>
      </c>
      <c r="D1906" s="2" t="s">
        <v>20</v>
      </c>
      <c r="E1906" s="2">
        <v>523.38</v>
      </c>
      <c r="F1906" s="2">
        <v>12.24</v>
      </c>
      <c r="G1906" s="2">
        <v>23.15</v>
      </c>
      <c r="H1906" s="2">
        <v>0.3</v>
      </c>
      <c r="I1906" s="2">
        <v>0.1</v>
      </c>
      <c r="J1906" s="2">
        <v>12</v>
      </c>
      <c r="K1906" s="2" t="s">
        <v>29</v>
      </c>
      <c r="L1906" s="2">
        <v>2.0099999999999998</v>
      </c>
      <c r="M1906" s="2" t="s">
        <v>22</v>
      </c>
      <c r="N1906" s="2">
        <v>52.37</v>
      </c>
      <c r="O1906" s="2" t="s">
        <v>23</v>
      </c>
      <c r="P1906" s="2">
        <v>5.29</v>
      </c>
      <c r="Q1906" s="2">
        <v>6.68</v>
      </c>
      <c r="R1906" s="3">
        <f t="shared" si="145"/>
        <v>2768.6801999999998</v>
      </c>
      <c r="S1906" s="3">
        <f t="shared" si="146"/>
        <v>3496.1783999999998</v>
      </c>
      <c r="T1906" s="3">
        <f t="shared" si="147"/>
        <v>727.4982</v>
      </c>
      <c r="U1906" s="4">
        <f t="shared" si="148"/>
        <v>0.20808383233532934</v>
      </c>
      <c r="V1906" s="5">
        <f t="shared" si="149"/>
        <v>10.519938</v>
      </c>
    </row>
    <row r="1907" spans="1:22" x14ac:dyDescent="0.25">
      <c r="A1907" s="2" t="s">
        <v>1941</v>
      </c>
      <c r="B1907" s="2" t="s">
        <v>45</v>
      </c>
      <c r="C1907" s="2" t="s">
        <v>27</v>
      </c>
      <c r="D1907" s="2" t="s">
        <v>28</v>
      </c>
      <c r="E1907" s="2">
        <v>603.54</v>
      </c>
      <c r="F1907" s="2">
        <v>12.47</v>
      </c>
      <c r="G1907" s="2">
        <v>33.42</v>
      </c>
      <c r="H1907" s="2">
        <v>1.1000000000000001</v>
      </c>
      <c r="I1907" s="2">
        <v>0.2</v>
      </c>
      <c r="J1907" s="2">
        <v>22</v>
      </c>
      <c r="K1907" s="2" t="s">
        <v>34</v>
      </c>
      <c r="L1907" s="2">
        <v>5.22</v>
      </c>
      <c r="M1907" s="2" t="s">
        <v>37</v>
      </c>
      <c r="N1907" s="2">
        <v>55.21</v>
      </c>
      <c r="O1907" s="2" t="s">
        <v>30</v>
      </c>
      <c r="P1907" s="2">
        <v>8.2899999999999991</v>
      </c>
      <c r="Q1907" s="2">
        <v>12.71</v>
      </c>
      <c r="R1907" s="3">
        <f t="shared" si="145"/>
        <v>5003.3465999999989</v>
      </c>
      <c r="S1907" s="3">
        <f t="shared" si="146"/>
        <v>7670.9934000000003</v>
      </c>
      <c r="T1907" s="3">
        <f t="shared" si="147"/>
        <v>2667.6468000000013</v>
      </c>
      <c r="U1907" s="4">
        <f t="shared" si="148"/>
        <v>0.34775767112509853</v>
      </c>
      <c r="V1907" s="5">
        <f t="shared" si="149"/>
        <v>31.504787999999998</v>
      </c>
    </row>
    <row r="1908" spans="1:22" x14ac:dyDescent="0.25">
      <c r="A1908" s="2" t="s">
        <v>1942</v>
      </c>
      <c r="B1908" s="2" t="s">
        <v>32</v>
      </c>
      <c r="C1908" s="2" t="s">
        <v>19</v>
      </c>
      <c r="D1908" s="2" t="s">
        <v>28</v>
      </c>
      <c r="E1908" s="2">
        <v>416.39</v>
      </c>
      <c r="F1908" s="2">
        <v>10.54</v>
      </c>
      <c r="G1908" s="2">
        <v>35.08</v>
      </c>
      <c r="H1908" s="2">
        <v>0.2</v>
      </c>
      <c r="I1908" s="2">
        <v>0</v>
      </c>
      <c r="J1908" s="2">
        <v>16</v>
      </c>
      <c r="K1908" s="2" t="s">
        <v>34</v>
      </c>
      <c r="L1908" s="2">
        <v>1.36</v>
      </c>
      <c r="M1908" s="2" t="s">
        <v>37</v>
      </c>
      <c r="N1908" s="2">
        <v>57.11</v>
      </c>
      <c r="O1908" s="2" t="s">
        <v>24</v>
      </c>
      <c r="P1908" s="2">
        <v>5.2</v>
      </c>
      <c r="Q1908" s="2">
        <v>10.75</v>
      </c>
      <c r="R1908" s="3">
        <f t="shared" si="145"/>
        <v>2165.2280000000001</v>
      </c>
      <c r="S1908" s="3">
        <f t="shared" si="146"/>
        <v>4476.1925000000001</v>
      </c>
      <c r="T1908" s="3">
        <f t="shared" si="147"/>
        <v>2310.9645</v>
      </c>
      <c r="U1908" s="4">
        <f t="shared" si="148"/>
        <v>0.51627906976744187</v>
      </c>
      <c r="V1908" s="5">
        <f t="shared" si="149"/>
        <v>5.6629040000000002</v>
      </c>
    </row>
    <row r="1909" spans="1:22" x14ac:dyDescent="0.25">
      <c r="A1909" s="2" t="s">
        <v>1943</v>
      </c>
      <c r="B1909" s="2" t="s">
        <v>32</v>
      </c>
      <c r="C1909" s="2" t="s">
        <v>19</v>
      </c>
      <c r="D1909" s="2" t="s">
        <v>20</v>
      </c>
      <c r="E1909" s="2">
        <v>642.45000000000005</v>
      </c>
      <c r="F1909" s="2">
        <v>16.25</v>
      </c>
      <c r="G1909" s="2">
        <v>22.21</v>
      </c>
      <c r="H1909" s="2">
        <v>0.2</v>
      </c>
      <c r="I1909" s="2">
        <v>0.2</v>
      </c>
      <c r="J1909" s="2">
        <v>23</v>
      </c>
      <c r="K1909" s="2" t="s">
        <v>34</v>
      </c>
      <c r="L1909" s="2">
        <v>9.4499999999999993</v>
      </c>
      <c r="M1909" s="2" t="s">
        <v>37</v>
      </c>
      <c r="N1909" s="2">
        <v>50.1</v>
      </c>
      <c r="O1909" s="2" t="s">
        <v>30</v>
      </c>
      <c r="P1909" s="2">
        <v>9.85</v>
      </c>
      <c r="Q1909" s="2">
        <v>7.69</v>
      </c>
      <c r="R1909" s="3">
        <f t="shared" si="145"/>
        <v>6328.1325000000006</v>
      </c>
      <c r="S1909" s="3">
        <f t="shared" si="146"/>
        <v>4940.4405000000006</v>
      </c>
      <c r="T1909" s="3">
        <f t="shared" si="147"/>
        <v>-1387.692</v>
      </c>
      <c r="U1909" s="4">
        <f t="shared" si="148"/>
        <v>-0.28088426527958382</v>
      </c>
      <c r="V1909" s="5">
        <f t="shared" si="149"/>
        <v>60.711525000000002</v>
      </c>
    </row>
    <row r="1910" spans="1:22" x14ac:dyDescent="0.25">
      <c r="A1910" s="2" t="s">
        <v>1944</v>
      </c>
      <c r="B1910" s="2" t="s">
        <v>45</v>
      </c>
      <c r="C1910" s="2" t="s">
        <v>19</v>
      </c>
      <c r="D1910" s="2" t="s">
        <v>28</v>
      </c>
      <c r="E1910" s="2">
        <v>490.83</v>
      </c>
      <c r="F1910" s="2">
        <v>12.85</v>
      </c>
      <c r="G1910" s="2">
        <v>29.36</v>
      </c>
      <c r="H1910" s="2">
        <v>1.1000000000000001</v>
      </c>
      <c r="I1910" s="2">
        <v>2.5</v>
      </c>
      <c r="J1910" s="2">
        <v>6</v>
      </c>
      <c r="K1910" s="2" t="s">
        <v>21</v>
      </c>
      <c r="L1910" s="2">
        <v>6.56</v>
      </c>
      <c r="M1910" s="2" t="s">
        <v>37</v>
      </c>
      <c r="N1910" s="2">
        <v>57.66</v>
      </c>
      <c r="O1910" s="2" t="s">
        <v>30</v>
      </c>
      <c r="P1910" s="2">
        <v>8.31</v>
      </c>
      <c r="Q1910" s="2">
        <v>10.01</v>
      </c>
      <c r="R1910" s="3">
        <f t="shared" si="145"/>
        <v>4078.7973000000002</v>
      </c>
      <c r="S1910" s="3">
        <f t="shared" si="146"/>
        <v>4913.2082999999993</v>
      </c>
      <c r="T1910" s="3">
        <f t="shared" si="147"/>
        <v>834.41099999999915</v>
      </c>
      <c r="U1910" s="4">
        <f t="shared" si="148"/>
        <v>0.16983016983016969</v>
      </c>
      <c r="V1910" s="5">
        <f t="shared" si="149"/>
        <v>32.198447999999999</v>
      </c>
    </row>
    <row r="1911" spans="1:22" x14ac:dyDescent="0.25">
      <c r="A1911" s="2" t="s">
        <v>1945</v>
      </c>
      <c r="B1911" s="2" t="s">
        <v>32</v>
      </c>
      <c r="C1911" s="2" t="s">
        <v>43</v>
      </c>
      <c r="D1911" s="2" t="s">
        <v>28</v>
      </c>
      <c r="E1911" s="2">
        <v>411.22</v>
      </c>
      <c r="F1911" s="2">
        <v>13.43</v>
      </c>
      <c r="G1911" s="2">
        <v>21.42</v>
      </c>
      <c r="H1911" s="2">
        <v>0.7</v>
      </c>
      <c r="I1911" s="2">
        <v>0.6</v>
      </c>
      <c r="J1911" s="2">
        <v>24</v>
      </c>
      <c r="K1911" s="2" t="s">
        <v>21</v>
      </c>
      <c r="L1911" s="2">
        <v>8.6199999999999992</v>
      </c>
      <c r="M1911" s="2" t="s">
        <v>22</v>
      </c>
      <c r="N1911" s="2">
        <v>78.86</v>
      </c>
      <c r="O1911" s="2" t="s">
        <v>30</v>
      </c>
      <c r="P1911" s="2">
        <v>3.4</v>
      </c>
      <c r="Q1911" s="2">
        <v>14.63</v>
      </c>
      <c r="R1911" s="3">
        <f t="shared" si="145"/>
        <v>1398.1480000000001</v>
      </c>
      <c r="S1911" s="3">
        <f t="shared" si="146"/>
        <v>6016.1486000000004</v>
      </c>
      <c r="T1911" s="3">
        <f t="shared" si="147"/>
        <v>4618.0006000000003</v>
      </c>
      <c r="U1911" s="4">
        <f t="shared" si="148"/>
        <v>0.76760082023239917</v>
      </c>
      <c r="V1911" s="5">
        <f t="shared" si="149"/>
        <v>35.447164000000001</v>
      </c>
    </row>
    <row r="1912" spans="1:22" x14ac:dyDescent="0.25">
      <c r="A1912" s="2" t="s">
        <v>1946</v>
      </c>
      <c r="B1912" s="2" t="s">
        <v>26</v>
      </c>
      <c r="C1912" s="2" t="s">
        <v>27</v>
      </c>
      <c r="D1912" s="2" t="s">
        <v>28</v>
      </c>
      <c r="E1912" s="2">
        <v>599.76</v>
      </c>
      <c r="F1912" s="2">
        <v>11.05</v>
      </c>
      <c r="G1912" s="2">
        <v>31.96</v>
      </c>
      <c r="H1912" s="2">
        <v>5.2</v>
      </c>
      <c r="I1912" s="2">
        <v>0.1</v>
      </c>
      <c r="J1912" s="2">
        <v>25</v>
      </c>
      <c r="K1912" s="2" t="s">
        <v>29</v>
      </c>
      <c r="L1912" s="2">
        <v>9.98</v>
      </c>
      <c r="M1912" s="2" t="s">
        <v>40</v>
      </c>
      <c r="N1912" s="2">
        <v>90.98</v>
      </c>
      <c r="O1912" s="2" t="s">
        <v>24</v>
      </c>
      <c r="P1912" s="2">
        <v>6.56</v>
      </c>
      <c r="Q1912" s="2">
        <v>5.2</v>
      </c>
      <c r="R1912" s="3">
        <f t="shared" si="145"/>
        <v>3934.4255999999996</v>
      </c>
      <c r="S1912" s="3">
        <f t="shared" si="146"/>
        <v>3118.752</v>
      </c>
      <c r="T1912" s="3">
        <f t="shared" si="147"/>
        <v>-815.67359999999962</v>
      </c>
      <c r="U1912" s="4">
        <f t="shared" si="148"/>
        <v>-0.26153846153846144</v>
      </c>
      <c r="V1912" s="5">
        <f t="shared" si="149"/>
        <v>59.856048000000001</v>
      </c>
    </row>
    <row r="1913" spans="1:22" x14ac:dyDescent="0.25">
      <c r="A1913" s="2" t="s">
        <v>1947</v>
      </c>
      <c r="B1913" s="2" t="s">
        <v>45</v>
      </c>
      <c r="C1913" s="2" t="s">
        <v>33</v>
      </c>
      <c r="D1913" s="2" t="s">
        <v>20</v>
      </c>
      <c r="E1913" s="2">
        <v>471.32</v>
      </c>
      <c r="F1913" s="2">
        <v>9.82</v>
      </c>
      <c r="G1913" s="2">
        <v>25.29</v>
      </c>
      <c r="H1913" s="2">
        <v>0.9</v>
      </c>
      <c r="I1913" s="2">
        <v>3.2</v>
      </c>
      <c r="J1913" s="2">
        <v>24</v>
      </c>
      <c r="K1913" s="2" t="s">
        <v>29</v>
      </c>
      <c r="L1913" s="2">
        <v>2.2400000000000002</v>
      </c>
      <c r="M1913" s="2" t="s">
        <v>37</v>
      </c>
      <c r="N1913" s="2">
        <v>59.67</v>
      </c>
      <c r="O1913" s="2" t="s">
        <v>24</v>
      </c>
      <c r="P1913" s="2">
        <v>6.94</v>
      </c>
      <c r="Q1913" s="2">
        <v>7</v>
      </c>
      <c r="R1913" s="3">
        <f t="shared" si="145"/>
        <v>3270.9608000000003</v>
      </c>
      <c r="S1913" s="3">
        <f t="shared" si="146"/>
        <v>3299.24</v>
      </c>
      <c r="T1913" s="3">
        <f t="shared" si="147"/>
        <v>28.279199999999491</v>
      </c>
      <c r="U1913" s="4">
        <f t="shared" si="148"/>
        <v>8.5714285714284175E-3</v>
      </c>
      <c r="V1913" s="5">
        <f t="shared" si="149"/>
        <v>10.557568000000002</v>
      </c>
    </row>
    <row r="1914" spans="1:22" x14ac:dyDescent="0.25">
      <c r="A1914" s="2" t="s">
        <v>1948</v>
      </c>
      <c r="B1914" s="2" t="s">
        <v>45</v>
      </c>
      <c r="C1914" s="2" t="s">
        <v>43</v>
      </c>
      <c r="D1914" s="2" t="s">
        <v>28</v>
      </c>
      <c r="E1914" s="2">
        <v>575.95000000000005</v>
      </c>
      <c r="F1914" s="2">
        <v>8.86</v>
      </c>
      <c r="G1914" s="2">
        <v>30.55</v>
      </c>
      <c r="H1914" s="2">
        <v>2.8</v>
      </c>
      <c r="I1914" s="2">
        <v>2.1</v>
      </c>
      <c r="J1914" s="2">
        <v>21</v>
      </c>
      <c r="K1914" s="2" t="s">
        <v>21</v>
      </c>
      <c r="L1914" s="2">
        <v>7.09</v>
      </c>
      <c r="M1914" s="2" t="s">
        <v>37</v>
      </c>
      <c r="N1914" s="2">
        <v>54.04</v>
      </c>
      <c r="O1914" s="2" t="s">
        <v>30</v>
      </c>
      <c r="P1914" s="2">
        <v>7.87</v>
      </c>
      <c r="Q1914" s="2">
        <v>9.48</v>
      </c>
      <c r="R1914" s="3">
        <f t="shared" si="145"/>
        <v>4532.7265000000007</v>
      </c>
      <c r="S1914" s="3">
        <f t="shared" si="146"/>
        <v>5460.0060000000003</v>
      </c>
      <c r="T1914" s="3">
        <f t="shared" si="147"/>
        <v>927.27949999999964</v>
      </c>
      <c r="U1914" s="4">
        <f t="shared" si="148"/>
        <v>0.16983122362869191</v>
      </c>
      <c r="V1914" s="5">
        <f t="shared" si="149"/>
        <v>40.834855000000005</v>
      </c>
    </row>
    <row r="1915" spans="1:22" x14ac:dyDescent="0.25">
      <c r="A1915" s="2" t="s">
        <v>1949</v>
      </c>
      <c r="B1915" s="2" t="s">
        <v>45</v>
      </c>
      <c r="C1915" s="2" t="s">
        <v>43</v>
      </c>
      <c r="D1915" s="2" t="s">
        <v>28</v>
      </c>
      <c r="E1915" s="2">
        <v>470.82</v>
      </c>
      <c r="F1915" s="2">
        <v>15.14</v>
      </c>
      <c r="G1915" s="2">
        <v>30.35</v>
      </c>
      <c r="H1915" s="2">
        <v>1.5</v>
      </c>
      <c r="I1915" s="2">
        <v>1.4</v>
      </c>
      <c r="J1915" s="2">
        <v>24</v>
      </c>
      <c r="K1915" s="2" t="s">
        <v>34</v>
      </c>
      <c r="L1915" s="2">
        <v>8.93</v>
      </c>
      <c r="M1915" s="2" t="s">
        <v>22</v>
      </c>
      <c r="N1915" s="2">
        <v>86.48</v>
      </c>
      <c r="O1915" s="2" t="s">
        <v>24</v>
      </c>
      <c r="P1915" s="2">
        <v>6.48</v>
      </c>
      <c r="Q1915" s="2">
        <v>11.38</v>
      </c>
      <c r="R1915" s="3">
        <f t="shared" si="145"/>
        <v>3050.9136000000003</v>
      </c>
      <c r="S1915" s="3">
        <f t="shared" si="146"/>
        <v>5357.9315999999999</v>
      </c>
      <c r="T1915" s="3">
        <f t="shared" si="147"/>
        <v>2307.0179999999996</v>
      </c>
      <c r="U1915" s="4">
        <f t="shared" si="148"/>
        <v>0.43057996485061506</v>
      </c>
      <c r="V1915" s="5">
        <f t="shared" si="149"/>
        <v>42.044226000000002</v>
      </c>
    </row>
    <row r="1916" spans="1:22" x14ac:dyDescent="0.25">
      <c r="A1916" s="2" t="s">
        <v>1950</v>
      </c>
      <c r="B1916" s="2" t="s">
        <v>26</v>
      </c>
      <c r="C1916" s="2" t="s">
        <v>43</v>
      </c>
      <c r="D1916" s="2" t="s">
        <v>20</v>
      </c>
      <c r="E1916" s="2">
        <v>494.02</v>
      </c>
      <c r="F1916" s="2">
        <v>9.9600000000000009</v>
      </c>
      <c r="G1916" s="2">
        <v>38.49</v>
      </c>
      <c r="H1916" s="2">
        <v>2.4</v>
      </c>
      <c r="I1916" s="2">
        <v>2.7</v>
      </c>
      <c r="J1916" s="2">
        <v>10</v>
      </c>
      <c r="K1916" s="2" t="s">
        <v>34</v>
      </c>
      <c r="L1916" s="2">
        <v>5.97</v>
      </c>
      <c r="M1916" s="2" t="s">
        <v>40</v>
      </c>
      <c r="N1916" s="2">
        <v>50.41</v>
      </c>
      <c r="O1916" s="2" t="s">
        <v>30</v>
      </c>
      <c r="P1916" s="2">
        <v>6.38</v>
      </c>
      <c r="Q1916" s="2">
        <v>7.12</v>
      </c>
      <c r="R1916" s="3">
        <f t="shared" si="145"/>
        <v>3151.8476000000001</v>
      </c>
      <c r="S1916" s="3">
        <f t="shared" si="146"/>
        <v>3517.4223999999999</v>
      </c>
      <c r="T1916" s="3">
        <f t="shared" si="147"/>
        <v>365.57479999999987</v>
      </c>
      <c r="U1916" s="4">
        <f t="shared" si="148"/>
        <v>0.10393258426966288</v>
      </c>
      <c r="V1916" s="5">
        <f t="shared" si="149"/>
        <v>29.492993999999999</v>
      </c>
    </row>
    <row r="1917" spans="1:22" x14ac:dyDescent="0.25">
      <c r="A1917" s="2" t="s">
        <v>1951</v>
      </c>
      <c r="B1917" s="2" t="s">
        <v>45</v>
      </c>
      <c r="C1917" s="2" t="s">
        <v>33</v>
      </c>
      <c r="D1917" s="2" t="s">
        <v>28</v>
      </c>
      <c r="E1917" s="2">
        <v>549.36</v>
      </c>
      <c r="F1917" s="2">
        <v>14.9</v>
      </c>
      <c r="G1917" s="2">
        <v>30.98</v>
      </c>
      <c r="H1917" s="2">
        <v>0.6</v>
      </c>
      <c r="I1917" s="2">
        <v>0.2</v>
      </c>
      <c r="J1917" s="2">
        <v>15</v>
      </c>
      <c r="K1917" s="2" t="s">
        <v>34</v>
      </c>
      <c r="L1917" s="2">
        <v>6.58</v>
      </c>
      <c r="M1917" s="2" t="s">
        <v>40</v>
      </c>
      <c r="N1917" s="2">
        <v>86.71</v>
      </c>
      <c r="O1917" s="2" t="s">
        <v>30</v>
      </c>
      <c r="P1917" s="2">
        <v>5.58</v>
      </c>
      <c r="Q1917" s="2">
        <v>14.31</v>
      </c>
      <c r="R1917" s="3">
        <f t="shared" si="145"/>
        <v>3065.4288000000001</v>
      </c>
      <c r="S1917" s="3">
        <f t="shared" si="146"/>
        <v>7861.3416000000007</v>
      </c>
      <c r="T1917" s="3">
        <f t="shared" si="147"/>
        <v>4795.9128000000001</v>
      </c>
      <c r="U1917" s="4">
        <f t="shared" si="148"/>
        <v>0.61006289308176098</v>
      </c>
      <c r="V1917" s="5">
        <f t="shared" si="149"/>
        <v>36.147888000000002</v>
      </c>
    </row>
    <row r="1918" spans="1:22" x14ac:dyDescent="0.25">
      <c r="A1918" s="2" t="s">
        <v>1952</v>
      </c>
      <c r="B1918" s="2" t="s">
        <v>26</v>
      </c>
      <c r="C1918" s="2" t="s">
        <v>27</v>
      </c>
      <c r="D1918" s="2" t="s">
        <v>28</v>
      </c>
      <c r="E1918" s="2">
        <v>529.09</v>
      </c>
      <c r="F1918" s="2">
        <v>11.9</v>
      </c>
      <c r="G1918" s="2">
        <v>31.66</v>
      </c>
      <c r="H1918" s="2">
        <v>5.7</v>
      </c>
      <c r="I1918" s="2">
        <v>1.8</v>
      </c>
      <c r="J1918" s="2">
        <v>26</v>
      </c>
      <c r="K1918" s="2" t="s">
        <v>34</v>
      </c>
      <c r="L1918" s="2">
        <v>4.37</v>
      </c>
      <c r="M1918" s="2" t="s">
        <v>37</v>
      </c>
      <c r="N1918" s="2">
        <v>56.56</v>
      </c>
      <c r="O1918" s="2" t="s">
        <v>30</v>
      </c>
      <c r="P1918" s="2">
        <v>4.9000000000000004</v>
      </c>
      <c r="Q1918" s="2">
        <v>11.43</v>
      </c>
      <c r="R1918" s="3">
        <f t="shared" si="145"/>
        <v>2592.5410000000002</v>
      </c>
      <c r="S1918" s="3">
        <f t="shared" si="146"/>
        <v>6047.4987000000001</v>
      </c>
      <c r="T1918" s="3">
        <f t="shared" si="147"/>
        <v>3454.9576999999999</v>
      </c>
      <c r="U1918" s="4">
        <f t="shared" si="148"/>
        <v>0.57130358705161854</v>
      </c>
      <c r="V1918" s="5">
        <f t="shared" si="149"/>
        <v>23.121233000000004</v>
      </c>
    </row>
    <row r="1919" spans="1:22" x14ac:dyDescent="0.25">
      <c r="A1919" s="2" t="s">
        <v>1953</v>
      </c>
      <c r="B1919" s="2" t="s">
        <v>45</v>
      </c>
      <c r="C1919" s="2" t="s">
        <v>27</v>
      </c>
      <c r="D1919" s="2" t="s">
        <v>20</v>
      </c>
      <c r="E1919" s="2">
        <v>300.45</v>
      </c>
      <c r="F1919" s="2">
        <v>12.16</v>
      </c>
      <c r="G1919" s="2">
        <v>28.03</v>
      </c>
      <c r="H1919" s="2">
        <v>1.5</v>
      </c>
      <c r="I1919" s="2">
        <v>1.2</v>
      </c>
      <c r="J1919" s="2">
        <v>9</v>
      </c>
      <c r="K1919" s="2" t="s">
        <v>29</v>
      </c>
      <c r="L1919" s="2">
        <v>6.91</v>
      </c>
      <c r="M1919" s="2" t="s">
        <v>37</v>
      </c>
      <c r="N1919" s="2">
        <v>61.41</v>
      </c>
      <c r="O1919" s="2" t="s">
        <v>24</v>
      </c>
      <c r="P1919" s="2">
        <v>9.6199999999999992</v>
      </c>
      <c r="Q1919" s="2">
        <v>13.77</v>
      </c>
      <c r="R1919" s="3">
        <f t="shared" si="145"/>
        <v>2890.3289999999997</v>
      </c>
      <c r="S1919" s="3">
        <f t="shared" si="146"/>
        <v>4137.1965</v>
      </c>
      <c r="T1919" s="3">
        <f t="shared" si="147"/>
        <v>1246.8675000000003</v>
      </c>
      <c r="U1919" s="4">
        <f t="shared" si="148"/>
        <v>0.3013798111837328</v>
      </c>
      <c r="V1919" s="5">
        <f t="shared" si="149"/>
        <v>20.761095000000001</v>
      </c>
    </row>
    <row r="1920" spans="1:22" x14ac:dyDescent="0.25">
      <c r="A1920" s="2" t="s">
        <v>1954</v>
      </c>
      <c r="B1920" s="2" t="s">
        <v>18</v>
      </c>
      <c r="C1920" s="2" t="s">
        <v>27</v>
      </c>
      <c r="D1920" s="2" t="s">
        <v>28</v>
      </c>
      <c r="E1920" s="2">
        <v>387.88</v>
      </c>
      <c r="F1920" s="2">
        <v>12.69</v>
      </c>
      <c r="G1920" s="2">
        <v>38.979999999999997</v>
      </c>
      <c r="H1920" s="2">
        <v>3.6</v>
      </c>
      <c r="I1920" s="2">
        <v>2</v>
      </c>
      <c r="J1920" s="2">
        <v>24</v>
      </c>
      <c r="K1920" s="2" t="s">
        <v>29</v>
      </c>
      <c r="L1920" s="2">
        <v>4.26</v>
      </c>
      <c r="M1920" s="2" t="s">
        <v>40</v>
      </c>
      <c r="N1920" s="2">
        <v>56</v>
      </c>
      <c r="O1920" s="2" t="s">
        <v>23</v>
      </c>
      <c r="P1920" s="2">
        <v>5.22</v>
      </c>
      <c r="Q1920" s="2">
        <v>8.2899999999999991</v>
      </c>
      <c r="R1920" s="3">
        <f t="shared" si="145"/>
        <v>2024.7335999999998</v>
      </c>
      <c r="S1920" s="3">
        <f t="shared" si="146"/>
        <v>3215.5251999999996</v>
      </c>
      <c r="T1920" s="3">
        <f t="shared" si="147"/>
        <v>1190.7915999999998</v>
      </c>
      <c r="U1920" s="4">
        <f t="shared" si="148"/>
        <v>0.3703256936067551</v>
      </c>
      <c r="V1920" s="5">
        <f t="shared" si="149"/>
        <v>16.523688</v>
      </c>
    </row>
    <row r="1921" spans="1:22" x14ac:dyDescent="0.25">
      <c r="A1921" s="2" t="s">
        <v>1955</v>
      </c>
      <c r="B1921" s="2" t="s">
        <v>32</v>
      </c>
      <c r="C1921" s="2" t="s">
        <v>19</v>
      </c>
      <c r="D1921" s="2" t="s">
        <v>28</v>
      </c>
      <c r="E1921" s="2">
        <v>592.94000000000005</v>
      </c>
      <c r="F1921" s="2">
        <v>11.68</v>
      </c>
      <c r="G1921" s="2">
        <v>35.54</v>
      </c>
      <c r="H1921" s="2">
        <v>0.9</v>
      </c>
      <c r="I1921" s="2">
        <v>1.6</v>
      </c>
      <c r="J1921" s="2">
        <v>2</v>
      </c>
      <c r="K1921" s="2" t="s">
        <v>21</v>
      </c>
      <c r="L1921" s="2">
        <v>5.03</v>
      </c>
      <c r="M1921" s="2" t="s">
        <v>22</v>
      </c>
      <c r="N1921" s="2">
        <v>62.37</v>
      </c>
      <c r="O1921" s="2" t="s">
        <v>23</v>
      </c>
      <c r="P1921" s="2">
        <v>3.44</v>
      </c>
      <c r="Q1921" s="2">
        <v>13.29</v>
      </c>
      <c r="R1921" s="3">
        <f t="shared" si="145"/>
        <v>2039.7136000000003</v>
      </c>
      <c r="S1921" s="3">
        <f t="shared" si="146"/>
        <v>7880.1725999999999</v>
      </c>
      <c r="T1921" s="3">
        <f t="shared" si="147"/>
        <v>5840.4589999999998</v>
      </c>
      <c r="U1921" s="4">
        <f t="shared" si="148"/>
        <v>0.74115876598946573</v>
      </c>
      <c r="V1921" s="5">
        <f t="shared" si="149"/>
        <v>29.824882000000002</v>
      </c>
    </row>
    <row r="1922" spans="1:22" x14ac:dyDescent="0.25">
      <c r="A1922" s="2" t="s">
        <v>1956</v>
      </c>
      <c r="B1922" s="2" t="s">
        <v>18</v>
      </c>
      <c r="C1922" s="2" t="s">
        <v>19</v>
      </c>
      <c r="D1922" s="2" t="s">
        <v>28</v>
      </c>
      <c r="E1922" s="2">
        <v>486.79</v>
      </c>
      <c r="F1922" s="2">
        <v>9.01</v>
      </c>
      <c r="G1922" s="2">
        <v>25.71</v>
      </c>
      <c r="H1922" s="2">
        <v>0.2</v>
      </c>
      <c r="I1922" s="2">
        <v>0.4</v>
      </c>
      <c r="J1922" s="2">
        <v>18</v>
      </c>
      <c r="K1922" s="2" t="s">
        <v>29</v>
      </c>
      <c r="L1922" s="2">
        <v>1.48</v>
      </c>
      <c r="M1922" s="2" t="s">
        <v>40</v>
      </c>
      <c r="N1922" s="2">
        <v>89.91</v>
      </c>
      <c r="O1922" s="2" t="s">
        <v>24</v>
      </c>
      <c r="P1922" s="2">
        <v>4.17</v>
      </c>
      <c r="Q1922" s="2">
        <v>8.7799999999999994</v>
      </c>
      <c r="R1922" s="3">
        <f t="shared" si="145"/>
        <v>2029.9143000000001</v>
      </c>
      <c r="S1922" s="3">
        <f t="shared" si="146"/>
        <v>4274.0162</v>
      </c>
      <c r="T1922" s="3">
        <f t="shared" si="147"/>
        <v>2244.1018999999997</v>
      </c>
      <c r="U1922" s="4">
        <f t="shared" si="148"/>
        <v>0.52505694760820032</v>
      </c>
      <c r="V1922" s="5">
        <f t="shared" si="149"/>
        <v>7.2044920000000001</v>
      </c>
    </row>
    <row r="1923" spans="1:22" x14ac:dyDescent="0.25">
      <c r="A1923" s="2" t="s">
        <v>1957</v>
      </c>
      <c r="B1923" s="2" t="s">
        <v>32</v>
      </c>
      <c r="C1923" s="2" t="s">
        <v>19</v>
      </c>
      <c r="D1923" s="2" t="s">
        <v>28</v>
      </c>
      <c r="E1923" s="2">
        <v>447.63</v>
      </c>
      <c r="F1923" s="2">
        <v>11.1</v>
      </c>
      <c r="G1923" s="2">
        <v>36.880000000000003</v>
      </c>
      <c r="H1923" s="2">
        <v>2.2000000000000002</v>
      </c>
      <c r="I1923" s="2">
        <v>1.5</v>
      </c>
      <c r="J1923" s="2">
        <v>12</v>
      </c>
      <c r="K1923" s="2" t="s">
        <v>34</v>
      </c>
      <c r="L1923" s="2">
        <v>0.56999999999999995</v>
      </c>
      <c r="M1923" s="2" t="s">
        <v>40</v>
      </c>
      <c r="N1923" s="2">
        <v>56.63</v>
      </c>
      <c r="O1923" s="2" t="s">
        <v>24</v>
      </c>
      <c r="P1923" s="2">
        <v>9</v>
      </c>
      <c r="Q1923" s="2">
        <v>7.53</v>
      </c>
      <c r="R1923" s="3">
        <f t="shared" ref="R1923:R1986" si="150">E1923*P1923</f>
        <v>4028.67</v>
      </c>
      <c r="S1923" s="3">
        <f t="shared" ref="S1923:S1986" si="151">E1923*Q1923</f>
        <v>3370.6539000000002</v>
      </c>
      <c r="T1923" s="3">
        <f t="shared" ref="T1923:T1986" si="152">S1923-R1923</f>
        <v>-658.01609999999982</v>
      </c>
      <c r="U1923" s="4">
        <f t="shared" ref="U1923:U1986" si="153">T1923/S1923</f>
        <v>-0.19521912350597603</v>
      </c>
      <c r="V1923" s="5">
        <f t="shared" ref="V1923:V1986" si="154">E1923*L1923/100</f>
        <v>2.551491</v>
      </c>
    </row>
    <row r="1924" spans="1:22" x14ac:dyDescent="0.25">
      <c r="A1924" s="2" t="s">
        <v>1958</v>
      </c>
      <c r="B1924" s="2" t="s">
        <v>26</v>
      </c>
      <c r="C1924" s="2" t="s">
        <v>33</v>
      </c>
      <c r="D1924" s="2" t="s">
        <v>28</v>
      </c>
      <c r="E1924" s="2">
        <v>364.14</v>
      </c>
      <c r="F1924" s="2">
        <v>14.64</v>
      </c>
      <c r="G1924" s="2">
        <v>28.65</v>
      </c>
      <c r="H1924" s="2">
        <v>0</v>
      </c>
      <c r="I1924" s="2">
        <v>0.3</v>
      </c>
      <c r="J1924" s="2">
        <v>3</v>
      </c>
      <c r="K1924" s="2" t="s">
        <v>21</v>
      </c>
      <c r="L1924" s="2">
        <v>1.02</v>
      </c>
      <c r="M1924" s="2" t="s">
        <v>37</v>
      </c>
      <c r="N1924" s="2">
        <v>99.71</v>
      </c>
      <c r="O1924" s="2" t="s">
        <v>30</v>
      </c>
      <c r="P1924" s="2">
        <v>7.11</v>
      </c>
      <c r="Q1924" s="2">
        <v>14.12</v>
      </c>
      <c r="R1924" s="3">
        <f t="shared" si="150"/>
        <v>2589.0354000000002</v>
      </c>
      <c r="S1924" s="3">
        <f t="shared" si="151"/>
        <v>5141.6567999999997</v>
      </c>
      <c r="T1924" s="3">
        <f t="shared" si="152"/>
        <v>2552.6213999999995</v>
      </c>
      <c r="U1924" s="4">
        <f t="shared" si="153"/>
        <v>0.49645892351274779</v>
      </c>
      <c r="V1924" s="5">
        <f t="shared" si="154"/>
        <v>3.7142279999999999</v>
      </c>
    </row>
    <row r="1925" spans="1:22" x14ac:dyDescent="0.25">
      <c r="A1925" s="2" t="s">
        <v>1959</v>
      </c>
      <c r="B1925" s="2" t="s">
        <v>18</v>
      </c>
      <c r="C1925" s="2" t="s">
        <v>19</v>
      </c>
      <c r="D1925" s="2" t="s">
        <v>20</v>
      </c>
      <c r="E1925" s="2">
        <v>392.03</v>
      </c>
      <c r="F1925" s="2">
        <v>14.66</v>
      </c>
      <c r="G1925" s="2">
        <v>36.57</v>
      </c>
      <c r="H1925" s="2">
        <v>1.3</v>
      </c>
      <c r="I1925" s="2">
        <v>0.4</v>
      </c>
      <c r="J1925" s="2">
        <v>7</v>
      </c>
      <c r="K1925" s="2" t="s">
        <v>29</v>
      </c>
      <c r="L1925" s="2">
        <v>2.33</v>
      </c>
      <c r="M1925" s="2" t="s">
        <v>22</v>
      </c>
      <c r="N1925" s="2">
        <v>66.349999999999994</v>
      </c>
      <c r="O1925" s="2" t="s">
        <v>30</v>
      </c>
      <c r="P1925" s="2">
        <v>8.4499999999999993</v>
      </c>
      <c r="Q1925" s="2">
        <v>5.92</v>
      </c>
      <c r="R1925" s="3">
        <f t="shared" si="150"/>
        <v>3312.6534999999994</v>
      </c>
      <c r="S1925" s="3">
        <f t="shared" si="151"/>
        <v>2320.8175999999999</v>
      </c>
      <c r="T1925" s="3">
        <f t="shared" si="152"/>
        <v>-991.83589999999958</v>
      </c>
      <c r="U1925" s="4">
        <f t="shared" si="153"/>
        <v>-0.42736486486486469</v>
      </c>
      <c r="V1925" s="5">
        <f t="shared" si="154"/>
        <v>9.1342990000000004</v>
      </c>
    </row>
    <row r="1926" spans="1:22" x14ac:dyDescent="0.25">
      <c r="A1926" s="2" t="s">
        <v>1960</v>
      </c>
      <c r="B1926" s="2" t="s">
        <v>45</v>
      </c>
      <c r="C1926" s="2" t="s">
        <v>33</v>
      </c>
      <c r="D1926" s="2" t="s">
        <v>20</v>
      </c>
      <c r="E1926" s="2">
        <v>297.82</v>
      </c>
      <c r="F1926" s="2">
        <v>10.86</v>
      </c>
      <c r="G1926" s="2">
        <v>36.46</v>
      </c>
      <c r="H1926" s="2">
        <v>0.4</v>
      </c>
      <c r="I1926" s="2">
        <v>0.1</v>
      </c>
      <c r="J1926" s="2">
        <v>9</v>
      </c>
      <c r="K1926" s="2" t="s">
        <v>29</v>
      </c>
      <c r="L1926" s="2">
        <v>4.84</v>
      </c>
      <c r="M1926" s="2" t="s">
        <v>22</v>
      </c>
      <c r="N1926" s="2">
        <v>96.1</v>
      </c>
      <c r="O1926" s="2" t="s">
        <v>23</v>
      </c>
      <c r="P1926" s="2">
        <v>8.66</v>
      </c>
      <c r="Q1926" s="2">
        <v>14.43</v>
      </c>
      <c r="R1926" s="3">
        <f t="shared" si="150"/>
        <v>2579.1212</v>
      </c>
      <c r="S1926" s="3">
        <f t="shared" si="151"/>
        <v>4297.5425999999998</v>
      </c>
      <c r="T1926" s="3">
        <f t="shared" si="152"/>
        <v>1718.4213999999997</v>
      </c>
      <c r="U1926" s="4">
        <f t="shared" si="153"/>
        <v>0.39986139986139979</v>
      </c>
      <c r="V1926" s="5">
        <f t="shared" si="154"/>
        <v>14.414487999999999</v>
      </c>
    </row>
    <row r="1927" spans="1:22" x14ac:dyDescent="0.25">
      <c r="A1927" s="2" t="s">
        <v>1961</v>
      </c>
      <c r="B1927" s="2" t="s">
        <v>32</v>
      </c>
      <c r="C1927" s="2" t="s">
        <v>27</v>
      </c>
      <c r="D1927" s="2" t="s">
        <v>20</v>
      </c>
      <c r="E1927" s="2">
        <v>489.87</v>
      </c>
      <c r="F1927" s="2">
        <v>12.6</v>
      </c>
      <c r="G1927" s="2">
        <v>23.78</v>
      </c>
      <c r="H1927" s="2">
        <v>2</v>
      </c>
      <c r="I1927" s="2">
        <v>2.7</v>
      </c>
      <c r="J1927" s="2">
        <v>8</v>
      </c>
      <c r="K1927" s="2" t="s">
        <v>29</v>
      </c>
      <c r="L1927" s="2">
        <v>0.7</v>
      </c>
      <c r="M1927" s="2" t="s">
        <v>22</v>
      </c>
      <c r="N1927" s="2">
        <v>59.5</v>
      </c>
      <c r="O1927" s="2" t="s">
        <v>30</v>
      </c>
      <c r="P1927" s="2">
        <v>8.76</v>
      </c>
      <c r="Q1927" s="2">
        <v>9.59</v>
      </c>
      <c r="R1927" s="3">
        <f t="shared" si="150"/>
        <v>4291.2611999999999</v>
      </c>
      <c r="S1927" s="3">
        <f t="shared" si="151"/>
        <v>4697.8532999999998</v>
      </c>
      <c r="T1927" s="3">
        <f t="shared" si="152"/>
        <v>406.59209999999985</v>
      </c>
      <c r="U1927" s="4">
        <f t="shared" si="153"/>
        <v>8.6548488008342001E-2</v>
      </c>
      <c r="V1927" s="5">
        <f t="shared" si="154"/>
        <v>3.42909</v>
      </c>
    </row>
    <row r="1928" spans="1:22" x14ac:dyDescent="0.25">
      <c r="A1928" s="2" t="s">
        <v>1962</v>
      </c>
      <c r="B1928" s="2" t="s">
        <v>32</v>
      </c>
      <c r="C1928" s="2" t="s">
        <v>19</v>
      </c>
      <c r="D1928" s="2" t="s">
        <v>20</v>
      </c>
      <c r="E1928" s="2">
        <v>440.16</v>
      </c>
      <c r="F1928" s="2">
        <v>9.93</v>
      </c>
      <c r="G1928" s="2">
        <v>34.020000000000003</v>
      </c>
      <c r="H1928" s="2">
        <v>7.8</v>
      </c>
      <c r="I1928" s="2">
        <v>0.3</v>
      </c>
      <c r="J1928" s="2">
        <v>25</v>
      </c>
      <c r="K1928" s="2" t="s">
        <v>29</v>
      </c>
      <c r="L1928" s="2">
        <v>1.98</v>
      </c>
      <c r="M1928" s="2" t="s">
        <v>37</v>
      </c>
      <c r="N1928" s="2">
        <v>59.39</v>
      </c>
      <c r="O1928" s="2" t="s">
        <v>23</v>
      </c>
      <c r="P1928" s="2">
        <v>6.85</v>
      </c>
      <c r="Q1928" s="2">
        <v>14.93</v>
      </c>
      <c r="R1928" s="3">
        <f t="shared" si="150"/>
        <v>3015.096</v>
      </c>
      <c r="S1928" s="3">
        <f t="shared" si="151"/>
        <v>6571.5888000000004</v>
      </c>
      <c r="T1928" s="3">
        <f t="shared" si="152"/>
        <v>3556.4928000000004</v>
      </c>
      <c r="U1928" s="4">
        <f t="shared" si="153"/>
        <v>0.54119223040857334</v>
      </c>
      <c r="V1928" s="5">
        <f t="shared" si="154"/>
        <v>8.7151680000000002</v>
      </c>
    </row>
    <row r="1929" spans="1:22" x14ac:dyDescent="0.25">
      <c r="A1929" s="2" t="s">
        <v>1963</v>
      </c>
      <c r="B1929" s="2" t="s">
        <v>18</v>
      </c>
      <c r="C1929" s="2" t="s">
        <v>19</v>
      </c>
      <c r="D1929" s="2" t="s">
        <v>28</v>
      </c>
      <c r="E1929" s="2">
        <v>403.34</v>
      </c>
      <c r="F1929" s="2">
        <v>10.1</v>
      </c>
      <c r="G1929" s="2">
        <v>25.81</v>
      </c>
      <c r="H1929" s="2">
        <v>1.2</v>
      </c>
      <c r="I1929" s="2">
        <v>0.7</v>
      </c>
      <c r="J1929" s="2">
        <v>6</v>
      </c>
      <c r="K1929" s="2" t="s">
        <v>29</v>
      </c>
      <c r="L1929" s="2">
        <v>7.92</v>
      </c>
      <c r="M1929" s="2" t="s">
        <v>22</v>
      </c>
      <c r="N1929" s="2">
        <v>78.27</v>
      </c>
      <c r="O1929" s="2" t="s">
        <v>23</v>
      </c>
      <c r="P1929" s="2">
        <v>4.24</v>
      </c>
      <c r="Q1929" s="2">
        <v>10.4</v>
      </c>
      <c r="R1929" s="3">
        <f t="shared" si="150"/>
        <v>1710.1615999999999</v>
      </c>
      <c r="S1929" s="3">
        <f t="shared" si="151"/>
        <v>4194.7359999999999</v>
      </c>
      <c r="T1929" s="3">
        <f t="shared" si="152"/>
        <v>2484.5744</v>
      </c>
      <c r="U1929" s="4">
        <f t="shared" si="153"/>
        <v>0.59230769230769231</v>
      </c>
      <c r="V1929" s="5">
        <f t="shared" si="154"/>
        <v>31.944527999999995</v>
      </c>
    </row>
    <row r="1930" spans="1:22" x14ac:dyDescent="0.25">
      <c r="A1930" s="2" t="s">
        <v>1964</v>
      </c>
      <c r="B1930" s="2" t="s">
        <v>26</v>
      </c>
      <c r="C1930" s="2" t="s">
        <v>43</v>
      </c>
      <c r="D1930" s="2" t="s">
        <v>28</v>
      </c>
      <c r="E1930" s="2">
        <v>493.19</v>
      </c>
      <c r="F1930" s="2">
        <v>8.23</v>
      </c>
      <c r="G1930" s="2">
        <v>25.95</v>
      </c>
      <c r="H1930" s="2">
        <v>3.4</v>
      </c>
      <c r="I1930" s="2">
        <v>0.5</v>
      </c>
      <c r="J1930" s="2">
        <v>1</v>
      </c>
      <c r="K1930" s="2" t="s">
        <v>34</v>
      </c>
      <c r="L1930" s="2">
        <v>7.74</v>
      </c>
      <c r="M1930" s="2" t="s">
        <v>22</v>
      </c>
      <c r="N1930" s="2">
        <v>52.53</v>
      </c>
      <c r="O1930" s="2" t="s">
        <v>24</v>
      </c>
      <c r="P1930" s="2">
        <v>4.04</v>
      </c>
      <c r="Q1930" s="2">
        <v>12.57</v>
      </c>
      <c r="R1930" s="3">
        <f t="shared" si="150"/>
        <v>1992.4875999999999</v>
      </c>
      <c r="S1930" s="3">
        <f t="shared" si="151"/>
        <v>6199.3982999999998</v>
      </c>
      <c r="T1930" s="3">
        <f t="shared" si="152"/>
        <v>4206.9107000000004</v>
      </c>
      <c r="U1930" s="4">
        <f t="shared" si="153"/>
        <v>0.67859984089101044</v>
      </c>
      <c r="V1930" s="5">
        <f t="shared" si="154"/>
        <v>38.172906000000005</v>
      </c>
    </row>
    <row r="1931" spans="1:22" x14ac:dyDescent="0.25">
      <c r="A1931" s="2" t="s">
        <v>1965</v>
      </c>
      <c r="B1931" s="2" t="s">
        <v>18</v>
      </c>
      <c r="C1931" s="2" t="s">
        <v>33</v>
      </c>
      <c r="D1931" s="2" t="s">
        <v>28</v>
      </c>
      <c r="E1931" s="2">
        <v>536.4</v>
      </c>
      <c r="F1931" s="2">
        <v>16.97</v>
      </c>
      <c r="G1931" s="2">
        <v>25.93</v>
      </c>
      <c r="H1931" s="2">
        <v>1.4</v>
      </c>
      <c r="I1931" s="2">
        <v>3.2</v>
      </c>
      <c r="J1931" s="2">
        <v>14</v>
      </c>
      <c r="K1931" s="2" t="s">
        <v>34</v>
      </c>
      <c r="L1931" s="2">
        <v>8</v>
      </c>
      <c r="M1931" s="2" t="s">
        <v>37</v>
      </c>
      <c r="N1931" s="2">
        <v>90.05</v>
      </c>
      <c r="O1931" s="2" t="s">
        <v>24</v>
      </c>
      <c r="P1931" s="2">
        <v>7.02</v>
      </c>
      <c r="Q1931" s="2">
        <v>5.07</v>
      </c>
      <c r="R1931" s="3">
        <f t="shared" si="150"/>
        <v>3765.5279999999998</v>
      </c>
      <c r="S1931" s="3">
        <f t="shared" si="151"/>
        <v>2719.5480000000002</v>
      </c>
      <c r="T1931" s="3">
        <f t="shared" si="152"/>
        <v>-1045.9799999999996</v>
      </c>
      <c r="U1931" s="4">
        <f t="shared" si="153"/>
        <v>-0.38461538461538441</v>
      </c>
      <c r="V1931" s="5">
        <f t="shared" si="154"/>
        <v>42.911999999999999</v>
      </c>
    </row>
    <row r="1932" spans="1:22" x14ac:dyDescent="0.25">
      <c r="A1932" s="2" t="s">
        <v>1966</v>
      </c>
      <c r="B1932" s="2" t="s">
        <v>26</v>
      </c>
      <c r="C1932" s="2" t="s">
        <v>27</v>
      </c>
      <c r="D1932" s="2" t="s">
        <v>28</v>
      </c>
      <c r="E1932" s="2">
        <v>709.32</v>
      </c>
      <c r="F1932" s="2">
        <v>10.11</v>
      </c>
      <c r="G1932" s="2">
        <v>34.51</v>
      </c>
      <c r="H1932" s="2">
        <v>1.4</v>
      </c>
      <c r="I1932" s="2">
        <v>0.4</v>
      </c>
      <c r="J1932" s="2">
        <v>16</v>
      </c>
      <c r="K1932" s="2" t="s">
        <v>34</v>
      </c>
      <c r="L1932" s="2">
        <v>9.25</v>
      </c>
      <c r="M1932" s="2" t="s">
        <v>40</v>
      </c>
      <c r="N1932" s="2">
        <v>71.98</v>
      </c>
      <c r="O1932" s="2" t="s">
        <v>24</v>
      </c>
      <c r="P1932" s="2">
        <v>5.57</v>
      </c>
      <c r="Q1932" s="2">
        <v>9.9700000000000006</v>
      </c>
      <c r="R1932" s="3">
        <f t="shared" si="150"/>
        <v>3950.9124000000006</v>
      </c>
      <c r="S1932" s="3">
        <f t="shared" si="151"/>
        <v>7071.9204000000009</v>
      </c>
      <c r="T1932" s="3">
        <f t="shared" si="152"/>
        <v>3121.0080000000003</v>
      </c>
      <c r="U1932" s="4">
        <f t="shared" si="153"/>
        <v>0.44132397191574724</v>
      </c>
      <c r="V1932" s="5">
        <f t="shared" si="154"/>
        <v>65.612099999999998</v>
      </c>
    </row>
    <row r="1933" spans="1:22" x14ac:dyDescent="0.25">
      <c r="A1933" s="2" t="s">
        <v>1967</v>
      </c>
      <c r="B1933" s="2" t="s">
        <v>26</v>
      </c>
      <c r="C1933" s="2" t="s">
        <v>43</v>
      </c>
      <c r="D1933" s="2" t="s">
        <v>28</v>
      </c>
      <c r="E1933" s="2">
        <v>348.81</v>
      </c>
      <c r="F1933" s="2">
        <v>10.28</v>
      </c>
      <c r="G1933" s="2">
        <v>24.6</v>
      </c>
      <c r="H1933" s="2">
        <v>5.3</v>
      </c>
      <c r="I1933" s="2">
        <v>1.5</v>
      </c>
      <c r="J1933" s="2">
        <v>28</v>
      </c>
      <c r="K1933" s="2" t="s">
        <v>29</v>
      </c>
      <c r="L1933" s="2">
        <v>1.63</v>
      </c>
      <c r="M1933" s="2" t="s">
        <v>22</v>
      </c>
      <c r="N1933" s="2">
        <v>84.96</v>
      </c>
      <c r="O1933" s="2" t="s">
        <v>23</v>
      </c>
      <c r="P1933" s="2">
        <v>6.91</v>
      </c>
      <c r="Q1933" s="2">
        <v>12.37</v>
      </c>
      <c r="R1933" s="3">
        <f t="shared" si="150"/>
        <v>2410.2771000000002</v>
      </c>
      <c r="S1933" s="3">
        <f t="shared" si="151"/>
        <v>4314.7797</v>
      </c>
      <c r="T1933" s="3">
        <f t="shared" si="152"/>
        <v>1904.5025999999998</v>
      </c>
      <c r="U1933" s="4">
        <f t="shared" si="153"/>
        <v>0.44139046079223926</v>
      </c>
      <c r="V1933" s="5">
        <f t="shared" si="154"/>
        <v>5.6856029999999995</v>
      </c>
    </row>
    <row r="1934" spans="1:22" x14ac:dyDescent="0.25">
      <c r="A1934" s="2" t="s">
        <v>1968</v>
      </c>
      <c r="B1934" s="2" t="s">
        <v>32</v>
      </c>
      <c r="C1934" s="2" t="s">
        <v>43</v>
      </c>
      <c r="D1934" s="2" t="s">
        <v>20</v>
      </c>
      <c r="E1934" s="2">
        <v>615.94000000000005</v>
      </c>
      <c r="F1934" s="2">
        <v>10.8</v>
      </c>
      <c r="G1934" s="2">
        <v>20.02</v>
      </c>
      <c r="H1934" s="2">
        <v>4.4000000000000004</v>
      </c>
      <c r="I1934" s="2">
        <v>1.9</v>
      </c>
      <c r="J1934" s="2">
        <v>16</v>
      </c>
      <c r="K1934" s="2" t="s">
        <v>21</v>
      </c>
      <c r="L1934" s="2">
        <v>2.0499999999999998</v>
      </c>
      <c r="M1934" s="2" t="s">
        <v>40</v>
      </c>
      <c r="N1934" s="2">
        <v>58.73</v>
      </c>
      <c r="O1934" s="2" t="s">
        <v>24</v>
      </c>
      <c r="P1934" s="2">
        <v>6.49</v>
      </c>
      <c r="Q1934" s="2">
        <v>12.83</v>
      </c>
      <c r="R1934" s="3">
        <f t="shared" si="150"/>
        <v>3997.4506000000006</v>
      </c>
      <c r="S1934" s="3">
        <f t="shared" si="151"/>
        <v>7902.5102000000006</v>
      </c>
      <c r="T1934" s="3">
        <f t="shared" si="152"/>
        <v>3905.0596</v>
      </c>
      <c r="U1934" s="4">
        <f t="shared" si="153"/>
        <v>0.49415432579890878</v>
      </c>
      <c r="V1934" s="5">
        <f t="shared" si="154"/>
        <v>12.626769999999999</v>
      </c>
    </row>
    <row r="1935" spans="1:22" x14ac:dyDescent="0.25">
      <c r="A1935" s="2" t="s">
        <v>1969</v>
      </c>
      <c r="B1935" s="2" t="s">
        <v>18</v>
      </c>
      <c r="C1935" s="2" t="s">
        <v>27</v>
      </c>
      <c r="D1935" s="2" t="s">
        <v>20</v>
      </c>
      <c r="E1935" s="2">
        <v>597.30999999999995</v>
      </c>
      <c r="F1935" s="2">
        <v>9.27</v>
      </c>
      <c r="G1935" s="2">
        <v>34.299999999999997</v>
      </c>
      <c r="H1935" s="2">
        <v>3.1</v>
      </c>
      <c r="I1935" s="2">
        <v>0.6</v>
      </c>
      <c r="J1935" s="2">
        <v>4</v>
      </c>
      <c r="K1935" s="2" t="s">
        <v>34</v>
      </c>
      <c r="L1935" s="2">
        <v>3.67</v>
      </c>
      <c r="M1935" s="2" t="s">
        <v>22</v>
      </c>
      <c r="N1935" s="2">
        <v>82.12</v>
      </c>
      <c r="O1935" s="2" t="s">
        <v>23</v>
      </c>
      <c r="P1935" s="2">
        <v>7.22</v>
      </c>
      <c r="Q1935" s="2">
        <v>6.58</v>
      </c>
      <c r="R1935" s="3">
        <f t="shared" si="150"/>
        <v>4312.578199999999</v>
      </c>
      <c r="S1935" s="3">
        <f t="shared" si="151"/>
        <v>3930.2997999999998</v>
      </c>
      <c r="T1935" s="3">
        <f t="shared" si="152"/>
        <v>-382.27839999999924</v>
      </c>
      <c r="U1935" s="4">
        <f t="shared" si="153"/>
        <v>-9.726443768996941E-2</v>
      </c>
      <c r="V1935" s="5">
        <f t="shared" si="154"/>
        <v>21.921276999999996</v>
      </c>
    </row>
    <row r="1936" spans="1:22" x14ac:dyDescent="0.25">
      <c r="A1936" s="2" t="s">
        <v>1970</v>
      </c>
      <c r="B1936" s="2" t="s">
        <v>18</v>
      </c>
      <c r="C1936" s="2" t="s">
        <v>43</v>
      </c>
      <c r="D1936" s="2" t="s">
        <v>28</v>
      </c>
      <c r="E1936" s="2">
        <v>422.09</v>
      </c>
      <c r="F1936" s="2">
        <v>14.39</v>
      </c>
      <c r="G1936" s="2">
        <v>23.42</v>
      </c>
      <c r="H1936" s="2">
        <v>0.7</v>
      </c>
      <c r="I1936" s="2">
        <v>0.5</v>
      </c>
      <c r="J1936" s="2">
        <v>29</v>
      </c>
      <c r="K1936" s="2" t="s">
        <v>34</v>
      </c>
      <c r="L1936" s="2">
        <v>9.19</v>
      </c>
      <c r="M1936" s="2" t="s">
        <v>40</v>
      </c>
      <c r="N1936" s="2">
        <v>79.7</v>
      </c>
      <c r="O1936" s="2" t="s">
        <v>24</v>
      </c>
      <c r="P1936" s="2">
        <v>3.22</v>
      </c>
      <c r="Q1936" s="2">
        <v>9.19</v>
      </c>
      <c r="R1936" s="3">
        <f t="shared" si="150"/>
        <v>1359.1297999999999</v>
      </c>
      <c r="S1936" s="3">
        <f t="shared" si="151"/>
        <v>3879.0070999999994</v>
      </c>
      <c r="T1936" s="3">
        <f t="shared" si="152"/>
        <v>2519.8772999999992</v>
      </c>
      <c r="U1936" s="4">
        <f t="shared" si="153"/>
        <v>0.64961915125136005</v>
      </c>
      <c r="V1936" s="5">
        <f t="shared" si="154"/>
        <v>38.79007099999999</v>
      </c>
    </row>
    <row r="1937" spans="1:22" x14ac:dyDescent="0.25">
      <c r="A1937" s="2" t="s">
        <v>1971</v>
      </c>
      <c r="B1937" s="2" t="s">
        <v>26</v>
      </c>
      <c r="C1937" s="2" t="s">
        <v>33</v>
      </c>
      <c r="D1937" s="2" t="s">
        <v>28</v>
      </c>
      <c r="E1937" s="2">
        <v>520.32000000000005</v>
      </c>
      <c r="F1937" s="2">
        <v>8.75</v>
      </c>
      <c r="G1937" s="2">
        <v>22.09</v>
      </c>
      <c r="H1937" s="2">
        <v>1.6</v>
      </c>
      <c r="I1937" s="2">
        <v>1.4</v>
      </c>
      <c r="J1937" s="2">
        <v>6</v>
      </c>
      <c r="K1937" s="2" t="s">
        <v>29</v>
      </c>
      <c r="L1937" s="2">
        <v>7.87</v>
      </c>
      <c r="M1937" s="2" t="s">
        <v>40</v>
      </c>
      <c r="N1937" s="2">
        <v>87.78</v>
      </c>
      <c r="O1937" s="2" t="s">
        <v>23</v>
      </c>
      <c r="P1937" s="2">
        <v>3.23</v>
      </c>
      <c r="Q1937" s="2">
        <v>9.19</v>
      </c>
      <c r="R1937" s="3">
        <f t="shared" si="150"/>
        <v>1680.6336000000001</v>
      </c>
      <c r="S1937" s="3">
        <f t="shared" si="151"/>
        <v>4781.7408000000005</v>
      </c>
      <c r="T1937" s="3">
        <f t="shared" si="152"/>
        <v>3101.1072000000004</v>
      </c>
      <c r="U1937" s="4">
        <f t="shared" si="153"/>
        <v>0.64853101196953211</v>
      </c>
      <c r="V1937" s="5">
        <f t="shared" si="154"/>
        <v>40.949184000000002</v>
      </c>
    </row>
    <row r="1938" spans="1:22" x14ac:dyDescent="0.25">
      <c r="A1938" s="2" t="s">
        <v>1972</v>
      </c>
      <c r="B1938" s="2" t="s">
        <v>18</v>
      </c>
      <c r="C1938" s="2" t="s">
        <v>33</v>
      </c>
      <c r="D1938" s="2" t="s">
        <v>28</v>
      </c>
      <c r="E1938" s="2">
        <v>454.24</v>
      </c>
      <c r="F1938" s="2">
        <v>9.34</v>
      </c>
      <c r="G1938" s="2">
        <v>24.75</v>
      </c>
      <c r="H1938" s="2">
        <v>0.5</v>
      </c>
      <c r="I1938" s="2">
        <v>2.4</v>
      </c>
      <c r="J1938" s="2">
        <v>15</v>
      </c>
      <c r="K1938" s="2" t="s">
        <v>21</v>
      </c>
      <c r="L1938" s="2">
        <v>3.58</v>
      </c>
      <c r="M1938" s="2" t="s">
        <v>37</v>
      </c>
      <c r="N1938" s="2">
        <v>64.87</v>
      </c>
      <c r="O1938" s="2" t="s">
        <v>30</v>
      </c>
      <c r="P1938" s="2">
        <v>8.0500000000000007</v>
      </c>
      <c r="Q1938" s="2">
        <v>6.04</v>
      </c>
      <c r="R1938" s="3">
        <f t="shared" si="150"/>
        <v>3656.6320000000005</v>
      </c>
      <c r="S1938" s="3">
        <f t="shared" si="151"/>
        <v>2743.6096000000002</v>
      </c>
      <c r="T1938" s="3">
        <f t="shared" si="152"/>
        <v>-913.02240000000029</v>
      </c>
      <c r="U1938" s="4">
        <f t="shared" si="153"/>
        <v>-0.33278145695364247</v>
      </c>
      <c r="V1938" s="5">
        <f t="shared" si="154"/>
        <v>16.261792</v>
      </c>
    </row>
    <row r="1939" spans="1:22" x14ac:dyDescent="0.25">
      <c r="A1939" s="2" t="s">
        <v>1973</v>
      </c>
      <c r="B1939" s="2" t="s">
        <v>45</v>
      </c>
      <c r="C1939" s="2" t="s">
        <v>19</v>
      </c>
      <c r="D1939" s="2" t="s">
        <v>20</v>
      </c>
      <c r="E1939" s="2">
        <v>518.57000000000005</v>
      </c>
      <c r="F1939" s="2">
        <v>14.45</v>
      </c>
      <c r="G1939" s="2">
        <v>27.6</v>
      </c>
      <c r="H1939" s="2">
        <v>1.2</v>
      </c>
      <c r="I1939" s="2">
        <v>1.4</v>
      </c>
      <c r="J1939" s="2">
        <v>28</v>
      </c>
      <c r="K1939" s="2" t="s">
        <v>34</v>
      </c>
      <c r="L1939" s="2">
        <v>1.33</v>
      </c>
      <c r="M1939" s="2" t="s">
        <v>37</v>
      </c>
      <c r="N1939" s="2">
        <v>96.66</v>
      </c>
      <c r="O1939" s="2" t="s">
        <v>30</v>
      </c>
      <c r="P1939" s="2">
        <v>4.3499999999999996</v>
      </c>
      <c r="Q1939" s="2">
        <v>9.43</v>
      </c>
      <c r="R1939" s="3">
        <f t="shared" si="150"/>
        <v>2255.7795000000001</v>
      </c>
      <c r="S1939" s="3">
        <f t="shared" si="151"/>
        <v>4890.1151</v>
      </c>
      <c r="T1939" s="3">
        <f t="shared" si="152"/>
        <v>2634.3355999999999</v>
      </c>
      <c r="U1939" s="4">
        <f t="shared" si="153"/>
        <v>0.5387062566277836</v>
      </c>
      <c r="V1939" s="5">
        <f t="shared" si="154"/>
        <v>6.8969810000000003</v>
      </c>
    </row>
    <row r="1940" spans="1:22" x14ac:dyDescent="0.25">
      <c r="A1940" s="2" t="s">
        <v>1974</v>
      </c>
      <c r="B1940" s="2" t="s">
        <v>45</v>
      </c>
      <c r="C1940" s="2" t="s">
        <v>43</v>
      </c>
      <c r="D1940" s="2" t="s">
        <v>28</v>
      </c>
      <c r="E1940" s="2">
        <v>650.91</v>
      </c>
      <c r="F1940" s="2">
        <v>11.4</v>
      </c>
      <c r="G1940" s="2">
        <v>29.52</v>
      </c>
      <c r="H1940" s="2">
        <v>1.3</v>
      </c>
      <c r="I1940" s="2">
        <v>0.3</v>
      </c>
      <c r="J1940" s="2">
        <v>22</v>
      </c>
      <c r="K1940" s="2" t="s">
        <v>34</v>
      </c>
      <c r="L1940" s="2">
        <v>6.36</v>
      </c>
      <c r="M1940" s="2" t="s">
        <v>22</v>
      </c>
      <c r="N1940" s="2">
        <v>98.07</v>
      </c>
      <c r="O1940" s="2" t="s">
        <v>23</v>
      </c>
      <c r="P1940" s="2">
        <v>7.57</v>
      </c>
      <c r="Q1940" s="2">
        <v>13.07</v>
      </c>
      <c r="R1940" s="3">
        <f t="shared" si="150"/>
        <v>4927.3886999999995</v>
      </c>
      <c r="S1940" s="3">
        <f t="shared" si="151"/>
        <v>8507.3937000000005</v>
      </c>
      <c r="T1940" s="3">
        <f t="shared" si="152"/>
        <v>3580.005000000001</v>
      </c>
      <c r="U1940" s="4">
        <f t="shared" si="153"/>
        <v>0.42081101759755174</v>
      </c>
      <c r="V1940" s="5">
        <f t="shared" si="154"/>
        <v>41.397875999999997</v>
      </c>
    </row>
    <row r="1941" spans="1:22" x14ac:dyDescent="0.25">
      <c r="A1941" s="2" t="s">
        <v>1975</v>
      </c>
      <c r="B1941" s="2" t="s">
        <v>18</v>
      </c>
      <c r="C1941" s="2" t="s">
        <v>19</v>
      </c>
      <c r="D1941" s="2" t="s">
        <v>28</v>
      </c>
      <c r="E1941" s="2">
        <v>560.55999999999995</v>
      </c>
      <c r="F1941" s="2">
        <v>15.08</v>
      </c>
      <c r="G1941" s="2">
        <v>20.89</v>
      </c>
      <c r="H1941" s="2">
        <v>3.6</v>
      </c>
      <c r="I1941" s="2">
        <v>2.2000000000000002</v>
      </c>
      <c r="J1941" s="2">
        <v>8</v>
      </c>
      <c r="K1941" s="2" t="s">
        <v>21</v>
      </c>
      <c r="L1941" s="2">
        <v>2.94</v>
      </c>
      <c r="M1941" s="2" t="s">
        <v>22</v>
      </c>
      <c r="N1941" s="2">
        <v>93.41</v>
      </c>
      <c r="O1941" s="2" t="s">
        <v>23</v>
      </c>
      <c r="P1941" s="2">
        <v>6.83</v>
      </c>
      <c r="Q1941" s="2">
        <v>8</v>
      </c>
      <c r="R1941" s="3">
        <f t="shared" si="150"/>
        <v>3828.6247999999996</v>
      </c>
      <c r="S1941" s="3">
        <f t="shared" si="151"/>
        <v>4484.4799999999996</v>
      </c>
      <c r="T1941" s="3">
        <f t="shared" si="152"/>
        <v>655.85519999999997</v>
      </c>
      <c r="U1941" s="4">
        <f t="shared" si="153"/>
        <v>0.14625000000000002</v>
      </c>
      <c r="V1941" s="5">
        <f t="shared" si="154"/>
        <v>16.480463999999998</v>
      </c>
    </row>
    <row r="1942" spans="1:22" x14ac:dyDescent="0.25">
      <c r="A1942" s="2" t="s">
        <v>1976</v>
      </c>
      <c r="B1942" s="2" t="s">
        <v>18</v>
      </c>
      <c r="C1942" s="2" t="s">
        <v>43</v>
      </c>
      <c r="D1942" s="2" t="s">
        <v>28</v>
      </c>
      <c r="E1942" s="2">
        <v>550.86</v>
      </c>
      <c r="F1942" s="2">
        <v>13.57</v>
      </c>
      <c r="G1942" s="2">
        <v>39.409999999999997</v>
      </c>
      <c r="H1942" s="2">
        <v>4.5</v>
      </c>
      <c r="I1942" s="2">
        <v>0.5</v>
      </c>
      <c r="J1942" s="2">
        <v>1</v>
      </c>
      <c r="K1942" s="2" t="s">
        <v>29</v>
      </c>
      <c r="L1942" s="2">
        <v>5.55</v>
      </c>
      <c r="M1942" s="2" t="s">
        <v>37</v>
      </c>
      <c r="N1942" s="2">
        <v>78.599999999999994</v>
      </c>
      <c r="O1942" s="2" t="s">
        <v>30</v>
      </c>
      <c r="P1942" s="2">
        <v>9.8699999999999992</v>
      </c>
      <c r="Q1942" s="2">
        <v>9.33</v>
      </c>
      <c r="R1942" s="3">
        <f t="shared" si="150"/>
        <v>5436.9881999999998</v>
      </c>
      <c r="S1942" s="3">
        <f t="shared" si="151"/>
        <v>5139.5237999999999</v>
      </c>
      <c r="T1942" s="3">
        <f t="shared" si="152"/>
        <v>-297.46439999999984</v>
      </c>
      <c r="U1942" s="4">
        <f t="shared" si="153"/>
        <v>-5.7877813504823121E-2</v>
      </c>
      <c r="V1942" s="5">
        <f t="shared" si="154"/>
        <v>30.57273</v>
      </c>
    </row>
    <row r="1943" spans="1:22" x14ac:dyDescent="0.25">
      <c r="A1943" s="2" t="s">
        <v>1977</v>
      </c>
      <c r="B1943" s="2" t="s">
        <v>26</v>
      </c>
      <c r="C1943" s="2" t="s">
        <v>33</v>
      </c>
      <c r="D1943" s="2" t="s">
        <v>20</v>
      </c>
      <c r="E1943" s="2">
        <v>456.97</v>
      </c>
      <c r="F1943" s="2">
        <v>10.56</v>
      </c>
      <c r="G1943" s="2">
        <v>34.32</v>
      </c>
      <c r="H1943" s="2">
        <v>1.1000000000000001</v>
      </c>
      <c r="I1943" s="2">
        <v>0.9</v>
      </c>
      <c r="J1943" s="2">
        <v>13</v>
      </c>
      <c r="K1943" s="2" t="s">
        <v>21</v>
      </c>
      <c r="L1943" s="2">
        <v>9.4499999999999993</v>
      </c>
      <c r="M1943" s="2" t="s">
        <v>22</v>
      </c>
      <c r="N1943" s="2">
        <v>71.010000000000005</v>
      </c>
      <c r="O1943" s="2" t="s">
        <v>23</v>
      </c>
      <c r="P1943" s="2">
        <v>8.85</v>
      </c>
      <c r="Q1943" s="2">
        <v>14.61</v>
      </c>
      <c r="R1943" s="3">
        <f t="shared" si="150"/>
        <v>4044.1845000000003</v>
      </c>
      <c r="S1943" s="3">
        <f t="shared" si="151"/>
        <v>6676.3316999999997</v>
      </c>
      <c r="T1943" s="3">
        <f t="shared" si="152"/>
        <v>2632.1471999999994</v>
      </c>
      <c r="U1943" s="4">
        <f t="shared" si="153"/>
        <v>0.39425051334702249</v>
      </c>
      <c r="V1943" s="5">
        <f t="shared" si="154"/>
        <v>43.183664999999998</v>
      </c>
    </row>
    <row r="1944" spans="1:22" x14ac:dyDescent="0.25">
      <c r="A1944" s="2" t="s">
        <v>1978</v>
      </c>
      <c r="B1944" s="2" t="s">
        <v>45</v>
      </c>
      <c r="C1944" s="2" t="s">
        <v>33</v>
      </c>
      <c r="D1944" s="2" t="s">
        <v>28</v>
      </c>
      <c r="E1944" s="2">
        <v>351.59</v>
      </c>
      <c r="F1944" s="2">
        <v>14.51</v>
      </c>
      <c r="G1944" s="2">
        <v>26.46</v>
      </c>
      <c r="H1944" s="2">
        <v>0</v>
      </c>
      <c r="I1944" s="2">
        <v>1.8</v>
      </c>
      <c r="J1944" s="2">
        <v>27</v>
      </c>
      <c r="K1944" s="2" t="s">
        <v>29</v>
      </c>
      <c r="L1944" s="2">
        <v>5.94</v>
      </c>
      <c r="M1944" s="2" t="s">
        <v>22</v>
      </c>
      <c r="N1944" s="2">
        <v>52.9</v>
      </c>
      <c r="O1944" s="2" t="s">
        <v>23</v>
      </c>
      <c r="P1944" s="2">
        <v>5.89</v>
      </c>
      <c r="Q1944" s="2">
        <v>5.32</v>
      </c>
      <c r="R1944" s="3">
        <f t="shared" si="150"/>
        <v>2070.8650999999995</v>
      </c>
      <c r="S1944" s="3">
        <f t="shared" si="151"/>
        <v>1870.4587999999999</v>
      </c>
      <c r="T1944" s="3">
        <f t="shared" si="152"/>
        <v>-200.40629999999965</v>
      </c>
      <c r="U1944" s="4">
        <f t="shared" si="153"/>
        <v>-0.10714285714285696</v>
      </c>
      <c r="V1944" s="5">
        <f t="shared" si="154"/>
        <v>20.884445999999997</v>
      </c>
    </row>
    <row r="1945" spans="1:22" x14ac:dyDescent="0.25">
      <c r="A1945" s="2" t="s">
        <v>1979</v>
      </c>
      <c r="B1945" s="2" t="s">
        <v>45</v>
      </c>
      <c r="C1945" s="2" t="s">
        <v>33</v>
      </c>
      <c r="D1945" s="2" t="s">
        <v>20</v>
      </c>
      <c r="E1945" s="2">
        <v>479.15</v>
      </c>
      <c r="F1945" s="2">
        <v>9.16</v>
      </c>
      <c r="G1945" s="2">
        <v>26.37</v>
      </c>
      <c r="H1945" s="2">
        <v>4</v>
      </c>
      <c r="I1945" s="2">
        <v>0.2</v>
      </c>
      <c r="J1945" s="2">
        <v>18</v>
      </c>
      <c r="K1945" s="2" t="s">
        <v>34</v>
      </c>
      <c r="L1945" s="2">
        <v>9.2799999999999994</v>
      </c>
      <c r="M1945" s="2" t="s">
        <v>37</v>
      </c>
      <c r="N1945" s="2">
        <v>97.36</v>
      </c>
      <c r="O1945" s="2" t="s">
        <v>30</v>
      </c>
      <c r="P1945" s="2">
        <v>7.31</v>
      </c>
      <c r="Q1945" s="2">
        <v>10.92</v>
      </c>
      <c r="R1945" s="3">
        <f t="shared" si="150"/>
        <v>3502.5864999999994</v>
      </c>
      <c r="S1945" s="3">
        <f t="shared" si="151"/>
        <v>5232.3179999999993</v>
      </c>
      <c r="T1945" s="3">
        <f t="shared" si="152"/>
        <v>1729.7314999999999</v>
      </c>
      <c r="U1945" s="4">
        <f t="shared" si="153"/>
        <v>0.33058608058608063</v>
      </c>
      <c r="V1945" s="5">
        <f t="shared" si="154"/>
        <v>44.465119999999999</v>
      </c>
    </row>
    <row r="1946" spans="1:22" x14ac:dyDescent="0.25">
      <c r="A1946" s="2" t="s">
        <v>1980</v>
      </c>
      <c r="B1946" s="2" t="s">
        <v>32</v>
      </c>
      <c r="C1946" s="2" t="s">
        <v>43</v>
      </c>
      <c r="D1946" s="2" t="s">
        <v>20</v>
      </c>
      <c r="E1946" s="2">
        <v>620.66</v>
      </c>
      <c r="F1946" s="2">
        <v>13.36</v>
      </c>
      <c r="G1946" s="2">
        <v>28.97</v>
      </c>
      <c r="H1946" s="2">
        <v>0.4</v>
      </c>
      <c r="I1946" s="2">
        <v>1.5</v>
      </c>
      <c r="J1946" s="2">
        <v>18</v>
      </c>
      <c r="K1946" s="2" t="s">
        <v>21</v>
      </c>
      <c r="L1946" s="2">
        <v>4.2300000000000004</v>
      </c>
      <c r="M1946" s="2" t="s">
        <v>40</v>
      </c>
      <c r="N1946" s="2">
        <v>97.59</v>
      </c>
      <c r="O1946" s="2" t="s">
        <v>23</v>
      </c>
      <c r="P1946" s="2">
        <v>3.82</v>
      </c>
      <c r="Q1946" s="2">
        <v>12.43</v>
      </c>
      <c r="R1946" s="3">
        <f t="shared" si="150"/>
        <v>2370.9211999999998</v>
      </c>
      <c r="S1946" s="3">
        <f t="shared" si="151"/>
        <v>7714.8037999999997</v>
      </c>
      <c r="T1946" s="3">
        <f t="shared" si="152"/>
        <v>5343.8825999999999</v>
      </c>
      <c r="U1946" s="4">
        <f t="shared" si="153"/>
        <v>0.69267900241351565</v>
      </c>
      <c r="V1946" s="5">
        <f t="shared" si="154"/>
        <v>26.253918000000002</v>
      </c>
    </row>
    <row r="1947" spans="1:22" x14ac:dyDescent="0.25">
      <c r="A1947" s="2" t="s">
        <v>1981</v>
      </c>
      <c r="B1947" s="2" t="s">
        <v>26</v>
      </c>
      <c r="C1947" s="2" t="s">
        <v>33</v>
      </c>
      <c r="D1947" s="2" t="s">
        <v>20</v>
      </c>
      <c r="E1947" s="2">
        <v>347.28</v>
      </c>
      <c r="F1947" s="2">
        <v>12.37</v>
      </c>
      <c r="G1947" s="2">
        <v>32.520000000000003</v>
      </c>
      <c r="H1947" s="2">
        <v>1.9</v>
      </c>
      <c r="I1947" s="2">
        <v>0.9</v>
      </c>
      <c r="J1947" s="2">
        <v>13</v>
      </c>
      <c r="K1947" s="2" t="s">
        <v>21</v>
      </c>
      <c r="L1947" s="2">
        <v>6.52</v>
      </c>
      <c r="M1947" s="2" t="s">
        <v>22</v>
      </c>
      <c r="N1947" s="2">
        <v>50.93</v>
      </c>
      <c r="O1947" s="2" t="s">
        <v>24</v>
      </c>
      <c r="P1947" s="2">
        <v>5.7</v>
      </c>
      <c r="Q1947" s="2">
        <v>12.61</v>
      </c>
      <c r="R1947" s="3">
        <f t="shared" si="150"/>
        <v>1979.4959999999999</v>
      </c>
      <c r="S1947" s="3">
        <f t="shared" si="151"/>
        <v>4379.2007999999996</v>
      </c>
      <c r="T1947" s="3">
        <f t="shared" si="152"/>
        <v>2399.7047999999995</v>
      </c>
      <c r="U1947" s="4">
        <f t="shared" si="153"/>
        <v>0.54797779540047575</v>
      </c>
      <c r="V1947" s="5">
        <f t="shared" si="154"/>
        <v>22.642655999999999</v>
      </c>
    </row>
    <row r="1948" spans="1:22" x14ac:dyDescent="0.25">
      <c r="A1948" s="2" t="s">
        <v>1982</v>
      </c>
      <c r="B1948" s="2" t="s">
        <v>32</v>
      </c>
      <c r="C1948" s="2" t="s">
        <v>43</v>
      </c>
      <c r="D1948" s="2" t="s">
        <v>20</v>
      </c>
      <c r="E1948" s="2">
        <v>394.49</v>
      </c>
      <c r="F1948" s="2">
        <v>10.68</v>
      </c>
      <c r="G1948" s="2">
        <v>22.93</v>
      </c>
      <c r="H1948" s="2">
        <v>0.1</v>
      </c>
      <c r="I1948" s="2">
        <v>2.2000000000000002</v>
      </c>
      <c r="J1948" s="2">
        <v>22</v>
      </c>
      <c r="K1948" s="2" t="s">
        <v>34</v>
      </c>
      <c r="L1948" s="2">
        <v>8.99</v>
      </c>
      <c r="M1948" s="2" t="s">
        <v>37</v>
      </c>
      <c r="N1948" s="2">
        <v>67.84</v>
      </c>
      <c r="O1948" s="2" t="s">
        <v>30</v>
      </c>
      <c r="P1948" s="2">
        <v>8.14</v>
      </c>
      <c r="Q1948" s="2">
        <v>12.16</v>
      </c>
      <c r="R1948" s="3">
        <f t="shared" si="150"/>
        <v>3211.1486000000004</v>
      </c>
      <c r="S1948" s="3">
        <f t="shared" si="151"/>
        <v>4796.9984000000004</v>
      </c>
      <c r="T1948" s="3">
        <f t="shared" si="152"/>
        <v>1585.8498</v>
      </c>
      <c r="U1948" s="4">
        <f t="shared" si="153"/>
        <v>0.33059210526315785</v>
      </c>
      <c r="V1948" s="5">
        <f t="shared" si="154"/>
        <v>35.464651000000003</v>
      </c>
    </row>
    <row r="1949" spans="1:22" x14ac:dyDescent="0.25">
      <c r="A1949" s="2" t="s">
        <v>1983</v>
      </c>
      <c r="B1949" s="2" t="s">
        <v>45</v>
      </c>
      <c r="C1949" s="2" t="s">
        <v>19</v>
      </c>
      <c r="D1949" s="2" t="s">
        <v>20</v>
      </c>
      <c r="E1949" s="2">
        <v>512.63</v>
      </c>
      <c r="F1949" s="2">
        <v>14.04</v>
      </c>
      <c r="G1949" s="2">
        <v>23.78</v>
      </c>
      <c r="H1949" s="2">
        <v>1</v>
      </c>
      <c r="I1949" s="2">
        <v>0.2</v>
      </c>
      <c r="J1949" s="2">
        <v>14</v>
      </c>
      <c r="K1949" s="2" t="s">
        <v>34</v>
      </c>
      <c r="L1949" s="2">
        <v>6.09</v>
      </c>
      <c r="M1949" s="2" t="s">
        <v>22</v>
      </c>
      <c r="N1949" s="2">
        <v>94</v>
      </c>
      <c r="O1949" s="2" t="s">
        <v>24</v>
      </c>
      <c r="P1949" s="2">
        <v>7.36</v>
      </c>
      <c r="Q1949" s="2">
        <v>12.26</v>
      </c>
      <c r="R1949" s="3">
        <f t="shared" si="150"/>
        <v>3772.9567999999999</v>
      </c>
      <c r="S1949" s="3">
        <f t="shared" si="151"/>
        <v>6284.8437999999996</v>
      </c>
      <c r="T1949" s="3">
        <f t="shared" si="152"/>
        <v>2511.8869999999997</v>
      </c>
      <c r="U1949" s="4">
        <f t="shared" si="153"/>
        <v>0.39967373572593801</v>
      </c>
      <c r="V1949" s="5">
        <f t="shared" si="154"/>
        <v>31.219166999999999</v>
      </c>
    </row>
    <row r="1950" spans="1:22" x14ac:dyDescent="0.25">
      <c r="A1950" s="2" t="s">
        <v>1984</v>
      </c>
      <c r="B1950" s="2" t="s">
        <v>26</v>
      </c>
      <c r="C1950" s="2" t="s">
        <v>43</v>
      </c>
      <c r="D1950" s="2" t="s">
        <v>20</v>
      </c>
      <c r="E1950" s="2">
        <v>401.53</v>
      </c>
      <c r="F1950" s="2">
        <v>16.71</v>
      </c>
      <c r="G1950" s="2">
        <v>37.19</v>
      </c>
      <c r="H1950" s="2">
        <v>8.5</v>
      </c>
      <c r="I1950" s="2">
        <v>0.5</v>
      </c>
      <c r="J1950" s="2">
        <v>11</v>
      </c>
      <c r="K1950" s="2" t="s">
        <v>29</v>
      </c>
      <c r="L1950" s="2">
        <v>6.34</v>
      </c>
      <c r="M1950" s="2" t="s">
        <v>22</v>
      </c>
      <c r="N1950" s="2">
        <v>54.04</v>
      </c>
      <c r="O1950" s="2" t="s">
        <v>23</v>
      </c>
      <c r="P1950" s="2">
        <v>6.39</v>
      </c>
      <c r="Q1950" s="2">
        <v>5.59</v>
      </c>
      <c r="R1950" s="3">
        <f t="shared" si="150"/>
        <v>2565.7766999999999</v>
      </c>
      <c r="S1950" s="3">
        <f t="shared" si="151"/>
        <v>2244.5526999999997</v>
      </c>
      <c r="T1950" s="3">
        <f t="shared" si="152"/>
        <v>-321.22400000000016</v>
      </c>
      <c r="U1950" s="4">
        <f t="shared" si="153"/>
        <v>-0.14311270125223621</v>
      </c>
      <c r="V1950" s="5">
        <f t="shared" si="154"/>
        <v>25.457001999999999</v>
      </c>
    </row>
    <row r="1951" spans="1:22" x14ac:dyDescent="0.25">
      <c r="A1951" s="2" t="s">
        <v>1985</v>
      </c>
      <c r="B1951" s="2" t="s">
        <v>18</v>
      </c>
      <c r="C1951" s="2" t="s">
        <v>19</v>
      </c>
      <c r="D1951" s="2" t="s">
        <v>28</v>
      </c>
      <c r="E1951" s="2">
        <v>420.75</v>
      </c>
      <c r="F1951" s="2">
        <v>17.989999999999998</v>
      </c>
      <c r="G1951" s="2">
        <v>25.13</v>
      </c>
      <c r="H1951" s="2">
        <v>0.2</v>
      </c>
      <c r="I1951" s="2">
        <v>1.8</v>
      </c>
      <c r="J1951" s="2">
        <v>7</v>
      </c>
      <c r="K1951" s="2" t="s">
        <v>34</v>
      </c>
      <c r="L1951" s="2">
        <v>7.3</v>
      </c>
      <c r="M1951" s="2" t="s">
        <v>37</v>
      </c>
      <c r="N1951" s="2">
        <v>59.83</v>
      </c>
      <c r="O1951" s="2" t="s">
        <v>23</v>
      </c>
      <c r="P1951" s="2">
        <v>4.24</v>
      </c>
      <c r="Q1951" s="2">
        <v>10.34</v>
      </c>
      <c r="R1951" s="3">
        <f t="shared" si="150"/>
        <v>1783.98</v>
      </c>
      <c r="S1951" s="3">
        <f t="shared" si="151"/>
        <v>4350.5550000000003</v>
      </c>
      <c r="T1951" s="3">
        <f t="shared" si="152"/>
        <v>2566.5750000000003</v>
      </c>
      <c r="U1951" s="4">
        <f t="shared" si="153"/>
        <v>0.58994197292069639</v>
      </c>
      <c r="V1951" s="5">
        <f t="shared" si="154"/>
        <v>30.714749999999999</v>
      </c>
    </row>
    <row r="1952" spans="1:22" x14ac:dyDescent="0.25">
      <c r="A1952" s="2" t="s">
        <v>1986</v>
      </c>
      <c r="B1952" s="2" t="s">
        <v>26</v>
      </c>
      <c r="C1952" s="2" t="s">
        <v>43</v>
      </c>
      <c r="D1952" s="2" t="s">
        <v>28</v>
      </c>
      <c r="E1952" s="2">
        <v>457.64</v>
      </c>
      <c r="F1952" s="2">
        <v>14.08</v>
      </c>
      <c r="G1952" s="2">
        <v>27.6</v>
      </c>
      <c r="H1952" s="2">
        <v>1.1000000000000001</v>
      </c>
      <c r="I1952" s="2">
        <v>0</v>
      </c>
      <c r="J1952" s="2">
        <v>18</v>
      </c>
      <c r="K1952" s="2" t="s">
        <v>34</v>
      </c>
      <c r="L1952" s="2">
        <v>8.8800000000000008</v>
      </c>
      <c r="M1952" s="2" t="s">
        <v>37</v>
      </c>
      <c r="N1952" s="2">
        <v>98.93</v>
      </c>
      <c r="O1952" s="2" t="s">
        <v>24</v>
      </c>
      <c r="P1952" s="2">
        <v>8.6199999999999992</v>
      </c>
      <c r="Q1952" s="2">
        <v>12.83</v>
      </c>
      <c r="R1952" s="3">
        <f t="shared" si="150"/>
        <v>3944.8567999999996</v>
      </c>
      <c r="S1952" s="3">
        <f t="shared" si="151"/>
        <v>5871.5212000000001</v>
      </c>
      <c r="T1952" s="3">
        <f t="shared" si="152"/>
        <v>1926.6644000000006</v>
      </c>
      <c r="U1952" s="4">
        <f t="shared" si="153"/>
        <v>0.32813717848791901</v>
      </c>
      <c r="V1952" s="5">
        <f t="shared" si="154"/>
        <v>40.638432000000002</v>
      </c>
    </row>
    <row r="1953" spans="1:22" x14ac:dyDescent="0.25">
      <c r="A1953" s="2" t="s">
        <v>1987</v>
      </c>
      <c r="B1953" s="2" t="s">
        <v>18</v>
      </c>
      <c r="C1953" s="2" t="s">
        <v>19</v>
      </c>
      <c r="D1953" s="2" t="s">
        <v>28</v>
      </c>
      <c r="E1953" s="2">
        <v>363.44</v>
      </c>
      <c r="F1953" s="2">
        <v>12.05</v>
      </c>
      <c r="G1953" s="2">
        <v>37.43</v>
      </c>
      <c r="H1953" s="2">
        <v>0.7</v>
      </c>
      <c r="I1953" s="2">
        <v>0.1</v>
      </c>
      <c r="J1953" s="2">
        <v>21</v>
      </c>
      <c r="K1953" s="2" t="s">
        <v>21</v>
      </c>
      <c r="L1953" s="2">
        <v>1.34</v>
      </c>
      <c r="M1953" s="2" t="s">
        <v>22</v>
      </c>
      <c r="N1953" s="2">
        <v>92.36</v>
      </c>
      <c r="O1953" s="2" t="s">
        <v>23</v>
      </c>
      <c r="P1953" s="2">
        <v>4.91</v>
      </c>
      <c r="Q1953" s="2">
        <v>5.94</v>
      </c>
      <c r="R1953" s="3">
        <f t="shared" si="150"/>
        <v>1784.4904000000001</v>
      </c>
      <c r="S1953" s="3">
        <f t="shared" si="151"/>
        <v>2158.8335999999999</v>
      </c>
      <c r="T1953" s="3">
        <f t="shared" si="152"/>
        <v>374.3431999999998</v>
      </c>
      <c r="U1953" s="4">
        <f t="shared" si="153"/>
        <v>0.17340067340067331</v>
      </c>
      <c r="V1953" s="5">
        <f t="shared" si="154"/>
        <v>4.8700960000000002</v>
      </c>
    </row>
    <row r="1954" spans="1:22" x14ac:dyDescent="0.25">
      <c r="A1954" s="2" t="s">
        <v>1988</v>
      </c>
      <c r="B1954" s="2" t="s">
        <v>18</v>
      </c>
      <c r="C1954" s="2" t="s">
        <v>33</v>
      </c>
      <c r="D1954" s="2" t="s">
        <v>20</v>
      </c>
      <c r="E1954" s="2">
        <v>402.59</v>
      </c>
      <c r="F1954" s="2">
        <v>10.25</v>
      </c>
      <c r="G1954" s="2">
        <v>33.26</v>
      </c>
      <c r="H1954" s="2">
        <v>4.7</v>
      </c>
      <c r="I1954" s="2">
        <v>4.7</v>
      </c>
      <c r="J1954" s="2">
        <v>22</v>
      </c>
      <c r="K1954" s="2" t="s">
        <v>29</v>
      </c>
      <c r="L1954" s="2">
        <v>3.7</v>
      </c>
      <c r="M1954" s="2" t="s">
        <v>22</v>
      </c>
      <c r="N1954" s="2">
        <v>95.6</v>
      </c>
      <c r="O1954" s="2" t="s">
        <v>23</v>
      </c>
      <c r="P1954" s="2">
        <v>8.74</v>
      </c>
      <c r="Q1954" s="2">
        <v>5.12</v>
      </c>
      <c r="R1954" s="3">
        <f t="shared" si="150"/>
        <v>3518.6365999999998</v>
      </c>
      <c r="S1954" s="3">
        <f t="shared" si="151"/>
        <v>2061.2608</v>
      </c>
      <c r="T1954" s="3">
        <f t="shared" si="152"/>
        <v>-1457.3757999999998</v>
      </c>
      <c r="U1954" s="4">
        <f t="shared" si="153"/>
        <v>-0.70703124999999989</v>
      </c>
      <c r="V1954" s="5">
        <f t="shared" si="154"/>
        <v>14.89583</v>
      </c>
    </row>
    <row r="1955" spans="1:22" x14ac:dyDescent="0.25">
      <c r="A1955" s="2" t="s">
        <v>1989</v>
      </c>
      <c r="B1955" s="2" t="s">
        <v>26</v>
      </c>
      <c r="C1955" s="2" t="s">
        <v>19</v>
      </c>
      <c r="D1955" s="2" t="s">
        <v>28</v>
      </c>
      <c r="E1955" s="2">
        <v>570.34</v>
      </c>
      <c r="F1955" s="2">
        <v>10.57</v>
      </c>
      <c r="G1955" s="2">
        <v>26.83</v>
      </c>
      <c r="H1955" s="2">
        <v>4.0999999999999996</v>
      </c>
      <c r="I1955" s="2">
        <v>0.3</v>
      </c>
      <c r="J1955" s="2">
        <v>4</v>
      </c>
      <c r="K1955" s="2" t="s">
        <v>34</v>
      </c>
      <c r="L1955" s="2">
        <v>4.28</v>
      </c>
      <c r="M1955" s="2" t="s">
        <v>40</v>
      </c>
      <c r="N1955" s="2">
        <v>57.11</v>
      </c>
      <c r="O1955" s="2" t="s">
        <v>24</v>
      </c>
      <c r="P1955" s="2">
        <v>7.28</v>
      </c>
      <c r="Q1955" s="2">
        <v>13.15</v>
      </c>
      <c r="R1955" s="3">
        <f t="shared" si="150"/>
        <v>4152.0752000000002</v>
      </c>
      <c r="S1955" s="3">
        <f t="shared" si="151"/>
        <v>7499.9710000000005</v>
      </c>
      <c r="T1955" s="3">
        <f t="shared" si="152"/>
        <v>3347.8958000000002</v>
      </c>
      <c r="U1955" s="4">
        <f t="shared" si="153"/>
        <v>0.44638783269961979</v>
      </c>
      <c r="V1955" s="5">
        <f t="shared" si="154"/>
        <v>24.410552000000003</v>
      </c>
    </row>
    <row r="1956" spans="1:22" x14ac:dyDescent="0.25">
      <c r="A1956" s="2" t="s">
        <v>1990</v>
      </c>
      <c r="B1956" s="2" t="s">
        <v>18</v>
      </c>
      <c r="C1956" s="2" t="s">
        <v>33</v>
      </c>
      <c r="D1956" s="2" t="s">
        <v>20</v>
      </c>
      <c r="E1956" s="2">
        <v>369.26</v>
      </c>
      <c r="F1956" s="2">
        <v>12.79</v>
      </c>
      <c r="G1956" s="2">
        <v>33.67</v>
      </c>
      <c r="H1956" s="2">
        <v>0.5</v>
      </c>
      <c r="I1956" s="2">
        <v>3.7</v>
      </c>
      <c r="J1956" s="2">
        <v>17</v>
      </c>
      <c r="K1956" s="2" t="s">
        <v>21</v>
      </c>
      <c r="L1956" s="2">
        <v>9.14</v>
      </c>
      <c r="M1956" s="2" t="s">
        <v>40</v>
      </c>
      <c r="N1956" s="2">
        <v>60.57</v>
      </c>
      <c r="O1956" s="2" t="s">
        <v>23</v>
      </c>
      <c r="P1956" s="2">
        <v>5.61</v>
      </c>
      <c r="Q1956" s="2">
        <v>12.12</v>
      </c>
      <c r="R1956" s="3">
        <f t="shared" si="150"/>
        <v>2071.5486000000001</v>
      </c>
      <c r="S1956" s="3">
        <f t="shared" si="151"/>
        <v>4475.4312</v>
      </c>
      <c r="T1956" s="3">
        <f t="shared" si="152"/>
        <v>2403.8825999999999</v>
      </c>
      <c r="U1956" s="4">
        <f t="shared" si="153"/>
        <v>0.53712871287128716</v>
      </c>
      <c r="V1956" s="5">
        <f t="shared" si="154"/>
        <v>33.750363999999998</v>
      </c>
    </row>
    <row r="1957" spans="1:22" x14ac:dyDescent="0.25">
      <c r="A1957" s="2" t="s">
        <v>1991</v>
      </c>
      <c r="B1957" s="2" t="s">
        <v>32</v>
      </c>
      <c r="C1957" s="2" t="s">
        <v>33</v>
      </c>
      <c r="D1957" s="2" t="s">
        <v>20</v>
      </c>
      <c r="E1957" s="2">
        <v>340.21</v>
      </c>
      <c r="F1957" s="2">
        <v>11.67</v>
      </c>
      <c r="G1957" s="2">
        <v>20.39</v>
      </c>
      <c r="H1957" s="2">
        <v>0.2</v>
      </c>
      <c r="I1957" s="2">
        <v>0.2</v>
      </c>
      <c r="J1957" s="2">
        <v>19</v>
      </c>
      <c r="K1957" s="2" t="s">
        <v>34</v>
      </c>
      <c r="L1957" s="2">
        <v>9.58</v>
      </c>
      <c r="M1957" s="2" t="s">
        <v>37</v>
      </c>
      <c r="N1957" s="2">
        <v>80.27</v>
      </c>
      <c r="O1957" s="2" t="s">
        <v>30</v>
      </c>
      <c r="P1957" s="2">
        <v>3.28</v>
      </c>
      <c r="Q1957" s="2">
        <v>9.1199999999999992</v>
      </c>
      <c r="R1957" s="3">
        <f t="shared" si="150"/>
        <v>1115.8887999999999</v>
      </c>
      <c r="S1957" s="3">
        <f t="shared" si="151"/>
        <v>3102.7151999999996</v>
      </c>
      <c r="T1957" s="3">
        <f t="shared" si="152"/>
        <v>1986.8263999999997</v>
      </c>
      <c r="U1957" s="4">
        <f t="shared" si="153"/>
        <v>0.64035087719298245</v>
      </c>
      <c r="V1957" s="5">
        <f t="shared" si="154"/>
        <v>32.592117999999999</v>
      </c>
    </row>
    <row r="1958" spans="1:22" x14ac:dyDescent="0.25">
      <c r="A1958" s="2" t="s">
        <v>1992</v>
      </c>
      <c r="B1958" s="2" t="s">
        <v>45</v>
      </c>
      <c r="C1958" s="2" t="s">
        <v>19</v>
      </c>
      <c r="D1958" s="2" t="s">
        <v>20</v>
      </c>
      <c r="E1958" s="2">
        <v>437</v>
      </c>
      <c r="F1958" s="2">
        <v>17.14</v>
      </c>
      <c r="G1958" s="2">
        <v>34.71</v>
      </c>
      <c r="H1958" s="2">
        <v>2</v>
      </c>
      <c r="I1958" s="2">
        <v>0.4</v>
      </c>
      <c r="J1958" s="2">
        <v>14</v>
      </c>
      <c r="K1958" s="2" t="s">
        <v>34</v>
      </c>
      <c r="L1958" s="2">
        <v>1.64</v>
      </c>
      <c r="M1958" s="2" t="s">
        <v>22</v>
      </c>
      <c r="N1958" s="2">
        <v>75.09</v>
      </c>
      <c r="O1958" s="2" t="s">
        <v>24</v>
      </c>
      <c r="P1958" s="2">
        <v>4.63</v>
      </c>
      <c r="Q1958" s="2">
        <v>14.4</v>
      </c>
      <c r="R1958" s="3">
        <f t="shared" si="150"/>
        <v>2023.31</v>
      </c>
      <c r="S1958" s="3">
        <f t="shared" si="151"/>
        <v>6292.8</v>
      </c>
      <c r="T1958" s="3">
        <f t="shared" si="152"/>
        <v>4269.49</v>
      </c>
      <c r="U1958" s="4">
        <f t="shared" si="153"/>
        <v>0.67847222222222214</v>
      </c>
      <c r="V1958" s="5">
        <f t="shared" si="154"/>
        <v>7.1667999999999994</v>
      </c>
    </row>
    <row r="1959" spans="1:22" x14ac:dyDescent="0.25">
      <c r="A1959" s="2" t="s">
        <v>1993</v>
      </c>
      <c r="B1959" s="2" t="s">
        <v>18</v>
      </c>
      <c r="C1959" s="2" t="s">
        <v>43</v>
      </c>
      <c r="D1959" s="2" t="s">
        <v>28</v>
      </c>
      <c r="E1959" s="2">
        <v>573.20000000000005</v>
      </c>
      <c r="F1959" s="2">
        <v>11.68</v>
      </c>
      <c r="G1959" s="2">
        <v>29.74</v>
      </c>
      <c r="H1959" s="2">
        <v>0.8</v>
      </c>
      <c r="I1959" s="2">
        <v>1.4</v>
      </c>
      <c r="J1959" s="2">
        <v>10</v>
      </c>
      <c r="K1959" s="2" t="s">
        <v>34</v>
      </c>
      <c r="L1959" s="2">
        <v>1.63</v>
      </c>
      <c r="M1959" s="2" t="s">
        <v>37</v>
      </c>
      <c r="N1959" s="2">
        <v>64.930000000000007</v>
      </c>
      <c r="O1959" s="2" t="s">
        <v>24</v>
      </c>
      <c r="P1959" s="2">
        <v>9.2200000000000006</v>
      </c>
      <c r="Q1959" s="2">
        <v>12.67</v>
      </c>
      <c r="R1959" s="3">
        <f t="shared" si="150"/>
        <v>5284.9040000000005</v>
      </c>
      <c r="S1959" s="3">
        <f t="shared" si="151"/>
        <v>7262.4440000000004</v>
      </c>
      <c r="T1959" s="3">
        <f t="shared" si="152"/>
        <v>1977.54</v>
      </c>
      <c r="U1959" s="4">
        <f t="shared" si="153"/>
        <v>0.27229676400947117</v>
      </c>
      <c r="V1959" s="5">
        <f t="shared" si="154"/>
        <v>9.343160000000001</v>
      </c>
    </row>
    <row r="1960" spans="1:22" x14ac:dyDescent="0.25">
      <c r="A1960" s="2" t="s">
        <v>1994</v>
      </c>
      <c r="B1960" s="2" t="s">
        <v>32</v>
      </c>
      <c r="C1960" s="2" t="s">
        <v>43</v>
      </c>
      <c r="D1960" s="2" t="s">
        <v>20</v>
      </c>
      <c r="E1960" s="2">
        <v>480.31</v>
      </c>
      <c r="F1960" s="2">
        <v>11.73</v>
      </c>
      <c r="G1960" s="2">
        <v>36.26</v>
      </c>
      <c r="H1960" s="2">
        <v>2.2000000000000002</v>
      </c>
      <c r="I1960" s="2">
        <v>1.1000000000000001</v>
      </c>
      <c r="J1960" s="2">
        <v>25</v>
      </c>
      <c r="K1960" s="2" t="s">
        <v>34</v>
      </c>
      <c r="L1960" s="2">
        <v>9.3800000000000008</v>
      </c>
      <c r="M1960" s="2" t="s">
        <v>37</v>
      </c>
      <c r="N1960" s="2">
        <v>94.19</v>
      </c>
      <c r="O1960" s="2" t="s">
        <v>24</v>
      </c>
      <c r="P1960" s="2">
        <v>8.73</v>
      </c>
      <c r="Q1960" s="2">
        <v>14.68</v>
      </c>
      <c r="R1960" s="3">
        <f t="shared" si="150"/>
        <v>4193.1063000000004</v>
      </c>
      <c r="S1960" s="3">
        <f t="shared" si="151"/>
        <v>7050.9507999999996</v>
      </c>
      <c r="T1960" s="3">
        <f t="shared" si="152"/>
        <v>2857.8444999999992</v>
      </c>
      <c r="U1960" s="4">
        <f t="shared" si="153"/>
        <v>0.40531335149863751</v>
      </c>
      <c r="V1960" s="5">
        <f t="shared" si="154"/>
        <v>45.053078000000006</v>
      </c>
    </row>
    <row r="1961" spans="1:22" x14ac:dyDescent="0.25">
      <c r="A1961" s="2" t="s">
        <v>1995</v>
      </c>
      <c r="B1961" s="2" t="s">
        <v>18</v>
      </c>
      <c r="C1961" s="2" t="s">
        <v>27</v>
      </c>
      <c r="D1961" s="2" t="s">
        <v>20</v>
      </c>
      <c r="E1961" s="2">
        <v>453.54</v>
      </c>
      <c r="F1961" s="2">
        <v>11.84</v>
      </c>
      <c r="G1961" s="2">
        <v>39.090000000000003</v>
      </c>
      <c r="H1961" s="2">
        <v>0.1</v>
      </c>
      <c r="I1961" s="2">
        <v>0.9</v>
      </c>
      <c r="J1961" s="2">
        <v>29</v>
      </c>
      <c r="K1961" s="2" t="s">
        <v>29</v>
      </c>
      <c r="L1961" s="2">
        <v>3.31</v>
      </c>
      <c r="M1961" s="2" t="s">
        <v>22</v>
      </c>
      <c r="N1961" s="2">
        <v>95.07</v>
      </c>
      <c r="O1961" s="2" t="s">
        <v>24</v>
      </c>
      <c r="P1961" s="2">
        <v>7.02</v>
      </c>
      <c r="Q1961" s="2">
        <v>14.29</v>
      </c>
      <c r="R1961" s="3">
        <f t="shared" si="150"/>
        <v>3183.8508000000002</v>
      </c>
      <c r="S1961" s="3">
        <f t="shared" si="151"/>
        <v>6481.0865999999996</v>
      </c>
      <c r="T1961" s="3">
        <f t="shared" si="152"/>
        <v>3297.2357999999995</v>
      </c>
      <c r="U1961" s="4">
        <f t="shared" si="153"/>
        <v>0.50874737578726381</v>
      </c>
      <c r="V1961" s="5">
        <f t="shared" si="154"/>
        <v>15.012174</v>
      </c>
    </row>
    <row r="1962" spans="1:22" x14ac:dyDescent="0.25">
      <c r="A1962" s="2" t="s">
        <v>1996</v>
      </c>
      <c r="B1962" s="2" t="s">
        <v>45</v>
      </c>
      <c r="C1962" s="2" t="s">
        <v>43</v>
      </c>
      <c r="D1962" s="2" t="s">
        <v>28</v>
      </c>
      <c r="E1962" s="2">
        <v>504.44</v>
      </c>
      <c r="F1962" s="2">
        <v>16.37</v>
      </c>
      <c r="G1962" s="2">
        <v>38.520000000000003</v>
      </c>
      <c r="H1962" s="2">
        <v>0.3</v>
      </c>
      <c r="I1962" s="2">
        <v>0.8</v>
      </c>
      <c r="J1962" s="2">
        <v>6</v>
      </c>
      <c r="K1962" s="2" t="s">
        <v>21</v>
      </c>
      <c r="L1962" s="2">
        <v>2.8</v>
      </c>
      <c r="M1962" s="2" t="s">
        <v>40</v>
      </c>
      <c r="N1962" s="2">
        <v>64.58</v>
      </c>
      <c r="O1962" s="2" t="s">
        <v>30</v>
      </c>
      <c r="P1962" s="2">
        <v>6.26</v>
      </c>
      <c r="Q1962" s="2">
        <v>9.81</v>
      </c>
      <c r="R1962" s="3">
        <f t="shared" si="150"/>
        <v>3157.7943999999998</v>
      </c>
      <c r="S1962" s="3">
        <f t="shared" si="151"/>
        <v>4948.5564000000004</v>
      </c>
      <c r="T1962" s="3">
        <f t="shared" si="152"/>
        <v>1790.7620000000006</v>
      </c>
      <c r="U1962" s="4">
        <f t="shared" si="153"/>
        <v>0.36187563710499498</v>
      </c>
      <c r="V1962" s="5">
        <f t="shared" si="154"/>
        <v>14.124320000000001</v>
      </c>
    </row>
    <row r="1963" spans="1:22" x14ac:dyDescent="0.25">
      <c r="A1963" s="2" t="s">
        <v>1997</v>
      </c>
      <c r="B1963" s="2" t="s">
        <v>32</v>
      </c>
      <c r="C1963" s="2" t="s">
        <v>27</v>
      </c>
      <c r="D1963" s="2" t="s">
        <v>28</v>
      </c>
      <c r="E1963" s="2">
        <v>325.43</v>
      </c>
      <c r="F1963" s="2">
        <v>14.51</v>
      </c>
      <c r="G1963" s="2">
        <v>38.19</v>
      </c>
      <c r="H1963" s="2">
        <v>2.2999999999999998</v>
      </c>
      <c r="I1963" s="2">
        <v>1.9</v>
      </c>
      <c r="J1963" s="2">
        <v>18</v>
      </c>
      <c r="K1963" s="2" t="s">
        <v>21</v>
      </c>
      <c r="L1963" s="2">
        <v>0.84</v>
      </c>
      <c r="M1963" s="2" t="s">
        <v>37</v>
      </c>
      <c r="N1963" s="2">
        <v>57.79</v>
      </c>
      <c r="O1963" s="2" t="s">
        <v>24</v>
      </c>
      <c r="P1963" s="2">
        <v>7.53</v>
      </c>
      <c r="Q1963" s="2">
        <v>12.55</v>
      </c>
      <c r="R1963" s="3">
        <f t="shared" si="150"/>
        <v>2450.4879000000001</v>
      </c>
      <c r="S1963" s="3">
        <f t="shared" si="151"/>
        <v>4084.1465000000003</v>
      </c>
      <c r="T1963" s="3">
        <f t="shared" si="152"/>
        <v>1633.6586000000002</v>
      </c>
      <c r="U1963" s="4">
        <f t="shared" si="153"/>
        <v>0.4</v>
      </c>
      <c r="V1963" s="5">
        <f t="shared" si="154"/>
        <v>2.7336119999999999</v>
      </c>
    </row>
    <row r="1964" spans="1:22" x14ac:dyDescent="0.25">
      <c r="A1964" s="2" t="s">
        <v>1998</v>
      </c>
      <c r="B1964" s="2" t="s">
        <v>45</v>
      </c>
      <c r="C1964" s="2" t="s">
        <v>43</v>
      </c>
      <c r="D1964" s="2" t="s">
        <v>20</v>
      </c>
      <c r="E1964" s="2">
        <v>549.47</v>
      </c>
      <c r="F1964" s="2">
        <v>14.14</v>
      </c>
      <c r="G1964" s="2">
        <v>30.24</v>
      </c>
      <c r="H1964" s="2">
        <v>0.5</v>
      </c>
      <c r="I1964" s="2">
        <v>0.3</v>
      </c>
      <c r="J1964" s="2">
        <v>25</v>
      </c>
      <c r="K1964" s="2" t="s">
        <v>34</v>
      </c>
      <c r="L1964" s="2">
        <v>3.12</v>
      </c>
      <c r="M1964" s="2" t="s">
        <v>37</v>
      </c>
      <c r="N1964" s="2">
        <v>57.45</v>
      </c>
      <c r="O1964" s="2" t="s">
        <v>24</v>
      </c>
      <c r="P1964" s="2">
        <v>6.26</v>
      </c>
      <c r="Q1964" s="2">
        <v>11.69</v>
      </c>
      <c r="R1964" s="3">
        <f t="shared" si="150"/>
        <v>3439.6822000000002</v>
      </c>
      <c r="S1964" s="3">
        <f t="shared" si="151"/>
        <v>6423.3042999999998</v>
      </c>
      <c r="T1964" s="3">
        <f t="shared" si="152"/>
        <v>2983.6220999999996</v>
      </c>
      <c r="U1964" s="4">
        <f t="shared" si="153"/>
        <v>0.46449957228400335</v>
      </c>
      <c r="V1964" s="5">
        <f t="shared" si="154"/>
        <v>17.143464000000002</v>
      </c>
    </row>
    <row r="1965" spans="1:22" x14ac:dyDescent="0.25">
      <c r="A1965" s="2" t="s">
        <v>1999</v>
      </c>
      <c r="B1965" s="2" t="s">
        <v>45</v>
      </c>
      <c r="C1965" s="2" t="s">
        <v>43</v>
      </c>
      <c r="D1965" s="2" t="s">
        <v>20</v>
      </c>
      <c r="E1965" s="2">
        <v>538.34</v>
      </c>
      <c r="F1965" s="2">
        <v>11.34</v>
      </c>
      <c r="G1965" s="2">
        <v>27.2</v>
      </c>
      <c r="H1965" s="2">
        <v>3.9</v>
      </c>
      <c r="I1965" s="2">
        <v>0.6</v>
      </c>
      <c r="J1965" s="2">
        <v>4</v>
      </c>
      <c r="K1965" s="2" t="s">
        <v>21</v>
      </c>
      <c r="L1965" s="2">
        <v>7.09</v>
      </c>
      <c r="M1965" s="2" t="s">
        <v>22</v>
      </c>
      <c r="N1965" s="2">
        <v>74.22</v>
      </c>
      <c r="O1965" s="2" t="s">
        <v>23</v>
      </c>
      <c r="P1965" s="2">
        <v>7.51</v>
      </c>
      <c r="Q1965" s="2">
        <v>13.11</v>
      </c>
      <c r="R1965" s="3">
        <f t="shared" si="150"/>
        <v>4042.9334000000003</v>
      </c>
      <c r="S1965" s="3">
        <f t="shared" si="151"/>
        <v>7057.6374000000005</v>
      </c>
      <c r="T1965" s="3">
        <f t="shared" si="152"/>
        <v>3014.7040000000002</v>
      </c>
      <c r="U1965" s="4">
        <f t="shared" si="153"/>
        <v>0.42715484363081618</v>
      </c>
      <c r="V1965" s="5">
        <f t="shared" si="154"/>
        <v>38.168306000000001</v>
      </c>
    </row>
    <row r="1966" spans="1:22" x14ac:dyDescent="0.25">
      <c r="A1966" s="2" t="s">
        <v>2000</v>
      </c>
      <c r="B1966" s="2" t="s">
        <v>32</v>
      </c>
      <c r="C1966" s="2" t="s">
        <v>33</v>
      </c>
      <c r="D1966" s="2" t="s">
        <v>28</v>
      </c>
      <c r="E1966" s="2">
        <v>459.07</v>
      </c>
      <c r="F1966" s="2">
        <v>16.18</v>
      </c>
      <c r="G1966" s="2">
        <v>29.3</v>
      </c>
      <c r="H1966" s="2">
        <v>0.1</v>
      </c>
      <c r="I1966" s="2">
        <v>0.2</v>
      </c>
      <c r="J1966" s="2">
        <v>11</v>
      </c>
      <c r="K1966" s="2" t="s">
        <v>34</v>
      </c>
      <c r="L1966" s="2">
        <v>4.55</v>
      </c>
      <c r="M1966" s="2" t="s">
        <v>40</v>
      </c>
      <c r="N1966" s="2">
        <v>56.65</v>
      </c>
      <c r="O1966" s="2" t="s">
        <v>24</v>
      </c>
      <c r="P1966" s="2">
        <v>5.15</v>
      </c>
      <c r="Q1966" s="2">
        <v>12.88</v>
      </c>
      <c r="R1966" s="3">
        <f t="shared" si="150"/>
        <v>2364.2105000000001</v>
      </c>
      <c r="S1966" s="3">
        <f t="shared" si="151"/>
        <v>5912.8216000000002</v>
      </c>
      <c r="T1966" s="3">
        <f t="shared" si="152"/>
        <v>3548.6111000000001</v>
      </c>
      <c r="U1966" s="4">
        <f t="shared" si="153"/>
        <v>0.60015527950310554</v>
      </c>
      <c r="V1966" s="5">
        <f t="shared" si="154"/>
        <v>20.887684999999998</v>
      </c>
    </row>
    <row r="1967" spans="1:22" x14ac:dyDescent="0.25">
      <c r="A1967" s="2" t="s">
        <v>2001</v>
      </c>
      <c r="B1967" s="2" t="s">
        <v>32</v>
      </c>
      <c r="C1967" s="2" t="s">
        <v>27</v>
      </c>
      <c r="D1967" s="2" t="s">
        <v>28</v>
      </c>
      <c r="E1967" s="2">
        <v>600.59</v>
      </c>
      <c r="F1967" s="2">
        <v>8.3800000000000008</v>
      </c>
      <c r="G1967" s="2">
        <v>33.799999999999997</v>
      </c>
      <c r="H1967" s="2">
        <v>0.5</v>
      </c>
      <c r="I1967" s="2">
        <v>0.9</v>
      </c>
      <c r="J1967" s="2">
        <v>13</v>
      </c>
      <c r="K1967" s="2" t="s">
        <v>21</v>
      </c>
      <c r="L1967" s="2">
        <v>5.41</v>
      </c>
      <c r="M1967" s="2" t="s">
        <v>40</v>
      </c>
      <c r="N1967" s="2">
        <v>73.67</v>
      </c>
      <c r="O1967" s="2" t="s">
        <v>23</v>
      </c>
      <c r="P1967" s="2">
        <v>8.8699999999999992</v>
      </c>
      <c r="Q1967" s="2">
        <v>6.53</v>
      </c>
      <c r="R1967" s="3">
        <f t="shared" si="150"/>
        <v>5327.2332999999999</v>
      </c>
      <c r="S1967" s="3">
        <f t="shared" si="151"/>
        <v>3921.8527000000004</v>
      </c>
      <c r="T1967" s="3">
        <f t="shared" si="152"/>
        <v>-1405.3805999999995</v>
      </c>
      <c r="U1967" s="4">
        <f t="shared" si="153"/>
        <v>-0.35834609494640107</v>
      </c>
      <c r="V1967" s="5">
        <f t="shared" si="154"/>
        <v>32.491919000000003</v>
      </c>
    </row>
    <row r="1968" spans="1:22" x14ac:dyDescent="0.25">
      <c r="A1968" s="2" t="s">
        <v>2002</v>
      </c>
      <c r="B1968" s="2" t="s">
        <v>32</v>
      </c>
      <c r="C1968" s="2" t="s">
        <v>43</v>
      </c>
      <c r="D1968" s="2" t="s">
        <v>28</v>
      </c>
      <c r="E1968" s="2">
        <v>387.25</v>
      </c>
      <c r="F1968" s="2">
        <v>16.71</v>
      </c>
      <c r="G1968" s="2">
        <v>37.68</v>
      </c>
      <c r="H1968" s="2">
        <v>13.1</v>
      </c>
      <c r="I1968" s="2">
        <v>0.3</v>
      </c>
      <c r="J1968" s="2">
        <v>8</v>
      </c>
      <c r="K1968" s="2" t="s">
        <v>29</v>
      </c>
      <c r="L1968" s="2">
        <v>9.2100000000000009</v>
      </c>
      <c r="M1968" s="2" t="s">
        <v>22</v>
      </c>
      <c r="N1968" s="2">
        <v>73.099999999999994</v>
      </c>
      <c r="O1968" s="2" t="s">
        <v>24</v>
      </c>
      <c r="P1968" s="2">
        <v>7.91</v>
      </c>
      <c r="Q1968" s="2">
        <v>7.34</v>
      </c>
      <c r="R1968" s="3">
        <f t="shared" si="150"/>
        <v>3063.1475</v>
      </c>
      <c r="S1968" s="3">
        <f t="shared" si="151"/>
        <v>2842.415</v>
      </c>
      <c r="T1968" s="3">
        <f t="shared" si="152"/>
        <v>-220.73250000000007</v>
      </c>
      <c r="U1968" s="4">
        <f t="shared" si="153"/>
        <v>-7.7656675749318824E-2</v>
      </c>
      <c r="V1968" s="5">
        <f t="shared" si="154"/>
        <v>35.665725000000002</v>
      </c>
    </row>
    <row r="1969" spans="1:22" x14ac:dyDescent="0.25">
      <c r="A1969" s="2" t="s">
        <v>2003</v>
      </c>
      <c r="B1969" s="2" t="s">
        <v>26</v>
      </c>
      <c r="C1969" s="2" t="s">
        <v>27</v>
      </c>
      <c r="D1969" s="2" t="s">
        <v>20</v>
      </c>
      <c r="E1969" s="2">
        <v>612.79</v>
      </c>
      <c r="F1969" s="2">
        <v>13.13</v>
      </c>
      <c r="G1969" s="2">
        <v>24.14</v>
      </c>
      <c r="H1969" s="2">
        <v>1.1000000000000001</v>
      </c>
      <c r="I1969" s="2">
        <v>0.4</v>
      </c>
      <c r="J1969" s="2">
        <v>10</v>
      </c>
      <c r="K1969" s="2" t="s">
        <v>29</v>
      </c>
      <c r="L1969" s="2">
        <v>1.59</v>
      </c>
      <c r="M1969" s="2" t="s">
        <v>37</v>
      </c>
      <c r="N1969" s="2">
        <v>94.21</v>
      </c>
      <c r="O1969" s="2" t="s">
        <v>24</v>
      </c>
      <c r="P1969" s="2">
        <v>5.31</v>
      </c>
      <c r="Q1969" s="2">
        <v>7.66</v>
      </c>
      <c r="R1969" s="3">
        <f t="shared" si="150"/>
        <v>3253.9148999999998</v>
      </c>
      <c r="S1969" s="3">
        <f t="shared" si="151"/>
        <v>4693.9713999999994</v>
      </c>
      <c r="T1969" s="3">
        <f t="shared" si="152"/>
        <v>1440.0564999999997</v>
      </c>
      <c r="U1969" s="4">
        <f t="shared" si="153"/>
        <v>0.30678851174934724</v>
      </c>
      <c r="V1969" s="5">
        <f t="shared" si="154"/>
        <v>9.7433610000000002</v>
      </c>
    </row>
    <row r="1970" spans="1:22" x14ac:dyDescent="0.25">
      <c r="A1970" s="2" t="s">
        <v>2004</v>
      </c>
      <c r="B1970" s="2" t="s">
        <v>32</v>
      </c>
      <c r="C1970" s="2" t="s">
        <v>33</v>
      </c>
      <c r="D1970" s="2" t="s">
        <v>28</v>
      </c>
      <c r="E1970" s="2">
        <v>515.45000000000005</v>
      </c>
      <c r="F1970" s="2">
        <v>11.98</v>
      </c>
      <c r="G1970" s="2">
        <v>38.36</v>
      </c>
      <c r="H1970" s="2">
        <v>2.4</v>
      </c>
      <c r="I1970" s="2">
        <v>0.6</v>
      </c>
      <c r="J1970" s="2">
        <v>23</v>
      </c>
      <c r="K1970" s="2" t="s">
        <v>21</v>
      </c>
      <c r="L1970" s="2">
        <v>1.18</v>
      </c>
      <c r="M1970" s="2" t="s">
        <v>22</v>
      </c>
      <c r="N1970" s="2">
        <v>64.81</v>
      </c>
      <c r="O1970" s="2" t="s">
        <v>30</v>
      </c>
      <c r="P1970" s="2">
        <v>8.81</v>
      </c>
      <c r="Q1970" s="2">
        <v>13.18</v>
      </c>
      <c r="R1970" s="3">
        <f t="shared" si="150"/>
        <v>4541.1145000000006</v>
      </c>
      <c r="S1970" s="3">
        <f t="shared" si="151"/>
        <v>6793.6310000000003</v>
      </c>
      <c r="T1970" s="3">
        <f t="shared" si="152"/>
        <v>2252.5164999999997</v>
      </c>
      <c r="U1970" s="4">
        <f t="shared" si="153"/>
        <v>0.33156297420333836</v>
      </c>
      <c r="V1970" s="5">
        <f t="shared" si="154"/>
        <v>6.0823099999999997</v>
      </c>
    </row>
    <row r="1971" spans="1:22" x14ac:dyDescent="0.25">
      <c r="A1971" s="2" t="s">
        <v>2005</v>
      </c>
      <c r="B1971" s="2" t="s">
        <v>32</v>
      </c>
      <c r="C1971" s="2" t="s">
        <v>33</v>
      </c>
      <c r="D1971" s="2" t="s">
        <v>28</v>
      </c>
      <c r="E1971" s="2">
        <v>466.34</v>
      </c>
      <c r="F1971" s="2">
        <v>12.97</v>
      </c>
      <c r="G1971" s="2">
        <v>36.299999999999997</v>
      </c>
      <c r="H1971" s="2">
        <v>0.4</v>
      </c>
      <c r="I1971" s="2">
        <v>0</v>
      </c>
      <c r="J1971" s="2">
        <v>28</v>
      </c>
      <c r="K1971" s="2" t="s">
        <v>34</v>
      </c>
      <c r="L1971" s="2">
        <v>8.59</v>
      </c>
      <c r="M1971" s="2" t="s">
        <v>22</v>
      </c>
      <c r="N1971" s="2">
        <v>78.03</v>
      </c>
      <c r="O1971" s="2" t="s">
        <v>23</v>
      </c>
      <c r="P1971" s="2">
        <v>6.41</v>
      </c>
      <c r="Q1971" s="2">
        <v>13.11</v>
      </c>
      <c r="R1971" s="3">
        <f t="shared" si="150"/>
        <v>2989.2393999999999</v>
      </c>
      <c r="S1971" s="3">
        <f t="shared" si="151"/>
        <v>6113.7173999999995</v>
      </c>
      <c r="T1971" s="3">
        <f t="shared" si="152"/>
        <v>3124.4779999999996</v>
      </c>
      <c r="U1971" s="4">
        <f t="shared" si="153"/>
        <v>0.51106025934401222</v>
      </c>
      <c r="V1971" s="5">
        <f t="shared" si="154"/>
        <v>40.058605999999997</v>
      </c>
    </row>
    <row r="1972" spans="1:22" x14ac:dyDescent="0.25">
      <c r="A1972" s="2" t="s">
        <v>2006</v>
      </c>
      <c r="B1972" s="2" t="s">
        <v>32</v>
      </c>
      <c r="C1972" s="2" t="s">
        <v>27</v>
      </c>
      <c r="D1972" s="2" t="s">
        <v>28</v>
      </c>
      <c r="E1972" s="2">
        <v>498.01</v>
      </c>
      <c r="F1972" s="2">
        <v>14.67</v>
      </c>
      <c r="G1972" s="2">
        <v>39.58</v>
      </c>
      <c r="H1972" s="2">
        <v>1.9</v>
      </c>
      <c r="I1972" s="2">
        <v>0.1</v>
      </c>
      <c r="J1972" s="2">
        <v>11</v>
      </c>
      <c r="K1972" s="2" t="s">
        <v>34</v>
      </c>
      <c r="L1972" s="2">
        <v>7.86</v>
      </c>
      <c r="M1972" s="2" t="s">
        <v>40</v>
      </c>
      <c r="N1972" s="2">
        <v>87.17</v>
      </c>
      <c r="O1972" s="2" t="s">
        <v>30</v>
      </c>
      <c r="P1972" s="2">
        <v>4.22</v>
      </c>
      <c r="Q1972" s="2">
        <v>9.9499999999999993</v>
      </c>
      <c r="R1972" s="3">
        <f t="shared" si="150"/>
        <v>2101.6021999999998</v>
      </c>
      <c r="S1972" s="3">
        <f t="shared" si="151"/>
        <v>4955.1994999999997</v>
      </c>
      <c r="T1972" s="3">
        <f t="shared" si="152"/>
        <v>2853.5972999999999</v>
      </c>
      <c r="U1972" s="4">
        <f t="shared" si="153"/>
        <v>0.57587939698492463</v>
      </c>
      <c r="V1972" s="5">
        <f t="shared" si="154"/>
        <v>39.143585999999999</v>
      </c>
    </row>
    <row r="1973" spans="1:22" x14ac:dyDescent="0.25">
      <c r="A1973" s="2" t="s">
        <v>2007</v>
      </c>
      <c r="B1973" s="2" t="s">
        <v>32</v>
      </c>
      <c r="C1973" s="2" t="s">
        <v>33</v>
      </c>
      <c r="D1973" s="2" t="s">
        <v>20</v>
      </c>
      <c r="E1973" s="2">
        <v>489.27</v>
      </c>
      <c r="F1973" s="2">
        <v>8.1300000000000008</v>
      </c>
      <c r="G1973" s="2">
        <v>37.61</v>
      </c>
      <c r="H1973" s="2">
        <v>2.6</v>
      </c>
      <c r="I1973" s="2">
        <v>1.2</v>
      </c>
      <c r="J1973" s="2">
        <v>3</v>
      </c>
      <c r="K1973" s="2" t="s">
        <v>34</v>
      </c>
      <c r="L1973" s="2">
        <v>3.01</v>
      </c>
      <c r="M1973" s="2" t="s">
        <v>37</v>
      </c>
      <c r="N1973" s="2">
        <v>79.8</v>
      </c>
      <c r="O1973" s="2" t="s">
        <v>23</v>
      </c>
      <c r="P1973" s="2">
        <v>3.54</v>
      </c>
      <c r="Q1973" s="2">
        <v>10.81</v>
      </c>
      <c r="R1973" s="3">
        <f t="shared" si="150"/>
        <v>1732.0157999999999</v>
      </c>
      <c r="S1973" s="3">
        <f t="shared" si="151"/>
        <v>5289.0087000000003</v>
      </c>
      <c r="T1973" s="3">
        <f t="shared" si="152"/>
        <v>3556.9929000000002</v>
      </c>
      <c r="U1973" s="4">
        <f t="shared" si="153"/>
        <v>0.67252543940795562</v>
      </c>
      <c r="V1973" s="5">
        <f t="shared" si="154"/>
        <v>14.727026999999998</v>
      </c>
    </row>
    <row r="1974" spans="1:22" x14ac:dyDescent="0.25">
      <c r="A1974" s="2" t="s">
        <v>2008</v>
      </c>
      <c r="B1974" s="2" t="s">
        <v>18</v>
      </c>
      <c r="C1974" s="2" t="s">
        <v>19</v>
      </c>
      <c r="D1974" s="2" t="s">
        <v>28</v>
      </c>
      <c r="E1974" s="2">
        <v>622.03</v>
      </c>
      <c r="F1974" s="2">
        <v>16.72</v>
      </c>
      <c r="G1974" s="2">
        <v>25.6</v>
      </c>
      <c r="H1974" s="2">
        <v>0.8</v>
      </c>
      <c r="I1974" s="2">
        <v>0.6</v>
      </c>
      <c r="J1974" s="2">
        <v>15</v>
      </c>
      <c r="K1974" s="2" t="s">
        <v>34</v>
      </c>
      <c r="L1974" s="2">
        <v>3.58</v>
      </c>
      <c r="M1974" s="2" t="s">
        <v>37</v>
      </c>
      <c r="N1974" s="2">
        <v>97.7</v>
      </c>
      <c r="O1974" s="2" t="s">
        <v>24</v>
      </c>
      <c r="P1974" s="2">
        <v>7.9</v>
      </c>
      <c r="Q1974" s="2">
        <v>13.27</v>
      </c>
      <c r="R1974" s="3">
        <f t="shared" si="150"/>
        <v>4914.0370000000003</v>
      </c>
      <c r="S1974" s="3">
        <f t="shared" si="151"/>
        <v>8254.338099999999</v>
      </c>
      <c r="T1974" s="3">
        <f t="shared" si="152"/>
        <v>3340.3010999999988</v>
      </c>
      <c r="U1974" s="4">
        <f t="shared" si="153"/>
        <v>0.40467219291635259</v>
      </c>
      <c r="V1974" s="5">
        <f t="shared" si="154"/>
        <v>22.268674000000001</v>
      </c>
    </row>
    <row r="1975" spans="1:22" x14ac:dyDescent="0.25">
      <c r="A1975" s="2" t="s">
        <v>2009</v>
      </c>
      <c r="B1975" s="2" t="s">
        <v>26</v>
      </c>
      <c r="C1975" s="2" t="s">
        <v>19</v>
      </c>
      <c r="D1975" s="2" t="s">
        <v>28</v>
      </c>
      <c r="E1975" s="2">
        <v>392.33</v>
      </c>
      <c r="F1975" s="2">
        <v>12.47</v>
      </c>
      <c r="G1975" s="2">
        <v>22.12</v>
      </c>
      <c r="H1975" s="2">
        <v>3.5</v>
      </c>
      <c r="I1975" s="2">
        <v>2</v>
      </c>
      <c r="J1975" s="2">
        <v>8</v>
      </c>
      <c r="K1975" s="2" t="s">
        <v>29</v>
      </c>
      <c r="L1975" s="2">
        <v>3.45</v>
      </c>
      <c r="M1975" s="2" t="s">
        <v>40</v>
      </c>
      <c r="N1975" s="2">
        <v>80.11</v>
      </c>
      <c r="O1975" s="2" t="s">
        <v>30</v>
      </c>
      <c r="P1975" s="2">
        <v>9.06</v>
      </c>
      <c r="Q1975" s="2">
        <v>8.1300000000000008</v>
      </c>
      <c r="R1975" s="3">
        <f t="shared" si="150"/>
        <v>3554.5098000000003</v>
      </c>
      <c r="S1975" s="3">
        <f t="shared" si="151"/>
        <v>3189.6429000000003</v>
      </c>
      <c r="T1975" s="3">
        <f t="shared" si="152"/>
        <v>-364.86689999999999</v>
      </c>
      <c r="U1975" s="4">
        <f t="shared" si="153"/>
        <v>-0.11439114391143911</v>
      </c>
      <c r="V1975" s="5">
        <f t="shared" si="154"/>
        <v>13.535385000000002</v>
      </c>
    </row>
    <row r="1976" spans="1:22" x14ac:dyDescent="0.25">
      <c r="A1976" s="2" t="s">
        <v>2010</v>
      </c>
      <c r="B1976" s="2" t="s">
        <v>45</v>
      </c>
      <c r="C1976" s="2" t="s">
        <v>33</v>
      </c>
      <c r="D1976" s="2" t="s">
        <v>28</v>
      </c>
      <c r="E1976" s="2">
        <v>423.75</v>
      </c>
      <c r="F1976" s="2">
        <v>11.43</v>
      </c>
      <c r="G1976" s="2">
        <v>22.24</v>
      </c>
      <c r="H1976" s="2">
        <v>1.8</v>
      </c>
      <c r="I1976" s="2">
        <v>1.2</v>
      </c>
      <c r="J1976" s="2">
        <v>20</v>
      </c>
      <c r="K1976" s="2" t="s">
        <v>34</v>
      </c>
      <c r="L1976" s="2">
        <v>6.65</v>
      </c>
      <c r="M1976" s="2" t="s">
        <v>37</v>
      </c>
      <c r="N1976" s="2">
        <v>95.09</v>
      </c>
      <c r="O1976" s="2" t="s">
        <v>23</v>
      </c>
      <c r="P1976" s="2">
        <v>8.65</v>
      </c>
      <c r="Q1976" s="2">
        <v>5.5</v>
      </c>
      <c r="R1976" s="3">
        <f t="shared" si="150"/>
        <v>3665.4375</v>
      </c>
      <c r="S1976" s="3">
        <f t="shared" si="151"/>
        <v>2330.625</v>
      </c>
      <c r="T1976" s="3">
        <f t="shared" si="152"/>
        <v>-1334.8125</v>
      </c>
      <c r="U1976" s="4">
        <f t="shared" si="153"/>
        <v>-0.57272727272727275</v>
      </c>
      <c r="V1976" s="5">
        <f t="shared" si="154"/>
        <v>28.179375</v>
      </c>
    </row>
    <row r="1977" spans="1:22" x14ac:dyDescent="0.25">
      <c r="A1977" s="2" t="s">
        <v>2011</v>
      </c>
      <c r="B1977" s="2" t="s">
        <v>32</v>
      </c>
      <c r="C1977" s="2" t="s">
        <v>19</v>
      </c>
      <c r="D1977" s="2" t="s">
        <v>28</v>
      </c>
      <c r="E1977" s="2">
        <v>603.63</v>
      </c>
      <c r="F1977" s="2">
        <v>9.3800000000000008</v>
      </c>
      <c r="G1977" s="2">
        <v>25.82</v>
      </c>
      <c r="H1977" s="2">
        <v>1</v>
      </c>
      <c r="I1977" s="2">
        <v>0</v>
      </c>
      <c r="J1977" s="2">
        <v>18</v>
      </c>
      <c r="K1977" s="2" t="s">
        <v>34</v>
      </c>
      <c r="L1977" s="2">
        <v>1.08</v>
      </c>
      <c r="M1977" s="2" t="s">
        <v>37</v>
      </c>
      <c r="N1977" s="2">
        <v>62.25</v>
      </c>
      <c r="O1977" s="2" t="s">
        <v>23</v>
      </c>
      <c r="P1977" s="2">
        <v>7.59</v>
      </c>
      <c r="Q1977" s="2">
        <v>9.83</v>
      </c>
      <c r="R1977" s="3">
        <f t="shared" si="150"/>
        <v>4581.5517</v>
      </c>
      <c r="S1977" s="3">
        <f t="shared" si="151"/>
        <v>5933.6828999999998</v>
      </c>
      <c r="T1977" s="3">
        <f t="shared" si="152"/>
        <v>1352.1311999999998</v>
      </c>
      <c r="U1977" s="4">
        <f t="shared" si="153"/>
        <v>0.22787385554425227</v>
      </c>
      <c r="V1977" s="5">
        <f t="shared" si="154"/>
        <v>6.5192040000000011</v>
      </c>
    </row>
    <row r="1978" spans="1:22" x14ac:dyDescent="0.25">
      <c r="A1978" s="2" t="s">
        <v>2012</v>
      </c>
      <c r="B1978" s="2" t="s">
        <v>18</v>
      </c>
      <c r="C1978" s="2" t="s">
        <v>43</v>
      </c>
      <c r="D1978" s="2" t="s">
        <v>28</v>
      </c>
      <c r="E1978" s="2">
        <v>440.45</v>
      </c>
      <c r="F1978" s="2">
        <v>12.39</v>
      </c>
      <c r="G1978" s="2">
        <v>32.28</v>
      </c>
      <c r="H1978" s="2">
        <v>1.6</v>
      </c>
      <c r="I1978" s="2">
        <v>1</v>
      </c>
      <c r="J1978" s="2">
        <v>27</v>
      </c>
      <c r="K1978" s="2" t="s">
        <v>34</v>
      </c>
      <c r="L1978" s="2">
        <v>5.15</v>
      </c>
      <c r="M1978" s="2" t="s">
        <v>22</v>
      </c>
      <c r="N1978" s="2">
        <v>78.040000000000006</v>
      </c>
      <c r="O1978" s="2" t="s">
        <v>30</v>
      </c>
      <c r="P1978" s="2">
        <v>3.99</v>
      </c>
      <c r="Q1978" s="2">
        <v>14.14</v>
      </c>
      <c r="R1978" s="3">
        <f t="shared" si="150"/>
        <v>1757.3955000000001</v>
      </c>
      <c r="S1978" s="3">
        <f t="shared" si="151"/>
        <v>6227.9629999999997</v>
      </c>
      <c r="T1978" s="3">
        <f t="shared" si="152"/>
        <v>4470.5674999999992</v>
      </c>
      <c r="U1978" s="4">
        <f t="shared" si="153"/>
        <v>0.71782178217821768</v>
      </c>
      <c r="V1978" s="5">
        <f t="shared" si="154"/>
        <v>22.683175000000002</v>
      </c>
    </row>
    <row r="1979" spans="1:22" x14ac:dyDescent="0.25">
      <c r="A1979" s="2" t="s">
        <v>2013</v>
      </c>
      <c r="B1979" s="2" t="s">
        <v>18</v>
      </c>
      <c r="C1979" s="2" t="s">
        <v>27</v>
      </c>
      <c r="D1979" s="2" t="s">
        <v>20</v>
      </c>
      <c r="E1979" s="2">
        <v>590.04999999999995</v>
      </c>
      <c r="F1979" s="2">
        <v>12.96</v>
      </c>
      <c r="G1979" s="2">
        <v>36.090000000000003</v>
      </c>
      <c r="H1979" s="2">
        <v>1.7</v>
      </c>
      <c r="I1979" s="2">
        <v>0.1</v>
      </c>
      <c r="J1979" s="2">
        <v>21</v>
      </c>
      <c r="K1979" s="2" t="s">
        <v>34</v>
      </c>
      <c r="L1979" s="2">
        <v>1.77</v>
      </c>
      <c r="M1979" s="2" t="s">
        <v>22</v>
      </c>
      <c r="N1979" s="2">
        <v>77.17</v>
      </c>
      <c r="O1979" s="2" t="s">
        <v>23</v>
      </c>
      <c r="P1979" s="2">
        <v>3.66</v>
      </c>
      <c r="Q1979" s="2">
        <v>12.9</v>
      </c>
      <c r="R1979" s="3">
        <f t="shared" si="150"/>
        <v>2159.5830000000001</v>
      </c>
      <c r="S1979" s="3">
        <f t="shared" si="151"/>
        <v>7611.6449999999995</v>
      </c>
      <c r="T1979" s="3">
        <f t="shared" si="152"/>
        <v>5452.0619999999999</v>
      </c>
      <c r="U1979" s="4">
        <f t="shared" si="153"/>
        <v>0.71627906976744193</v>
      </c>
      <c r="V1979" s="5">
        <f t="shared" si="154"/>
        <v>10.443885</v>
      </c>
    </row>
    <row r="1980" spans="1:22" x14ac:dyDescent="0.25">
      <c r="A1980" s="2" t="s">
        <v>2014</v>
      </c>
      <c r="B1980" s="2" t="s">
        <v>18</v>
      </c>
      <c r="C1980" s="2" t="s">
        <v>43</v>
      </c>
      <c r="D1980" s="2" t="s">
        <v>20</v>
      </c>
      <c r="E1980" s="2">
        <v>669.94</v>
      </c>
      <c r="F1980" s="2">
        <v>12.04</v>
      </c>
      <c r="G1980" s="2">
        <v>37.99</v>
      </c>
      <c r="H1980" s="2">
        <v>0.4</v>
      </c>
      <c r="I1980" s="2">
        <v>1.5</v>
      </c>
      <c r="J1980" s="2">
        <v>1</v>
      </c>
      <c r="K1980" s="2" t="s">
        <v>29</v>
      </c>
      <c r="L1980" s="2">
        <v>8.2899999999999991</v>
      </c>
      <c r="M1980" s="2" t="s">
        <v>22</v>
      </c>
      <c r="N1980" s="2">
        <v>99.47</v>
      </c>
      <c r="O1980" s="2" t="s">
        <v>24</v>
      </c>
      <c r="P1980" s="2">
        <v>5.42</v>
      </c>
      <c r="Q1980" s="2">
        <v>8.67</v>
      </c>
      <c r="R1980" s="3">
        <f t="shared" si="150"/>
        <v>3631.0748000000003</v>
      </c>
      <c r="S1980" s="3">
        <f t="shared" si="151"/>
        <v>5808.3798000000006</v>
      </c>
      <c r="T1980" s="3">
        <f t="shared" si="152"/>
        <v>2177.3050000000003</v>
      </c>
      <c r="U1980" s="4">
        <f t="shared" si="153"/>
        <v>0.37485582468281431</v>
      </c>
      <c r="V1980" s="5">
        <f t="shared" si="154"/>
        <v>55.538026000000002</v>
      </c>
    </row>
    <row r="1981" spans="1:22" x14ac:dyDescent="0.25">
      <c r="A1981" s="2" t="s">
        <v>2015</v>
      </c>
      <c r="B1981" s="2" t="s">
        <v>45</v>
      </c>
      <c r="C1981" s="2" t="s">
        <v>27</v>
      </c>
      <c r="D1981" s="2" t="s">
        <v>20</v>
      </c>
      <c r="E1981" s="2">
        <v>459.82</v>
      </c>
      <c r="F1981" s="2">
        <v>14.79</v>
      </c>
      <c r="G1981" s="2">
        <v>32.479999999999997</v>
      </c>
      <c r="H1981" s="2">
        <v>1</v>
      </c>
      <c r="I1981" s="2">
        <v>4.8</v>
      </c>
      <c r="J1981" s="2">
        <v>29</v>
      </c>
      <c r="K1981" s="2" t="s">
        <v>21</v>
      </c>
      <c r="L1981" s="2">
        <v>4.12</v>
      </c>
      <c r="M1981" s="2" t="s">
        <v>37</v>
      </c>
      <c r="N1981" s="2">
        <v>60.23</v>
      </c>
      <c r="O1981" s="2" t="s">
        <v>23</v>
      </c>
      <c r="P1981" s="2">
        <v>8.98</v>
      </c>
      <c r="Q1981" s="2">
        <v>5.65</v>
      </c>
      <c r="R1981" s="3">
        <f t="shared" si="150"/>
        <v>4129.1836000000003</v>
      </c>
      <c r="S1981" s="3">
        <f t="shared" si="151"/>
        <v>2597.9830000000002</v>
      </c>
      <c r="T1981" s="3">
        <f t="shared" si="152"/>
        <v>-1531.2006000000001</v>
      </c>
      <c r="U1981" s="4">
        <f t="shared" si="153"/>
        <v>-0.58938053097345133</v>
      </c>
      <c r="V1981" s="5">
        <f t="shared" si="154"/>
        <v>18.944583999999999</v>
      </c>
    </row>
    <row r="1982" spans="1:22" x14ac:dyDescent="0.25">
      <c r="A1982" s="2" t="s">
        <v>2016</v>
      </c>
      <c r="B1982" s="2" t="s">
        <v>32</v>
      </c>
      <c r="C1982" s="2" t="s">
        <v>33</v>
      </c>
      <c r="D1982" s="2" t="s">
        <v>28</v>
      </c>
      <c r="E1982" s="2">
        <v>568.14</v>
      </c>
      <c r="F1982" s="2">
        <v>12.21</v>
      </c>
      <c r="G1982" s="2">
        <v>20.11</v>
      </c>
      <c r="H1982" s="2">
        <v>0.8</v>
      </c>
      <c r="I1982" s="2">
        <v>0.8</v>
      </c>
      <c r="J1982" s="2">
        <v>24</v>
      </c>
      <c r="K1982" s="2" t="s">
        <v>21</v>
      </c>
      <c r="L1982" s="2">
        <v>5.51</v>
      </c>
      <c r="M1982" s="2" t="s">
        <v>37</v>
      </c>
      <c r="N1982" s="2">
        <v>57.05</v>
      </c>
      <c r="O1982" s="2" t="s">
        <v>24</v>
      </c>
      <c r="P1982" s="2">
        <v>9.73</v>
      </c>
      <c r="Q1982" s="2">
        <v>11.37</v>
      </c>
      <c r="R1982" s="3">
        <f t="shared" si="150"/>
        <v>5528.0021999999999</v>
      </c>
      <c r="S1982" s="3">
        <f t="shared" si="151"/>
        <v>6459.7517999999991</v>
      </c>
      <c r="T1982" s="3">
        <f t="shared" si="152"/>
        <v>931.74959999999919</v>
      </c>
      <c r="U1982" s="4">
        <f t="shared" si="153"/>
        <v>0.14423922603342118</v>
      </c>
      <c r="V1982" s="5">
        <f t="shared" si="154"/>
        <v>31.304513999999998</v>
      </c>
    </row>
    <row r="1983" spans="1:22" x14ac:dyDescent="0.25">
      <c r="A1983" s="2" t="s">
        <v>2017</v>
      </c>
      <c r="B1983" s="2" t="s">
        <v>26</v>
      </c>
      <c r="C1983" s="2" t="s">
        <v>43</v>
      </c>
      <c r="D1983" s="2" t="s">
        <v>20</v>
      </c>
      <c r="E1983" s="2">
        <v>384.63</v>
      </c>
      <c r="F1983" s="2">
        <v>17.61</v>
      </c>
      <c r="G1983" s="2">
        <v>23.73</v>
      </c>
      <c r="H1983" s="2">
        <v>1</v>
      </c>
      <c r="I1983" s="2">
        <v>1.1000000000000001</v>
      </c>
      <c r="J1983" s="2">
        <v>8</v>
      </c>
      <c r="K1983" s="2" t="s">
        <v>34</v>
      </c>
      <c r="L1983" s="2">
        <v>0.78</v>
      </c>
      <c r="M1983" s="2" t="s">
        <v>37</v>
      </c>
      <c r="N1983" s="2">
        <v>80.58</v>
      </c>
      <c r="O1983" s="2" t="s">
        <v>23</v>
      </c>
      <c r="P1983" s="2">
        <v>4.6900000000000004</v>
      </c>
      <c r="Q1983" s="2">
        <v>13.34</v>
      </c>
      <c r="R1983" s="3">
        <f t="shared" si="150"/>
        <v>1803.9147</v>
      </c>
      <c r="S1983" s="3">
        <f t="shared" si="151"/>
        <v>5130.9641999999994</v>
      </c>
      <c r="T1983" s="3">
        <f t="shared" si="152"/>
        <v>3327.0494999999992</v>
      </c>
      <c r="U1983" s="4">
        <f t="shared" si="153"/>
        <v>0.64842578710644672</v>
      </c>
      <c r="V1983" s="5">
        <f t="shared" si="154"/>
        <v>3.0001139999999999</v>
      </c>
    </row>
    <row r="1984" spans="1:22" x14ac:dyDescent="0.25">
      <c r="A1984" s="2" t="s">
        <v>2018</v>
      </c>
      <c r="B1984" s="2" t="s">
        <v>26</v>
      </c>
      <c r="C1984" s="2" t="s">
        <v>33</v>
      </c>
      <c r="D1984" s="2" t="s">
        <v>20</v>
      </c>
      <c r="E1984" s="2">
        <v>575.47</v>
      </c>
      <c r="F1984" s="2">
        <v>13.99</v>
      </c>
      <c r="G1984" s="2">
        <v>21.99</v>
      </c>
      <c r="H1984" s="2">
        <v>2.9</v>
      </c>
      <c r="I1984" s="2">
        <v>0.3</v>
      </c>
      <c r="J1984" s="2">
        <v>3</v>
      </c>
      <c r="K1984" s="2" t="s">
        <v>34</v>
      </c>
      <c r="L1984" s="2">
        <v>1.05</v>
      </c>
      <c r="M1984" s="2" t="s">
        <v>37</v>
      </c>
      <c r="N1984" s="2">
        <v>61.18</v>
      </c>
      <c r="O1984" s="2" t="s">
        <v>30</v>
      </c>
      <c r="P1984" s="2">
        <v>8.33</v>
      </c>
      <c r="Q1984" s="2">
        <v>11.65</v>
      </c>
      <c r="R1984" s="3">
        <f t="shared" si="150"/>
        <v>4793.6651000000002</v>
      </c>
      <c r="S1984" s="3">
        <f t="shared" si="151"/>
        <v>6704.2255000000005</v>
      </c>
      <c r="T1984" s="3">
        <f t="shared" si="152"/>
        <v>1910.5604000000003</v>
      </c>
      <c r="U1984" s="4">
        <f t="shared" si="153"/>
        <v>0.28497854077253221</v>
      </c>
      <c r="V1984" s="5">
        <f t="shared" si="154"/>
        <v>6.0424350000000002</v>
      </c>
    </row>
    <row r="1985" spans="1:22" x14ac:dyDescent="0.25">
      <c r="A1985" s="2" t="s">
        <v>2019</v>
      </c>
      <c r="B1985" s="2" t="s">
        <v>18</v>
      </c>
      <c r="C1985" s="2" t="s">
        <v>33</v>
      </c>
      <c r="D1985" s="2" t="s">
        <v>20</v>
      </c>
      <c r="E1985" s="2">
        <v>519.94000000000005</v>
      </c>
      <c r="F1985" s="2">
        <v>16.07</v>
      </c>
      <c r="G1985" s="2">
        <v>27.27</v>
      </c>
      <c r="H1985" s="2">
        <v>1.3</v>
      </c>
      <c r="I1985" s="2">
        <v>0.6</v>
      </c>
      <c r="J1985" s="2">
        <v>1</v>
      </c>
      <c r="K1985" s="2" t="s">
        <v>21</v>
      </c>
      <c r="L1985" s="2">
        <v>6.91</v>
      </c>
      <c r="M1985" s="2" t="s">
        <v>40</v>
      </c>
      <c r="N1985" s="2">
        <v>81.96</v>
      </c>
      <c r="O1985" s="2" t="s">
        <v>24</v>
      </c>
      <c r="P1985" s="2">
        <v>7.02</v>
      </c>
      <c r="Q1985" s="2">
        <v>9.25</v>
      </c>
      <c r="R1985" s="3">
        <f t="shared" si="150"/>
        <v>3649.9788000000003</v>
      </c>
      <c r="S1985" s="3">
        <f t="shared" si="151"/>
        <v>4809.4450000000006</v>
      </c>
      <c r="T1985" s="3">
        <f t="shared" si="152"/>
        <v>1159.4662000000003</v>
      </c>
      <c r="U1985" s="4">
        <f t="shared" si="153"/>
        <v>0.24108108108108112</v>
      </c>
      <c r="V1985" s="5">
        <f t="shared" si="154"/>
        <v>35.927854000000004</v>
      </c>
    </row>
    <row r="1986" spans="1:22" x14ac:dyDescent="0.25">
      <c r="A1986" s="2" t="s">
        <v>2020</v>
      </c>
      <c r="B1986" s="2" t="s">
        <v>45</v>
      </c>
      <c r="C1986" s="2" t="s">
        <v>27</v>
      </c>
      <c r="D1986" s="2" t="s">
        <v>28</v>
      </c>
      <c r="E1986" s="2">
        <v>547.29999999999995</v>
      </c>
      <c r="F1986" s="2">
        <v>9.09</v>
      </c>
      <c r="G1986" s="2">
        <v>30.03</v>
      </c>
      <c r="H1986" s="2">
        <v>5.6</v>
      </c>
      <c r="I1986" s="2">
        <v>1.9</v>
      </c>
      <c r="J1986" s="2">
        <v>20</v>
      </c>
      <c r="K1986" s="2" t="s">
        <v>29</v>
      </c>
      <c r="L1986" s="2">
        <v>7.78</v>
      </c>
      <c r="M1986" s="2" t="s">
        <v>40</v>
      </c>
      <c r="N1986" s="2">
        <v>98.62</v>
      </c>
      <c r="O1986" s="2" t="s">
        <v>23</v>
      </c>
      <c r="P1986" s="2">
        <v>3.22</v>
      </c>
      <c r="Q1986" s="2">
        <v>6.23</v>
      </c>
      <c r="R1986" s="3">
        <f t="shared" si="150"/>
        <v>1762.306</v>
      </c>
      <c r="S1986" s="3">
        <f t="shared" si="151"/>
        <v>3409.6790000000001</v>
      </c>
      <c r="T1986" s="3">
        <f t="shared" si="152"/>
        <v>1647.373</v>
      </c>
      <c r="U1986" s="4">
        <f t="shared" si="153"/>
        <v>0.48314606741573035</v>
      </c>
      <c r="V1986" s="5">
        <f t="shared" si="154"/>
        <v>42.579939999999993</v>
      </c>
    </row>
    <row r="1987" spans="1:22" x14ac:dyDescent="0.25">
      <c r="A1987" s="2" t="s">
        <v>2021</v>
      </c>
      <c r="B1987" s="2" t="s">
        <v>45</v>
      </c>
      <c r="C1987" s="2" t="s">
        <v>27</v>
      </c>
      <c r="D1987" s="2" t="s">
        <v>28</v>
      </c>
      <c r="E1987" s="2">
        <v>435.44</v>
      </c>
      <c r="F1987" s="2">
        <v>11.97</v>
      </c>
      <c r="G1987" s="2">
        <v>20.87</v>
      </c>
      <c r="H1987" s="2">
        <v>0.7</v>
      </c>
      <c r="I1987" s="2">
        <v>0.2</v>
      </c>
      <c r="J1987" s="2">
        <v>25</v>
      </c>
      <c r="K1987" s="2" t="s">
        <v>29</v>
      </c>
      <c r="L1987" s="2">
        <v>7.25</v>
      </c>
      <c r="M1987" s="2" t="s">
        <v>37</v>
      </c>
      <c r="N1987" s="2">
        <v>97.33</v>
      </c>
      <c r="O1987" s="2" t="s">
        <v>24</v>
      </c>
      <c r="P1987" s="2">
        <v>6.8</v>
      </c>
      <c r="Q1987" s="2">
        <v>14.11</v>
      </c>
      <c r="R1987" s="3">
        <f t="shared" ref="R1987:R2001" si="155">E1987*P1987</f>
        <v>2960.9919999999997</v>
      </c>
      <c r="S1987" s="3">
        <f t="shared" ref="S1987:S2001" si="156">E1987*Q1987</f>
        <v>6144.0583999999999</v>
      </c>
      <c r="T1987" s="3">
        <f t="shared" ref="T1987:T2001" si="157">S1987-R1987</f>
        <v>3183.0664000000002</v>
      </c>
      <c r="U1987" s="4">
        <f t="shared" ref="U1987:U2001" si="158">T1987/S1987</f>
        <v>0.51807228915662651</v>
      </c>
      <c r="V1987" s="5">
        <f t="shared" ref="V1987:V2001" si="159">E1987*L1987/100</f>
        <v>31.569400000000002</v>
      </c>
    </row>
    <row r="1988" spans="1:22" x14ac:dyDescent="0.25">
      <c r="A1988" s="2" t="s">
        <v>2022</v>
      </c>
      <c r="B1988" s="2" t="s">
        <v>45</v>
      </c>
      <c r="C1988" s="2" t="s">
        <v>27</v>
      </c>
      <c r="D1988" s="2" t="s">
        <v>20</v>
      </c>
      <c r="E1988" s="2">
        <v>333.89</v>
      </c>
      <c r="F1988" s="2">
        <v>11.37</v>
      </c>
      <c r="G1988" s="2">
        <v>26.97</v>
      </c>
      <c r="H1988" s="2">
        <v>1.1000000000000001</v>
      </c>
      <c r="I1988" s="2">
        <v>0.3</v>
      </c>
      <c r="J1988" s="2">
        <v>16</v>
      </c>
      <c r="K1988" s="2" t="s">
        <v>29</v>
      </c>
      <c r="L1988" s="2">
        <v>7.5</v>
      </c>
      <c r="M1988" s="2" t="s">
        <v>22</v>
      </c>
      <c r="N1988" s="2">
        <v>61.56</v>
      </c>
      <c r="O1988" s="2" t="s">
        <v>30</v>
      </c>
      <c r="P1988" s="2">
        <v>8.64</v>
      </c>
      <c r="Q1988" s="2">
        <v>7.76</v>
      </c>
      <c r="R1988" s="3">
        <f t="shared" si="155"/>
        <v>2884.8096</v>
      </c>
      <c r="S1988" s="3">
        <f t="shared" si="156"/>
        <v>2590.9863999999998</v>
      </c>
      <c r="T1988" s="3">
        <f t="shared" si="157"/>
        <v>-293.82320000000027</v>
      </c>
      <c r="U1988" s="4">
        <f t="shared" si="158"/>
        <v>-0.11340206185567021</v>
      </c>
      <c r="V1988" s="5">
        <f t="shared" si="159"/>
        <v>25.041749999999997</v>
      </c>
    </row>
    <row r="1989" spans="1:22" x14ac:dyDescent="0.25">
      <c r="A1989" s="2" t="s">
        <v>2023</v>
      </c>
      <c r="B1989" s="2" t="s">
        <v>26</v>
      </c>
      <c r="C1989" s="2" t="s">
        <v>43</v>
      </c>
      <c r="D1989" s="2" t="s">
        <v>20</v>
      </c>
      <c r="E1989" s="2">
        <v>550.33000000000004</v>
      </c>
      <c r="F1989" s="2">
        <v>13.69</v>
      </c>
      <c r="G1989" s="2">
        <v>23.58</v>
      </c>
      <c r="H1989" s="2">
        <v>3.1</v>
      </c>
      <c r="I1989" s="2">
        <v>0.6</v>
      </c>
      <c r="J1989" s="2">
        <v>9</v>
      </c>
      <c r="K1989" s="2" t="s">
        <v>29</v>
      </c>
      <c r="L1989" s="2">
        <v>1.49</v>
      </c>
      <c r="M1989" s="2" t="s">
        <v>22</v>
      </c>
      <c r="N1989" s="2">
        <v>58.54</v>
      </c>
      <c r="O1989" s="2" t="s">
        <v>23</v>
      </c>
      <c r="P1989" s="2">
        <v>4.93</v>
      </c>
      <c r="Q1989" s="2">
        <v>7.24</v>
      </c>
      <c r="R1989" s="3">
        <f t="shared" si="155"/>
        <v>2713.1269000000002</v>
      </c>
      <c r="S1989" s="3">
        <f t="shared" si="156"/>
        <v>3984.3892000000005</v>
      </c>
      <c r="T1989" s="3">
        <f t="shared" si="157"/>
        <v>1271.2623000000003</v>
      </c>
      <c r="U1989" s="4">
        <f t="shared" si="158"/>
        <v>0.31906077348066303</v>
      </c>
      <c r="V1989" s="5">
        <f t="shared" si="159"/>
        <v>8.199917000000001</v>
      </c>
    </row>
    <row r="1990" spans="1:22" x14ac:dyDescent="0.25">
      <c r="A1990" s="2" t="s">
        <v>2024</v>
      </c>
      <c r="B1990" s="2" t="s">
        <v>18</v>
      </c>
      <c r="C1990" s="2" t="s">
        <v>19</v>
      </c>
      <c r="D1990" s="2" t="s">
        <v>28</v>
      </c>
      <c r="E1990" s="2">
        <v>293.66000000000003</v>
      </c>
      <c r="F1990" s="2">
        <v>16.61</v>
      </c>
      <c r="G1990" s="2">
        <v>32.94</v>
      </c>
      <c r="H1990" s="2">
        <v>1.6</v>
      </c>
      <c r="I1990" s="2">
        <v>1.2</v>
      </c>
      <c r="J1990" s="2">
        <v>17</v>
      </c>
      <c r="K1990" s="2" t="s">
        <v>29</v>
      </c>
      <c r="L1990" s="2">
        <v>7.09</v>
      </c>
      <c r="M1990" s="2" t="s">
        <v>40</v>
      </c>
      <c r="N1990" s="2">
        <v>78.040000000000006</v>
      </c>
      <c r="O1990" s="2" t="s">
        <v>23</v>
      </c>
      <c r="P1990" s="2">
        <v>9.2799999999999994</v>
      </c>
      <c r="Q1990" s="2">
        <v>13.16</v>
      </c>
      <c r="R1990" s="3">
        <f t="shared" si="155"/>
        <v>2725.1648</v>
      </c>
      <c r="S1990" s="3">
        <f t="shared" si="156"/>
        <v>3864.5656000000004</v>
      </c>
      <c r="T1990" s="3">
        <f t="shared" si="157"/>
        <v>1139.4008000000003</v>
      </c>
      <c r="U1990" s="4">
        <f t="shared" si="158"/>
        <v>0.29483282674772043</v>
      </c>
      <c r="V1990" s="5">
        <f t="shared" si="159"/>
        <v>20.820494000000004</v>
      </c>
    </row>
    <row r="1991" spans="1:22" x14ac:dyDescent="0.25">
      <c r="A1991" s="2" t="s">
        <v>2025</v>
      </c>
      <c r="B1991" s="2" t="s">
        <v>32</v>
      </c>
      <c r="C1991" s="2" t="s">
        <v>27</v>
      </c>
      <c r="D1991" s="2" t="s">
        <v>28</v>
      </c>
      <c r="E1991" s="2">
        <v>468.26</v>
      </c>
      <c r="F1991" s="2">
        <v>8.7799999999999994</v>
      </c>
      <c r="G1991" s="2">
        <v>29.29</v>
      </c>
      <c r="H1991" s="2">
        <v>1.6</v>
      </c>
      <c r="I1991" s="2">
        <v>0.5</v>
      </c>
      <c r="J1991" s="2">
        <v>27</v>
      </c>
      <c r="K1991" s="2" t="s">
        <v>29</v>
      </c>
      <c r="L1991" s="2">
        <v>2.23</v>
      </c>
      <c r="M1991" s="2" t="s">
        <v>40</v>
      </c>
      <c r="N1991" s="2">
        <v>79.34</v>
      </c>
      <c r="O1991" s="2" t="s">
        <v>24</v>
      </c>
      <c r="P1991" s="2">
        <v>4.6500000000000004</v>
      </c>
      <c r="Q1991" s="2">
        <v>14.81</v>
      </c>
      <c r="R1991" s="3">
        <f t="shared" si="155"/>
        <v>2177.4090000000001</v>
      </c>
      <c r="S1991" s="3">
        <f t="shared" si="156"/>
        <v>6934.9305999999997</v>
      </c>
      <c r="T1991" s="3">
        <f t="shared" si="157"/>
        <v>4757.5216</v>
      </c>
      <c r="U1991" s="4">
        <f t="shared" si="158"/>
        <v>0.68602295746117492</v>
      </c>
      <c r="V1991" s="5">
        <f t="shared" si="159"/>
        <v>10.442198000000001</v>
      </c>
    </row>
    <row r="1992" spans="1:22" x14ac:dyDescent="0.25">
      <c r="A1992" s="2" t="s">
        <v>2026</v>
      </c>
      <c r="B1992" s="2" t="s">
        <v>26</v>
      </c>
      <c r="C1992" s="2" t="s">
        <v>27</v>
      </c>
      <c r="D1992" s="2" t="s">
        <v>20</v>
      </c>
      <c r="E1992" s="2">
        <v>594.12</v>
      </c>
      <c r="F1992" s="2">
        <v>8.73</v>
      </c>
      <c r="G1992" s="2">
        <v>29.91</v>
      </c>
      <c r="H1992" s="2">
        <v>0.1</v>
      </c>
      <c r="I1992" s="2">
        <v>2.6</v>
      </c>
      <c r="J1992" s="2">
        <v>16</v>
      </c>
      <c r="K1992" s="2" t="s">
        <v>29</v>
      </c>
      <c r="L1992" s="2">
        <v>1.43</v>
      </c>
      <c r="M1992" s="2" t="s">
        <v>37</v>
      </c>
      <c r="N1992" s="2">
        <v>83.11</v>
      </c>
      <c r="O1992" s="2" t="s">
        <v>30</v>
      </c>
      <c r="P1992" s="2">
        <v>3.54</v>
      </c>
      <c r="Q1992" s="2">
        <v>11.6</v>
      </c>
      <c r="R1992" s="3">
        <f t="shared" si="155"/>
        <v>2103.1848</v>
      </c>
      <c r="S1992" s="3">
        <f t="shared" si="156"/>
        <v>6891.7919999999995</v>
      </c>
      <c r="T1992" s="3">
        <f t="shared" si="157"/>
        <v>4788.6071999999995</v>
      </c>
      <c r="U1992" s="4">
        <f t="shared" si="158"/>
        <v>0.69482758620689655</v>
      </c>
      <c r="V1992" s="5">
        <f t="shared" si="159"/>
        <v>8.4959159999999994</v>
      </c>
    </row>
    <row r="1993" spans="1:22" x14ac:dyDescent="0.25">
      <c r="A1993" s="2" t="s">
        <v>2027</v>
      </c>
      <c r="B1993" s="2" t="s">
        <v>18</v>
      </c>
      <c r="C1993" s="2" t="s">
        <v>43</v>
      </c>
      <c r="D1993" s="2" t="s">
        <v>28</v>
      </c>
      <c r="E1993" s="2">
        <v>519.19000000000005</v>
      </c>
      <c r="F1993" s="2">
        <v>16.5</v>
      </c>
      <c r="G1993" s="2">
        <v>28.55</v>
      </c>
      <c r="H1993" s="2">
        <v>1</v>
      </c>
      <c r="I1993" s="2">
        <v>0.1</v>
      </c>
      <c r="J1993" s="2">
        <v>23</v>
      </c>
      <c r="K1993" s="2" t="s">
        <v>29</v>
      </c>
      <c r="L1993" s="2">
        <v>7.69</v>
      </c>
      <c r="M1993" s="2" t="s">
        <v>37</v>
      </c>
      <c r="N1993" s="2">
        <v>87.07</v>
      </c>
      <c r="O1993" s="2" t="s">
        <v>30</v>
      </c>
      <c r="P1993" s="2">
        <v>4.12</v>
      </c>
      <c r="Q1993" s="2">
        <v>11.25</v>
      </c>
      <c r="R1993" s="3">
        <f t="shared" si="155"/>
        <v>2139.0628000000002</v>
      </c>
      <c r="S1993" s="3">
        <f t="shared" si="156"/>
        <v>5840.8875000000007</v>
      </c>
      <c r="T1993" s="3">
        <f t="shared" si="157"/>
        <v>3701.8247000000006</v>
      </c>
      <c r="U1993" s="4">
        <f t="shared" si="158"/>
        <v>0.63377777777777777</v>
      </c>
      <c r="V1993" s="5">
        <f t="shared" si="159"/>
        <v>39.925711000000007</v>
      </c>
    </row>
    <row r="1994" spans="1:22" x14ac:dyDescent="0.25">
      <c r="A1994" s="2" t="s">
        <v>2028</v>
      </c>
      <c r="B1994" s="2" t="s">
        <v>18</v>
      </c>
      <c r="C1994" s="2" t="s">
        <v>27</v>
      </c>
      <c r="D1994" s="2" t="s">
        <v>20</v>
      </c>
      <c r="E1994" s="2">
        <v>694.83</v>
      </c>
      <c r="F1994" s="2">
        <v>10.130000000000001</v>
      </c>
      <c r="G1994" s="2">
        <v>39.119999999999997</v>
      </c>
      <c r="H1994" s="2">
        <v>0.6</v>
      </c>
      <c r="I1994" s="2">
        <v>0.5</v>
      </c>
      <c r="J1994" s="2">
        <v>6</v>
      </c>
      <c r="K1994" s="2" t="s">
        <v>29</v>
      </c>
      <c r="L1994" s="2">
        <v>8.9499999999999993</v>
      </c>
      <c r="M1994" s="2" t="s">
        <v>37</v>
      </c>
      <c r="N1994" s="2">
        <v>80.05</v>
      </c>
      <c r="O1994" s="2" t="s">
        <v>23</v>
      </c>
      <c r="P1994" s="2">
        <v>8.86</v>
      </c>
      <c r="Q1994" s="2">
        <v>8.19</v>
      </c>
      <c r="R1994" s="3">
        <f t="shared" si="155"/>
        <v>6156.1938</v>
      </c>
      <c r="S1994" s="3">
        <f t="shared" si="156"/>
        <v>5690.6576999999997</v>
      </c>
      <c r="T1994" s="3">
        <f t="shared" si="157"/>
        <v>-465.53610000000026</v>
      </c>
      <c r="U1994" s="4">
        <f t="shared" si="158"/>
        <v>-8.180708180708185E-2</v>
      </c>
      <c r="V1994" s="5">
        <f t="shared" si="159"/>
        <v>62.187285000000003</v>
      </c>
    </row>
    <row r="1995" spans="1:22" x14ac:dyDescent="0.25">
      <c r="A1995" s="2" t="s">
        <v>2029</v>
      </c>
      <c r="B1995" s="2" t="s">
        <v>32</v>
      </c>
      <c r="C1995" s="2" t="s">
        <v>43</v>
      </c>
      <c r="D1995" s="2" t="s">
        <v>28</v>
      </c>
      <c r="E1995" s="2">
        <v>602.51</v>
      </c>
      <c r="F1995" s="2">
        <v>14.69</v>
      </c>
      <c r="G1995" s="2">
        <v>24.29</v>
      </c>
      <c r="H1995" s="2">
        <v>14.6</v>
      </c>
      <c r="I1995" s="2">
        <v>1.2</v>
      </c>
      <c r="J1995" s="2">
        <v>23</v>
      </c>
      <c r="K1995" s="2" t="s">
        <v>34</v>
      </c>
      <c r="L1995" s="2">
        <v>7.31</v>
      </c>
      <c r="M1995" s="2" t="s">
        <v>37</v>
      </c>
      <c r="N1995" s="2">
        <v>55.59</v>
      </c>
      <c r="O1995" s="2" t="s">
        <v>24</v>
      </c>
      <c r="P1995" s="2">
        <v>5.92</v>
      </c>
      <c r="Q1995" s="2">
        <v>5.2</v>
      </c>
      <c r="R1995" s="3">
        <f t="shared" si="155"/>
        <v>3566.8591999999999</v>
      </c>
      <c r="S1995" s="3">
        <f t="shared" si="156"/>
        <v>3133.0520000000001</v>
      </c>
      <c r="T1995" s="3">
        <f t="shared" si="157"/>
        <v>-433.80719999999974</v>
      </c>
      <c r="U1995" s="4">
        <f t="shared" si="158"/>
        <v>-0.13846153846153839</v>
      </c>
      <c r="V1995" s="5">
        <f t="shared" si="159"/>
        <v>44.043480999999993</v>
      </c>
    </row>
    <row r="1996" spans="1:22" x14ac:dyDescent="0.25">
      <c r="A1996" s="2" t="s">
        <v>2030</v>
      </c>
      <c r="B1996" s="2" t="s">
        <v>32</v>
      </c>
      <c r="C1996" s="2" t="s">
        <v>33</v>
      </c>
      <c r="D1996" s="2" t="s">
        <v>20</v>
      </c>
      <c r="E1996" s="2">
        <v>434.61</v>
      </c>
      <c r="F1996" s="2">
        <v>13.43</v>
      </c>
      <c r="G1996" s="2">
        <v>30.33</v>
      </c>
      <c r="H1996" s="2">
        <v>0.7</v>
      </c>
      <c r="I1996" s="2">
        <v>0.3</v>
      </c>
      <c r="J1996" s="2">
        <v>7</v>
      </c>
      <c r="K1996" s="2" t="s">
        <v>29</v>
      </c>
      <c r="L1996" s="2">
        <v>8.15</v>
      </c>
      <c r="M1996" s="2" t="s">
        <v>37</v>
      </c>
      <c r="N1996" s="2">
        <v>89.51</v>
      </c>
      <c r="O1996" s="2" t="s">
        <v>23</v>
      </c>
      <c r="P1996" s="2">
        <v>8.58</v>
      </c>
      <c r="Q1996" s="2">
        <v>6.92</v>
      </c>
      <c r="R1996" s="3">
        <f t="shared" si="155"/>
        <v>3728.9538000000002</v>
      </c>
      <c r="S1996" s="3">
        <f t="shared" si="156"/>
        <v>3007.5012000000002</v>
      </c>
      <c r="T1996" s="3">
        <f t="shared" si="157"/>
        <v>-721.45260000000007</v>
      </c>
      <c r="U1996" s="4">
        <f t="shared" si="158"/>
        <v>-0.23988439306358383</v>
      </c>
      <c r="V1996" s="5">
        <f t="shared" si="159"/>
        <v>35.420715000000001</v>
      </c>
    </row>
    <row r="1997" spans="1:22" x14ac:dyDescent="0.25">
      <c r="A1997" s="2" t="s">
        <v>2031</v>
      </c>
      <c r="B1997" s="2" t="s">
        <v>32</v>
      </c>
      <c r="C1997" s="2" t="s">
        <v>27</v>
      </c>
      <c r="D1997" s="2" t="s">
        <v>20</v>
      </c>
      <c r="E1997" s="2">
        <v>502.73</v>
      </c>
      <c r="F1997" s="2">
        <v>16.329999999999998</v>
      </c>
      <c r="G1997" s="2">
        <v>34.72</v>
      </c>
      <c r="H1997" s="2">
        <v>4.3</v>
      </c>
      <c r="I1997" s="2">
        <v>1.1000000000000001</v>
      </c>
      <c r="J1997" s="2">
        <v>24</v>
      </c>
      <c r="K1997" s="2" t="s">
        <v>34</v>
      </c>
      <c r="L1997" s="2">
        <v>9.92</v>
      </c>
      <c r="M1997" s="2" t="s">
        <v>22</v>
      </c>
      <c r="N1997" s="2">
        <v>53.98</v>
      </c>
      <c r="O1997" s="2" t="s">
        <v>23</v>
      </c>
      <c r="P1997" s="2">
        <v>6.72</v>
      </c>
      <c r="Q1997" s="2">
        <v>10.84</v>
      </c>
      <c r="R1997" s="3">
        <f t="shared" si="155"/>
        <v>3378.3456000000001</v>
      </c>
      <c r="S1997" s="3">
        <f t="shared" si="156"/>
        <v>5449.5932000000003</v>
      </c>
      <c r="T1997" s="3">
        <f t="shared" si="157"/>
        <v>2071.2476000000001</v>
      </c>
      <c r="U1997" s="4">
        <f t="shared" si="158"/>
        <v>0.38007380073800739</v>
      </c>
      <c r="V1997" s="5">
        <f t="shared" si="159"/>
        <v>49.870816000000005</v>
      </c>
    </row>
    <row r="1998" spans="1:22" x14ac:dyDescent="0.25">
      <c r="A1998" s="2" t="s">
        <v>2032</v>
      </c>
      <c r="B1998" s="2" t="s">
        <v>45</v>
      </c>
      <c r="C1998" s="2" t="s">
        <v>27</v>
      </c>
      <c r="D1998" s="2" t="s">
        <v>28</v>
      </c>
      <c r="E1998" s="2">
        <v>495.26</v>
      </c>
      <c r="F1998" s="2">
        <v>9.25</v>
      </c>
      <c r="G1998" s="2">
        <v>31.14</v>
      </c>
      <c r="H1998" s="2">
        <v>2.2999999999999998</v>
      </c>
      <c r="I1998" s="2">
        <v>0.2</v>
      </c>
      <c r="J1998" s="2">
        <v>16</v>
      </c>
      <c r="K1998" s="2" t="s">
        <v>21</v>
      </c>
      <c r="L1998" s="2">
        <v>1.78</v>
      </c>
      <c r="M1998" s="2" t="s">
        <v>22</v>
      </c>
      <c r="N1998" s="2">
        <v>51</v>
      </c>
      <c r="O1998" s="2" t="s">
        <v>24</v>
      </c>
      <c r="P1998" s="2">
        <v>6.36</v>
      </c>
      <c r="Q1998" s="2">
        <v>6.51</v>
      </c>
      <c r="R1998" s="3">
        <f t="shared" si="155"/>
        <v>3149.8535999999999</v>
      </c>
      <c r="S1998" s="3">
        <f t="shared" si="156"/>
        <v>3224.1425999999997</v>
      </c>
      <c r="T1998" s="3">
        <f t="shared" si="157"/>
        <v>74.28899999999976</v>
      </c>
      <c r="U1998" s="4">
        <f t="shared" si="158"/>
        <v>2.3041474654377808E-2</v>
      </c>
      <c r="V1998" s="5">
        <f t="shared" si="159"/>
        <v>8.8156280000000002</v>
      </c>
    </row>
    <row r="1999" spans="1:22" x14ac:dyDescent="0.25">
      <c r="A1999" s="2" t="s">
        <v>2033</v>
      </c>
      <c r="B1999" s="2" t="s">
        <v>32</v>
      </c>
      <c r="C1999" s="2" t="s">
        <v>33</v>
      </c>
      <c r="D1999" s="2" t="s">
        <v>20</v>
      </c>
      <c r="E1999" s="2">
        <v>341.78</v>
      </c>
      <c r="F1999" s="2">
        <v>9.3000000000000007</v>
      </c>
      <c r="G1999" s="2">
        <v>38.58</v>
      </c>
      <c r="H1999" s="2">
        <v>0.8</v>
      </c>
      <c r="I1999" s="2">
        <v>0.1</v>
      </c>
      <c r="J1999" s="2">
        <v>8</v>
      </c>
      <c r="K1999" s="2" t="s">
        <v>34</v>
      </c>
      <c r="L1999" s="2">
        <v>9.67</v>
      </c>
      <c r="M1999" s="2" t="s">
        <v>37</v>
      </c>
      <c r="N1999" s="2">
        <v>88.48</v>
      </c>
      <c r="O1999" s="2" t="s">
        <v>30</v>
      </c>
      <c r="P1999" s="2">
        <v>8.65</v>
      </c>
      <c r="Q1999" s="2">
        <v>13.84</v>
      </c>
      <c r="R1999" s="3">
        <f t="shared" si="155"/>
        <v>2956.3969999999999</v>
      </c>
      <c r="S1999" s="3">
        <f t="shared" si="156"/>
        <v>4730.2351999999992</v>
      </c>
      <c r="T1999" s="3">
        <f t="shared" si="157"/>
        <v>1773.8381999999992</v>
      </c>
      <c r="U1999" s="4">
        <f t="shared" si="158"/>
        <v>0.37499999999999989</v>
      </c>
      <c r="V1999" s="5">
        <f t="shared" si="159"/>
        <v>33.050125999999999</v>
      </c>
    </row>
    <row r="2000" spans="1:22" x14ac:dyDescent="0.25">
      <c r="A2000" s="2" t="s">
        <v>2034</v>
      </c>
      <c r="B2000" s="2" t="s">
        <v>18</v>
      </c>
      <c r="C2000" s="2" t="s">
        <v>33</v>
      </c>
      <c r="D2000" s="2" t="s">
        <v>20</v>
      </c>
      <c r="E2000" s="2">
        <v>405.96</v>
      </c>
      <c r="F2000" s="2">
        <v>13.57</v>
      </c>
      <c r="G2000" s="2">
        <v>27.56</v>
      </c>
      <c r="H2000" s="2">
        <v>1.6</v>
      </c>
      <c r="I2000" s="2">
        <v>0.1</v>
      </c>
      <c r="J2000" s="2">
        <v>10</v>
      </c>
      <c r="K2000" s="2" t="s">
        <v>21</v>
      </c>
      <c r="L2000" s="2">
        <v>6.21</v>
      </c>
      <c r="M2000" s="2" t="s">
        <v>22</v>
      </c>
      <c r="N2000" s="2">
        <v>77.42</v>
      </c>
      <c r="O2000" s="2" t="s">
        <v>23</v>
      </c>
      <c r="P2000" s="2">
        <v>5.96</v>
      </c>
      <c r="Q2000" s="2">
        <v>6.88</v>
      </c>
      <c r="R2000" s="3">
        <f t="shared" si="155"/>
        <v>2419.5216</v>
      </c>
      <c r="S2000" s="3">
        <f t="shared" si="156"/>
        <v>2793.0047999999997</v>
      </c>
      <c r="T2000" s="3">
        <f t="shared" si="157"/>
        <v>373.48319999999967</v>
      </c>
      <c r="U2000" s="4">
        <f t="shared" si="158"/>
        <v>0.13372093023255804</v>
      </c>
      <c r="V2000" s="5">
        <f t="shared" si="159"/>
        <v>25.210115999999999</v>
      </c>
    </row>
    <row r="2001" spans="1:22" x14ac:dyDescent="0.25">
      <c r="A2001" s="2" t="s">
        <v>2035</v>
      </c>
      <c r="B2001" s="2" t="s">
        <v>32</v>
      </c>
      <c r="C2001" s="2" t="s">
        <v>33</v>
      </c>
      <c r="D2001" s="2" t="s">
        <v>20</v>
      </c>
      <c r="E2001" s="2">
        <v>443.92</v>
      </c>
      <c r="F2001" s="2">
        <v>17.46</v>
      </c>
      <c r="G2001" s="2">
        <v>29.27</v>
      </c>
      <c r="H2001" s="2">
        <v>3.7</v>
      </c>
      <c r="I2001" s="2">
        <v>2.7</v>
      </c>
      <c r="J2001" s="2">
        <v>14</v>
      </c>
      <c r="K2001" s="2" t="s">
        <v>34</v>
      </c>
      <c r="L2001" s="2">
        <v>8.23</v>
      </c>
      <c r="M2001" s="2" t="s">
        <v>37</v>
      </c>
      <c r="N2001" s="2">
        <v>84.93</v>
      </c>
      <c r="O2001" s="2" t="s">
        <v>23</v>
      </c>
      <c r="P2001" s="2">
        <v>8.61</v>
      </c>
      <c r="Q2001" s="2">
        <v>10.220000000000001</v>
      </c>
      <c r="R2001" s="3">
        <f t="shared" si="155"/>
        <v>3822.1511999999998</v>
      </c>
      <c r="S2001" s="3">
        <f t="shared" si="156"/>
        <v>4536.8624000000009</v>
      </c>
      <c r="T2001" s="3">
        <f t="shared" si="157"/>
        <v>714.7112000000011</v>
      </c>
      <c r="U2001" s="4">
        <f t="shared" si="158"/>
        <v>0.15753424657534268</v>
      </c>
      <c r="V2001" s="5">
        <f t="shared" si="159"/>
        <v>36.534616000000007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B1DA0-7B7F-4E4F-8156-1869B9F144A2}">
  <sheetPr codeName="Sheet3"/>
  <dimension ref="D2:E12"/>
  <sheetViews>
    <sheetView workbookViewId="0">
      <selection activeCell="H4" sqref="H4"/>
    </sheetView>
  </sheetViews>
  <sheetFormatPr defaultRowHeight="15" x14ac:dyDescent="0.25"/>
  <cols>
    <col min="1" max="1" width="6.5703125" customWidth="1"/>
    <col min="2" max="2" width="7.140625" customWidth="1"/>
    <col min="3" max="3" width="6.7109375" customWidth="1"/>
    <col min="4" max="4" width="30.7109375" customWidth="1"/>
    <col min="5" max="5" width="29" customWidth="1"/>
  </cols>
  <sheetData>
    <row r="2" spans="4:5" ht="36.75" customHeight="1" x14ac:dyDescent="0.7">
      <c r="D2" s="58" t="s">
        <v>2051</v>
      </c>
      <c r="E2" s="58"/>
    </row>
    <row r="4" spans="4:5" ht="24" customHeight="1" x14ac:dyDescent="0.25">
      <c r="D4" s="11" t="s">
        <v>2041</v>
      </c>
      <c r="E4" s="11" t="s">
        <v>2042</v>
      </c>
    </row>
    <row r="5" spans="4:5" ht="15.75" x14ac:dyDescent="0.25">
      <c r="D5" s="12" t="s">
        <v>2043</v>
      </c>
      <c r="E5" s="13">
        <f>SUM(agri_supplychain_cleaned!E2:E2001)</f>
        <v>995261.92999999842</v>
      </c>
    </row>
    <row r="6" spans="4:5" ht="15.75" x14ac:dyDescent="0.25">
      <c r="D6" s="12" t="s">
        <v>2044</v>
      </c>
      <c r="E6" s="13">
        <f>SUM(agri_supplychain_cleaned!R2:R2001)</f>
        <v>6358249.5834000055</v>
      </c>
    </row>
    <row r="7" spans="4:5" ht="15.75" x14ac:dyDescent="0.25">
      <c r="D7" s="12" t="s">
        <v>2045</v>
      </c>
      <c r="E7" s="13">
        <f>SUM(agri_supplychain_cleaned!S2:S2001)</f>
        <v>9909607.6140999924</v>
      </c>
    </row>
    <row r="8" spans="4:5" ht="15.75" x14ac:dyDescent="0.25">
      <c r="D8" s="12" t="s">
        <v>2046</v>
      </c>
      <c r="E8" s="13">
        <f>SUM(agri_supplychain_cleaned!T2:T2001)</f>
        <v>3551358.0307000019</v>
      </c>
    </row>
    <row r="9" spans="4:5" ht="15.75" x14ac:dyDescent="0.25">
      <c r="D9" s="12" t="s">
        <v>2047</v>
      </c>
      <c r="E9" s="14">
        <f>AVERAGE(agri_supplychain_cleaned!U2:U2001)</f>
        <v>0.29362273007042161</v>
      </c>
    </row>
    <row r="10" spans="4:5" ht="15.75" x14ac:dyDescent="0.25">
      <c r="D10" s="12" t="s">
        <v>2048</v>
      </c>
      <c r="E10" s="15">
        <f>SUM(agri_supplychain_cleaned!V2:V2001)</f>
        <v>51696.812493000027</v>
      </c>
    </row>
    <row r="11" spans="4:5" ht="15.75" x14ac:dyDescent="0.25">
      <c r="D11" s="12" t="s">
        <v>2049</v>
      </c>
      <c r="E11" s="12">
        <f>AVERAGE(agri_supplychain_cleaned!H2:H2001)</f>
        <v>1.9897999999999956</v>
      </c>
    </row>
    <row r="12" spans="4:5" ht="15.75" x14ac:dyDescent="0.25">
      <c r="D12" s="12" t="s">
        <v>2050</v>
      </c>
      <c r="E12" s="14" t="str">
        <f>TEXT(AVERAGE(agri_supplychain_cleaned!N2:N2001),"0.00")&amp;"%"</f>
        <v>74.97%</v>
      </c>
    </row>
  </sheetData>
  <mergeCells count="1">
    <mergeCell ref="D2:E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008F4-3EB6-4FFB-83E2-75E64924D00C}">
  <sheetPr codeName="Sheet4"/>
  <dimension ref="A2:G17"/>
  <sheetViews>
    <sheetView zoomScale="97" workbookViewId="0">
      <selection activeCell="J12" sqref="J12"/>
    </sheetView>
  </sheetViews>
  <sheetFormatPr defaultRowHeight="15" x14ac:dyDescent="0.25"/>
  <cols>
    <col min="1" max="1" width="13.5703125" bestFit="1" customWidth="1"/>
    <col min="2" max="2" width="15.85546875" bestFit="1" customWidth="1"/>
    <col min="3" max="3" width="11.28515625" customWidth="1"/>
    <col min="4" max="6" width="17.7109375" bestFit="1" customWidth="1"/>
  </cols>
  <sheetData>
    <row r="2" spans="1:7" ht="33.75" x14ac:dyDescent="0.5">
      <c r="A2" s="42" t="s">
        <v>2059</v>
      </c>
      <c r="B2" s="59"/>
      <c r="C2" s="59"/>
      <c r="D2" s="59"/>
      <c r="E2" s="59"/>
      <c r="F2" s="59"/>
      <c r="G2" s="59"/>
    </row>
    <row r="4" spans="1:7" ht="15.75" x14ac:dyDescent="0.25">
      <c r="A4" s="6" t="s">
        <v>2058</v>
      </c>
      <c r="B4" s="7" t="s">
        <v>2053</v>
      </c>
      <c r="C4" s="7"/>
      <c r="D4" s="7"/>
      <c r="E4" s="7"/>
      <c r="F4" s="7"/>
      <c r="G4" s="7"/>
    </row>
    <row r="5" spans="1:7" ht="15.75" x14ac:dyDescent="0.25">
      <c r="A5" s="8" t="s">
        <v>26</v>
      </c>
      <c r="B5" s="9">
        <v>848406.69609999971</v>
      </c>
      <c r="C5" s="7"/>
      <c r="D5" s="7"/>
      <c r="E5" s="7"/>
      <c r="F5" s="7"/>
      <c r="G5" s="7"/>
    </row>
    <row r="6" spans="1:7" ht="15.75" x14ac:dyDescent="0.25">
      <c r="A6" s="8" t="s">
        <v>18</v>
      </c>
      <c r="B6" s="9">
        <v>907182.6258000005</v>
      </c>
      <c r="C6" s="7"/>
      <c r="D6" s="7"/>
      <c r="E6" s="7"/>
      <c r="F6" s="7"/>
      <c r="G6" s="7"/>
    </row>
    <row r="7" spans="1:7" ht="15.75" x14ac:dyDescent="0.25">
      <c r="A7" s="8" t="s">
        <v>45</v>
      </c>
      <c r="B7" s="9">
        <v>905510.32959999971</v>
      </c>
      <c r="C7" s="7"/>
      <c r="D7" s="7"/>
      <c r="E7" s="7"/>
      <c r="F7" s="7"/>
      <c r="G7" s="7"/>
    </row>
    <row r="8" spans="1:7" ht="15.75" x14ac:dyDescent="0.25">
      <c r="A8" s="8" t="s">
        <v>32</v>
      </c>
      <c r="B8" s="9">
        <v>890258.37920000032</v>
      </c>
      <c r="C8" s="7"/>
      <c r="D8" s="7"/>
      <c r="E8" s="7"/>
      <c r="F8" s="7"/>
      <c r="G8" s="7"/>
    </row>
    <row r="9" spans="1:7" ht="15.75" x14ac:dyDescent="0.25">
      <c r="A9" s="8" t="s">
        <v>2052</v>
      </c>
      <c r="B9" s="9">
        <v>3551358.0307000005</v>
      </c>
      <c r="C9" s="7"/>
      <c r="D9" s="7"/>
      <c r="E9" s="7"/>
      <c r="F9" s="7"/>
      <c r="G9" s="7"/>
    </row>
    <row r="10" spans="1:7" ht="15.75" x14ac:dyDescent="0.25">
      <c r="A10" s="7"/>
      <c r="B10" s="7"/>
      <c r="C10" s="7"/>
      <c r="D10" s="7"/>
      <c r="E10" s="7"/>
      <c r="F10" s="7"/>
      <c r="G10" s="7"/>
    </row>
    <row r="11" spans="1:7" ht="15.75" x14ac:dyDescent="0.25">
      <c r="A11" s="7"/>
      <c r="B11" s="7"/>
      <c r="C11" s="7"/>
      <c r="D11" s="7"/>
      <c r="E11" s="7"/>
      <c r="F11" s="7"/>
      <c r="G11" s="7"/>
    </row>
    <row r="12" spans="1:7" ht="15.75" x14ac:dyDescent="0.25">
      <c r="A12" s="7"/>
      <c r="B12" s="7"/>
      <c r="C12" s="7"/>
      <c r="D12" s="7"/>
      <c r="E12" s="7"/>
      <c r="F12" s="7"/>
      <c r="G12" s="7"/>
    </row>
    <row r="13" spans="1:7" ht="15.75" x14ac:dyDescent="0.25">
      <c r="A13" s="7"/>
      <c r="B13" s="7"/>
      <c r="C13" s="7"/>
      <c r="D13" s="7"/>
      <c r="E13" s="7"/>
      <c r="F13" s="7"/>
      <c r="G13" s="7"/>
    </row>
    <row r="14" spans="1:7" ht="15.75" x14ac:dyDescent="0.25">
      <c r="A14" s="7"/>
      <c r="B14" s="7"/>
      <c r="C14" s="7"/>
      <c r="D14" s="7"/>
      <c r="E14" s="7"/>
      <c r="F14" s="7"/>
      <c r="G14" s="7"/>
    </row>
    <row r="15" spans="1:7" ht="15.75" x14ac:dyDescent="0.25">
      <c r="A15" s="7"/>
      <c r="B15" s="7"/>
      <c r="C15" s="7"/>
      <c r="D15" s="7"/>
      <c r="E15" s="7"/>
      <c r="F15" s="7"/>
      <c r="G15" s="7"/>
    </row>
    <row r="16" spans="1:7" ht="15.75" x14ac:dyDescent="0.25">
      <c r="A16" s="7"/>
      <c r="B16" s="7"/>
      <c r="C16" s="7"/>
      <c r="D16" s="7"/>
      <c r="E16" s="7"/>
      <c r="F16" s="7"/>
      <c r="G16" s="7"/>
    </row>
    <row r="17" spans="1:7" ht="15.75" x14ac:dyDescent="0.25">
      <c r="A17" s="7"/>
      <c r="B17" s="7"/>
      <c r="C17" s="7"/>
      <c r="D17" s="7"/>
      <c r="E17" s="7"/>
      <c r="F17" s="7"/>
      <c r="G17" s="7"/>
    </row>
  </sheetData>
  <mergeCells count="1">
    <mergeCell ref="A2:G2"/>
  </mergeCells>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E15942-5B48-4444-99E3-1BFB72470D92}">
  <sheetPr codeName="Sheet5"/>
  <dimension ref="A2:L18"/>
  <sheetViews>
    <sheetView workbookViewId="0">
      <selection activeCell="J12" sqref="J12"/>
    </sheetView>
  </sheetViews>
  <sheetFormatPr defaultRowHeight="15" x14ac:dyDescent="0.25"/>
  <cols>
    <col min="1" max="1" width="12.5703125" bestFit="1" customWidth="1"/>
    <col min="2" max="2" width="15.42578125" bestFit="1" customWidth="1"/>
    <col min="3" max="3" width="9.85546875" customWidth="1"/>
    <col min="4" max="4" width="17" customWidth="1"/>
    <col min="5" max="5" width="15.5703125" customWidth="1"/>
    <col min="6" max="6" width="13.85546875" customWidth="1"/>
    <col min="7" max="7" width="14.28515625" customWidth="1"/>
  </cols>
  <sheetData>
    <row r="2" spans="1:12" ht="33.75" x14ac:dyDescent="0.25">
      <c r="A2" s="60" t="s">
        <v>2060</v>
      </c>
      <c r="B2" s="60"/>
      <c r="C2" s="60"/>
      <c r="D2" s="60"/>
      <c r="E2" s="60"/>
      <c r="F2" s="60"/>
      <c r="G2" s="60"/>
    </row>
    <row r="4" spans="1:12" ht="15.75" x14ac:dyDescent="0.25">
      <c r="A4" s="6" t="s">
        <v>2055</v>
      </c>
      <c r="B4" s="7" t="s">
        <v>2053</v>
      </c>
      <c r="C4" s="7"/>
      <c r="D4" s="7"/>
      <c r="E4" s="7"/>
      <c r="F4" s="7"/>
    </row>
    <row r="5" spans="1:12" ht="15.75" x14ac:dyDescent="0.25">
      <c r="A5" s="8" t="s">
        <v>19</v>
      </c>
      <c r="B5" s="9">
        <v>200243.27239999993</v>
      </c>
      <c r="C5" s="7"/>
      <c r="D5" s="7"/>
      <c r="E5" s="7"/>
      <c r="F5" s="7"/>
    </row>
    <row r="6" spans="1:12" ht="15.75" x14ac:dyDescent="0.25">
      <c r="A6" s="8" t="s">
        <v>43</v>
      </c>
      <c r="B6" s="9">
        <v>224740.34729999999</v>
      </c>
      <c r="C6" s="7"/>
      <c r="D6" s="7"/>
      <c r="E6" s="7"/>
      <c r="F6" s="7"/>
    </row>
    <row r="7" spans="1:12" ht="15.75" x14ac:dyDescent="0.25">
      <c r="A7" s="8" t="s">
        <v>33</v>
      </c>
      <c r="B7" s="9">
        <v>239481.58950000009</v>
      </c>
      <c r="C7" s="7"/>
      <c r="D7" s="7"/>
      <c r="E7" s="7"/>
      <c r="F7" s="7"/>
    </row>
    <row r="8" spans="1:12" ht="15.75" x14ac:dyDescent="0.25">
      <c r="A8" s="8" t="s">
        <v>27</v>
      </c>
      <c r="B8" s="9">
        <v>242717.41659999997</v>
      </c>
      <c r="C8" s="7"/>
      <c r="D8" s="7"/>
      <c r="E8" s="7"/>
      <c r="F8" s="7"/>
      <c r="L8" s="16"/>
    </row>
    <row r="9" spans="1:12" ht="15.75" x14ac:dyDescent="0.25">
      <c r="A9" s="8" t="s">
        <v>2052</v>
      </c>
      <c r="B9" s="9">
        <v>907182.62580000004</v>
      </c>
      <c r="C9" s="7"/>
      <c r="D9" s="7"/>
      <c r="E9" s="7"/>
      <c r="F9" s="7"/>
    </row>
    <row r="10" spans="1:12" ht="15.75" x14ac:dyDescent="0.25">
      <c r="A10" s="7"/>
      <c r="B10" s="7"/>
      <c r="C10" s="7"/>
      <c r="D10" s="7"/>
      <c r="E10" s="7"/>
      <c r="F10" s="7"/>
    </row>
    <row r="11" spans="1:12" ht="15.75" x14ac:dyDescent="0.25">
      <c r="A11" s="7"/>
      <c r="B11" s="7"/>
      <c r="C11" s="7"/>
      <c r="D11" s="7"/>
      <c r="E11" s="7"/>
      <c r="F11" s="7"/>
    </row>
    <row r="12" spans="1:12" ht="15.75" x14ac:dyDescent="0.25">
      <c r="A12" s="7"/>
      <c r="B12" s="7"/>
      <c r="C12" s="7"/>
      <c r="D12" s="7"/>
      <c r="E12" s="7"/>
      <c r="F12" s="7"/>
    </row>
    <row r="13" spans="1:12" ht="15.75" x14ac:dyDescent="0.25">
      <c r="A13" s="7"/>
      <c r="B13" s="7"/>
      <c r="C13" s="7"/>
      <c r="D13" s="7"/>
      <c r="E13" s="7"/>
      <c r="F13" s="7"/>
    </row>
    <row r="14" spans="1:12" ht="15.75" x14ac:dyDescent="0.25">
      <c r="A14" s="7"/>
      <c r="B14" s="7"/>
      <c r="C14" s="7"/>
      <c r="D14" s="7"/>
      <c r="E14" s="7"/>
      <c r="F14" s="7"/>
    </row>
    <row r="15" spans="1:12" ht="15.75" x14ac:dyDescent="0.25">
      <c r="A15" s="7"/>
      <c r="B15" s="7"/>
      <c r="C15" s="7"/>
      <c r="D15" s="7"/>
      <c r="E15" s="7"/>
      <c r="F15" s="7"/>
    </row>
    <row r="16" spans="1:12" ht="15.75" x14ac:dyDescent="0.25">
      <c r="A16" s="7"/>
      <c r="B16" s="7"/>
      <c r="C16" s="7"/>
      <c r="D16" s="7"/>
      <c r="E16" s="7"/>
      <c r="F16" s="7"/>
    </row>
    <row r="17" spans="1:6" ht="15.75" x14ac:dyDescent="0.25">
      <c r="A17" s="7"/>
      <c r="B17" s="7"/>
      <c r="C17" s="7"/>
      <c r="D17" s="7"/>
      <c r="E17" s="7"/>
      <c r="F17" s="7"/>
    </row>
    <row r="18" spans="1:6" ht="15.75" x14ac:dyDescent="0.25">
      <c r="A18" s="7"/>
      <c r="B18" s="7"/>
      <c r="C18" s="7"/>
      <c r="D18" s="7"/>
      <c r="E18" s="7"/>
      <c r="F18" s="7"/>
    </row>
  </sheetData>
  <mergeCells count="1">
    <mergeCell ref="A2:G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43273-15F8-4004-BDE9-EC686140399D}">
  <sheetPr codeName="Sheet6"/>
  <dimension ref="A2:G17"/>
  <sheetViews>
    <sheetView zoomScale="105" workbookViewId="0">
      <selection activeCell="C12" sqref="C12"/>
    </sheetView>
  </sheetViews>
  <sheetFormatPr defaultRowHeight="15" x14ac:dyDescent="0.25"/>
  <cols>
    <col min="1" max="1" width="11.28515625" bestFit="1" customWidth="1"/>
    <col min="2" max="2" width="15.85546875" bestFit="1" customWidth="1"/>
    <col min="3" max="3" width="10" customWidth="1"/>
    <col min="4" max="4" width="15.7109375" customWidth="1"/>
    <col min="5" max="5" width="15.42578125" customWidth="1"/>
    <col min="6" max="7" width="12.7109375" customWidth="1"/>
  </cols>
  <sheetData>
    <row r="2" spans="1:7" ht="33.75" x14ac:dyDescent="0.5">
      <c r="A2" s="42" t="s">
        <v>2061</v>
      </c>
      <c r="B2" s="59"/>
      <c r="C2" s="59"/>
      <c r="D2" s="59"/>
      <c r="E2" s="59"/>
      <c r="F2" s="59"/>
      <c r="G2" s="59"/>
    </row>
    <row r="4" spans="1:7" ht="15.75" x14ac:dyDescent="0.25">
      <c r="A4" s="6" t="s">
        <v>2054</v>
      </c>
      <c r="B4" s="7" t="s">
        <v>2053</v>
      </c>
      <c r="C4" s="7"/>
      <c r="D4" s="7"/>
      <c r="E4" s="7"/>
      <c r="F4" s="7"/>
      <c r="G4" s="7"/>
    </row>
    <row r="5" spans="1:7" ht="15.75" x14ac:dyDescent="0.25">
      <c r="A5" s="8" t="s">
        <v>28</v>
      </c>
      <c r="B5" s="9">
        <v>1871305.3403999992</v>
      </c>
      <c r="C5" s="7"/>
      <c r="D5" s="7"/>
      <c r="E5" s="7"/>
      <c r="F5" s="7"/>
      <c r="G5" s="7"/>
    </row>
    <row r="6" spans="1:7" ht="15.75" x14ac:dyDescent="0.25">
      <c r="A6" s="8" t="s">
        <v>20</v>
      </c>
      <c r="B6" s="9">
        <v>1680052.6902999997</v>
      </c>
      <c r="C6" s="7"/>
      <c r="D6" s="7"/>
      <c r="E6" s="7"/>
      <c r="F6" s="7"/>
      <c r="G6" s="7"/>
    </row>
    <row r="7" spans="1:7" ht="15.75" x14ac:dyDescent="0.25">
      <c r="A7" s="8" t="s">
        <v>2052</v>
      </c>
      <c r="B7" s="9">
        <v>3551358.0306999991</v>
      </c>
      <c r="C7" s="7"/>
      <c r="D7" s="7"/>
      <c r="E7" s="7"/>
      <c r="F7" s="7"/>
      <c r="G7" s="7"/>
    </row>
    <row r="8" spans="1:7" ht="15.75" x14ac:dyDescent="0.25">
      <c r="A8" s="7"/>
      <c r="B8" s="7"/>
      <c r="C8" s="7"/>
      <c r="D8" s="7"/>
      <c r="E8" s="7"/>
      <c r="F8" s="7"/>
      <c r="G8" s="7"/>
    </row>
    <row r="9" spans="1:7" ht="15.75" x14ac:dyDescent="0.25">
      <c r="A9" s="7"/>
      <c r="B9" s="7"/>
      <c r="C9" s="7"/>
      <c r="D9" s="7"/>
      <c r="E9" s="7"/>
      <c r="F9" s="7"/>
      <c r="G9" s="7"/>
    </row>
    <row r="10" spans="1:7" ht="15.75" x14ac:dyDescent="0.25">
      <c r="A10" s="7"/>
      <c r="B10" s="7"/>
      <c r="C10" s="7"/>
      <c r="D10" s="7"/>
      <c r="E10" s="7"/>
      <c r="F10" s="7"/>
      <c r="G10" s="7"/>
    </row>
    <row r="11" spans="1:7" ht="15.75" x14ac:dyDescent="0.25">
      <c r="A11" s="7"/>
      <c r="B11" s="7"/>
      <c r="C11" s="7"/>
      <c r="D11" s="7"/>
      <c r="E11" s="7"/>
      <c r="F11" s="7"/>
      <c r="G11" s="7"/>
    </row>
    <row r="12" spans="1:7" ht="15.75" x14ac:dyDescent="0.25">
      <c r="A12" s="7"/>
      <c r="B12" s="7"/>
      <c r="C12" s="7"/>
      <c r="D12" s="7"/>
      <c r="E12" s="7"/>
      <c r="F12" s="7"/>
      <c r="G12" s="7"/>
    </row>
    <row r="13" spans="1:7" ht="15.75" x14ac:dyDescent="0.25">
      <c r="A13" s="7"/>
      <c r="B13" s="7"/>
      <c r="C13" s="7"/>
      <c r="D13" s="7"/>
      <c r="E13" s="7"/>
      <c r="F13" s="7"/>
      <c r="G13" s="7"/>
    </row>
    <row r="14" spans="1:7" ht="15.75" x14ac:dyDescent="0.25">
      <c r="A14" s="7"/>
      <c r="B14" s="7"/>
      <c r="C14" s="7"/>
      <c r="D14" s="7"/>
      <c r="E14" s="7"/>
      <c r="F14" s="7"/>
      <c r="G14" s="7"/>
    </row>
    <row r="15" spans="1:7" ht="15.75" x14ac:dyDescent="0.25">
      <c r="A15" s="7"/>
      <c r="B15" s="7"/>
      <c r="C15" s="7"/>
      <c r="D15" s="7"/>
      <c r="E15" s="7"/>
      <c r="F15" s="7"/>
      <c r="G15" s="7"/>
    </row>
    <row r="16" spans="1:7" ht="15.75" x14ac:dyDescent="0.25">
      <c r="A16" s="7"/>
      <c r="B16" s="7"/>
      <c r="C16" s="7"/>
      <c r="D16" s="7"/>
      <c r="E16" s="7"/>
      <c r="F16" s="7"/>
      <c r="G16" s="7"/>
    </row>
    <row r="17" spans="1:7" ht="15.75" x14ac:dyDescent="0.25">
      <c r="A17" s="7"/>
      <c r="B17" s="7"/>
      <c r="C17" s="7"/>
      <c r="D17" s="7"/>
      <c r="E17" s="7"/>
      <c r="F17" s="7"/>
      <c r="G17" s="7"/>
    </row>
  </sheetData>
  <mergeCells count="1">
    <mergeCell ref="A2:G2"/>
  </mergeCell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24326-02C4-4DFD-AE8A-0BECB72C1905}">
  <sheetPr codeName="Sheet7"/>
  <dimension ref="A2:G17"/>
  <sheetViews>
    <sheetView workbookViewId="0">
      <selection activeCell="B13" sqref="B13"/>
    </sheetView>
  </sheetViews>
  <sheetFormatPr defaultRowHeight="15" x14ac:dyDescent="0.25"/>
  <cols>
    <col min="1" max="1" width="22.28515625" bestFit="1" customWidth="1"/>
    <col min="2" max="2" width="19.42578125" bestFit="1" customWidth="1"/>
    <col min="3" max="3" width="10" customWidth="1"/>
    <col min="4" max="4" width="14.5703125" customWidth="1"/>
    <col min="5" max="5" width="12.140625" customWidth="1"/>
    <col min="6" max="6" width="12.85546875" customWidth="1"/>
    <col min="7" max="7" width="13.5703125" customWidth="1"/>
  </cols>
  <sheetData>
    <row r="2" spans="1:7" ht="33.75" x14ac:dyDescent="0.5">
      <c r="A2" s="42" t="s">
        <v>2062</v>
      </c>
      <c r="B2" s="59"/>
      <c r="C2" s="59"/>
      <c r="D2" s="59"/>
      <c r="E2" s="59"/>
      <c r="F2" s="59"/>
      <c r="G2" s="59"/>
    </row>
    <row r="4" spans="1:7" ht="15.75" x14ac:dyDescent="0.25">
      <c r="A4" s="6" t="s">
        <v>2056</v>
      </c>
      <c r="B4" s="7" t="s">
        <v>2048</v>
      </c>
      <c r="C4" s="7"/>
      <c r="D4" s="7"/>
      <c r="E4" s="7"/>
      <c r="F4" s="7"/>
      <c r="G4" s="7"/>
    </row>
    <row r="5" spans="1:7" ht="15.75" x14ac:dyDescent="0.25">
      <c r="A5" s="8" t="s">
        <v>22</v>
      </c>
      <c r="B5" s="10">
        <v>17437.646155999995</v>
      </c>
      <c r="C5" s="7"/>
      <c r="D5" s="7"/>
      <c r="E5" s="7"/>
      <c r="F5" s="7"/>
      <c r="G5" s="7"/>
    </row>
    <row r="6" spans="1:7" ht="15.75" x14ac:dyDescent="0.25">
      <c r="A6" s="8" t="s">
        <v>37</v>
      </c>
      <c r="B6" s="10">
        <v>18078.902137000001</v>
      </c>
      <c r="C6" s="7"/>
      <c r="D6" s="7"/>
      <c r="E6" s="7"/>
      <c r="F6" s="7"/>
      <c r="G6" s="7"/>
    </row>
    <row r="7" spans="1:7" ht="15.75" x14ac:dyDescent="0.25">
      <c r="A7" s="8" t="s">
        <v>40</v>
      </c>
      <c r="B7" s="10">
        <v>16180.264199999992</v>
      </c>
      <c r="C7" s="7"/>
      <c r="D7" s="7"/>
      <c r="E7" s="7"/>
      <c r="F7" s="7"/>
      <c r="G7" s="7"/>
    </row>
    <row r="8" spans="1:7" ht="15.75" x14ac:dyDescent="0.25">
      <c r="A8" s="8" t="s">
        <v>2052</v>
      </c>
      <c r="B8" s="10">
        <v>51696.81249299999</v>
      </c>
      <c r="C8" s="7"/>
      <c r="D8" s="7"/>
      <c r="E8" s="7"/>
      <c r="F8" s="7"/>
      <c r="G8" s="7"/>
    </row>
    <row r="9" spans="1:7" ht="15.75" x14ac:dyDescent="0.25">
      <c r="A9" s="7"/>
      <c r="B9" s="7"/>
      <c r="C9" s="7"/>
      <c r="D9" s="7"/>
      <c r="E9" s="7"/>
      <c r="F9" s="7"/>
      <c r="G9" s="7"/>
    </row>
    <row r="10" spans="1:7" ht="15.75" x14ac:dyDescent="0.25">
      <c r="A10" s="7"/>
      <c r="B10" s="7"/>
      <c r="C10" s="7"/>
      <c r="D10" s="7"/>
      <c r="E10" s="7"/>
      <c r="F10" s="7"/>
      <c r="G10" s="7"/>
    </row>
    <row r="11" spans="1:7" ht="15.75" x14ac:dyDescent="0.25">
      <c r="A11" s="7"/>
      <c r="B11" s="7"/>
      <c r="C11" s="7"/>
      <c r="D11" s="7"/>
      <c r="E11" s="7"/>
      <c r="F11" s="7"/>
      <c r="G11" s="7"/>
    </row>
    <row r="12" spans="1:7" ht="15.75" x14ac:dyDescent="0.25">
      <c r="A12" s="7"/>
      <c r="B12" s="7"/>
      <c r="C12" s="7"/>
      <c r="D12" s="7"/>
      <c r="E12" s="7"/>
      <c r="F12" s="7"/>
      <c r="G12" s="7"/>
    </row>
    <row r="13" spans="1:7" ht="15.75" x14ac:dyDescent="0.25">
      <c r="A13" s="7"/>
      <c r="B13" s="7"/>
      <c r="C13" s="7"/>
      <c r="D13" s="7"/>
      <c r="E13" s="7"/>
      <c r="F13" s="7"/>
      <c r="G13" s="7"/>
    </row>
    <row r="14" spans="1:7" ht="15.75" x14ac:dyDescent="0.25">
      <c r="A14" s="7"/>
      <c r="B14" s="7"/>
      <c r="C14" s="7"/>
      <c r="D14" s="7"/>
      <c r="E14" s="7"/>
      <c r="F14" s="7"/>
      <c r="G14" s="7"/>
    </row>
    <row r="15" spans="1:7" ht="15.75" x14ac:dyDescent="0.25">
      <c r="A15" s="7"/>
      <c r="B15" s="7"/>
      <c r="C15" s="7"/>
      <c r="D15" s="7"/>
      <c r="E15" s="7"/>
      <c r="F15" s="7"/>
      <c r="G15" s="7"/>
    </row>
    <row r="16" spans="1:7" ht="15.75" x14ac:dyDescent="0.25">
      <c r="A16" s="7"/>
      <c r="B16" s="7"/>
      <c r="C16" s="7"/>
      <c r="D16" s="7"/>
      <c r="E16" s="7"/>
      <c r="F16" s="7"/>
      <c r="G16" s="7"/>
    </row>
    <row r="17" spans="1:7" ht="15.75" x14ac:dyDescent="0.25">
      <c r="A17" s="7"/>
      <c r="B17" s="7"/>
      <c r="C17" s="7"/>
      <c r="D17" s="7"/>
      <c r="E17" s="7"/>
      <c r="F17" s="7"/>
      <c r="G17" s="7"/>
    </row>
  </sheetData>
  <mergeCells count="1">
    <mergeCell ref="A2:G2"/>
  </mergeCells>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A23FB-B4E9-434B-B15A-5137AF103F50}">
  <sheetPr codeName="Sheet8"/>
  <dimension ref="A2:G17"/>
  <sheetViews>
    <sheetView workbookViewId="0">
      <selection activeCell="J15" sqref="J15"/>
    </sheetView>
  </sheetViews>
  <sheetFormatPr defaultRowHeight="15" x14ac:dyDescent="0.25"/>
  <cols>
    <col min="1" max="1" width="20.28515625" bestFit="1" customWidth="1"/>
    <col min="2" max="2" width="14.85546875" bestFit="1" customWidth="1"/>
    <col min="3" max="3" width="12.85546875" customWidth="1"/>
    <col min="4" max="4" width="15.28515625" customWidth="1"/>
    <col min="5" max="5" width="14.85546875" customWidth="1"/>
    <col min="6" max="6" width="15.85546875" customWidth="1"/>
    <col min="7" max="7" width="16" customWidth="1"/>
  </cols>
  <sheetData>
    <row r="2" spans="1:7" ht="33.75" x14ac:dyDescent="0.5">
      <c r="A2" s="42" t="s">
        <v>2063</v>
      </c>
      <c r="B2" s="59"/>
      <c r="C2" s="59"/>
      <c r="D2" s="59"/>
      <c r="E2" s="59"/>
      <c r="F2" s="59"/>
      <c r="G2" s="59"/>
    </row>
    <row r="4" spans="1:7" ht="15.75" x14ac:dyDescent="0.25">
      <c r="A4" s="6" t="s">
        <v>2057</v>
      </c>
      <c r="B4" s="7" t="s">
        <v>2053</v>
      </c>
      <c r="C4" s="7"/>
      <c r="D4" s="7"/>
      <c r="E4" s="7"/>
      <c r="F4" s="7"/>
      <c r="G4" s="7"/>
    </row>
    <row r="5" spans="1:7" ht="15.75" x14ac:dyDescent="0.25">
      <c r="A5" s="8" t="s">
        <v>24</v>
      </c>
      <c r="B5" s="9">
        <v>1311043.0596999994</v>
      </c>
      <c r="C5" s="7"/>
      <c r="D5" s="7"/>
      <c r="E5" s="7"/>
      <c r="F5" s="7"/>
      <c r="G5" s="7"/>
    </row>
    <row r="6" spans="1:7" ht="15.75" x14ac:dyDescent="0.25">
      <c r="A6" s="8" t="s">
        <v>30</v>
      </c>
      <c r="B6" s="9">
        <v>1148685.5854000009</v>
      </c>
      <c r="C6" s="7"/>
      <c r="D6" s="7"/>
      <c r="E6" s="7"/>
      <c r="F6" s="7"/>
      <c r="G6" s="7"/>
    </row>
    <row r="7" spans="1:7" ht="15.75" x14ac:dyDescent="0.25">
      <c r="A7" s="8" t="s">
        <v>23</v>
      </c>
      <c r="B7" s="9">
        <v>1091629.3855999999</v>
      </c>
      <c r="C7" s="7"/>
      <c r="D7" s="7"/>
      <c r="E7" s="7"/>
      <c r="F7" s="7"/>
      <c r="G7" s="7"/>
    </row>
    <row r="8" spans="1:7" ht="15.75" x14ac:dyDescent="0.25">
      <c r="A8" s="8" t="s">
        <v>2052</v>
      </c>
      <c r="B8" s="9">
        <v>3551358.0307</v>
      </c>
      <c r="C8" s="7"/>
      <c r="D8" s="7"/>
      <c r="E8" s="7"/>
      <c r="F8" s="7"/>
      <c r="G8" s="7"/>
    </row>
    <row r="9" spans="1:7" ht="15.75" x14ac:dyDescent="0.25">
      <c r="A9" s="7"/>
      <c r="B9" s="7"/>
      <c r="C9" s="7"/>
      <c r="D9" s="7"/>
      <c r="E9" s="7"/>
      <c r="F9" s="7"/>
      <c r="G9" s="7"/>
    </row>
    <row r="10" spans="1:7" ht="15.75" x14ac:dyDescent="0.25">
      <c r="A10" s="7"/>
      <c r="B10" s="7"/>
      <c r="C10" s="7"/>
      <c r="D10" s="7"/>
      <c r="E10" s="7"/>
      <c r="F10" s="7"/>
      <c r="G10" s="7"/>
    </row>
    <row r="11" spans="1:7" ht="15.75" x14ac:dyDescent="0.25">
      <c r="A11" s="7"/>
      <c r="B11" s="7"/>
      <c r="C11" s="7"/>
      <c r="D11" s="7"/>
      <c r="E11" s="7"/>
      <c r="F11" s="7"/>
      <c r="G11" s="7"/>
    </row>
    <row r="12" spans="1:7" ht="15.75" x14ac:dyDescent="0.25">
      <c r="A12" s="7"/>
      <c r="B12" s="7"/>
      <c r="C12" s="7"/>
      <c r="D12" s="7"/>
      <c r="E12" s="7"/>
      <c r="F12" s="7"/>
      <c r="G12" s="7"/>
    </row>
    <row r="13" spans="1:7" ht="15.75" x14ac:dyDescent="0.25">
      <c r="A13" s="7"/>
      <c r="B13" s="7"/>
      <c r="C13" s="7"/>
      <c r="D13" s="7"/>
      <c r="E13" s="7"/>
      <c r="F13" s="7"/>
      <c r="G13" s="7"/>
    </row>
    <row r="14" spans="1:7" ht="15.75" x14ac:dyDescent="0.25">
      <c r="A14" s="7"/>
      <c r="B14" s="7"/>
      <c r="C14" s="7"/>
      <c r="D14" s="7"/>
      <c r="E14" s="7"/>
      <c r="F14" s="7"/>
      <c r="G14" s="7"/>
    </row>
    <row r="15" spans="1:7" ht="15.75" x14ac:dyDescent="0.25">
      <c r="A15" s="7"/>
      <c r="B15" s="7"/>
      <c r="C15" s="7"/>
      <c r="D15" s="7"/>
      <c r="E15" s="7"/>
      <c r="F15" s="7"/>
      <c r="G15" s="7"/>
    </row>
    <row r="16" spans="1:7" ht="15.75" x14ac:dyDescent="0.25">
      <c r="A16" s="7"/>
      <c r="B16" s="7"/>
      <c r="C16" s="7"/>
      <c r="D16" s="7"/>
      <c r="E16" s="7"/>
      <c r="F16" s="7"/>
      <c r="G16" s="7"/>
    </row>
    <row r="17" spans="1:7" ht="15.75" x14ac:dyDescent="0.25">
      <c r="A17" s="7"/>
      <c r="B17" s="7"/>
      <c r="C17" s="7"/>
      <c r="D17" s="7"/>
      <c r="E17" s="7"/>
      <c r="F17" s="7"/>
      <c r="G17" s="7"/>
    </row>
  </sheetData>
  <mergeCells count="1">
    <mergeCell ref="A2:G2"/>
  </mergeCells>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0E6F8-21ED-4206-997E-2DB6CBBC8A17}">
  <sheetPr codeName="Sheet9"/>
  <dimension ref="D2:O39"/>
  <sheetViews>
    <sheetView showGridLines="0" zoomScale="74" workbookViewId="0">
      <selection activeCell="S9" sqref="S9"/>
    </sheetView>
  </sheetViews>
  <sheetFormatPr defaultRowHeight="15" x14ac:dyDescent="0.25"/>
  <cols>
    <col min="4" max="4" width="9.85546875" customWidth="1"/>
    <col min="5" max="5" width="9.7109375" customWidth="1"/>
    <col min="6" max="6" width="10.85546875" customWidth="1"/>
    <col min="7" max="7" width="9.42578125" customWidth="1"/>
    <col min="8" max="8" width="10.140625" customWidth="1"/>
    <col min="9" max="9" width="11.85546875" customWidth="1"/>
    <col min="11" max="11" width="9.140625" customWidth="1"/>
    <col min="12" max="12" width="12.28515625" customWidth="1"/>
    <col min="15" max="15" width="14.140625" customWidth="1"/>
  </cols>
  <sheetData>
    <row r="2" spans="4:15" ht="33.75" x14ac:dyDescent="0.5">
      <c r="D2" s="42" t="s">
        <v>2064</v>
      </c>
      <c r="E2" s="43"/>
      <c r="F2" s="43"/>
      <c r="G2" s="43"/>
      <c r="H2" s="43"/>
      <c r="I2" s="43"/>
      <c r="J2" s="43"/>
      <c r="K2" s="43"/>
      <c r="L2" s="43"/>
      <c r="M2" s="43"/>
      <c r="N2" s="43"/>
      <c r="O2" s="43"/>
    </row>
    <row r="6" spans="4:15" ht="15" customHeight="1" x14ac:dyDescent="0.25">
      <c r="D6" s="18" t="s">
        <v>2065</v>
      </c>
      <c r="E6" s="44"/>
      <c r="F6" s="45"/>
      <c r="G6" s="18" t="s">
        <v>2066</v>
      </c>
      <c r="H6" s="19"/>
      <c r="I6" s="20"/>
      <c r="J6" s="18" t="s">
        <v>2067</v>
      </c>
      <c r="K6" s="53"/>
      <c r="L6" s="54"/>
      <c r="M6" s="18" t="s">
        <v>2068</v>
      </c>
      <c r="N6" s="19"/>
      <c r="O6" s="20"/>
    </row>
    <row r="7" spans="4:15" ht="15" customHeight="1" x14ac:dyDescent="0.25">
      <c r="D7" s="46"/>
      <c r="E7" s="25"/>
      <c r="F7" s="26"/>
      <c r="G7" s="21"/>
      <c r="H7" s="22"/>
      <c r="I7" s="23"/>
      <c r="J7" s="55"/>
      <c r="K7" s="56"/>
      <c r="L7" s="57"/>
      <c r="M7" s="21"/>
      <c r="N7" s="22"/>
      <c r="O7" s="23"/>
    </row>
    <row r="8" spans="4:15" ht="15" customHeight="1" x14ac:dyDescent="0.25">
      <c r="D8" s="30">
        <f>KPI!E5</f>
        <v>995261.92999999842</v>
      </c>
      <c r="E8" s="31"/>
      <c r="F8" s="32"/>
      <c r="G8" s="47">
        <f>KPI!E6</f>
        <v>6358249.5834000055</v>
      </c>
      <c r="H8" s="48"/>
      <c r="I8" s="49"/>
      <c r="J8" s="47">
        <f>KPI!E7</f>
        <v>9909607.6140999924</v>
      </c>
      <c r="K8" s="48"/>
      <c r="L8" s="49"/>
      <c r="M8" s="47">
        <f>KPI!E8</f>
        <v>3551358.0307000019</v>
      </c>
      <c r="N8" s="48"/>
      <c r="O8" s="49"/>
    </row>
    <row r="9" spans="4:15" ht="15" customHeight="1" x14ac:dyDescent="0.25">
      <c r="D9" s="33"/>
      <c r="E9" s="34"/>
      <c r="F9" s="35"/>
      <c r="G9" s="50"/>
      <c r="H9" s="51"/>
      <c r="I9" s="52"/>
      <c r="J9" s="50"/>
      <c r="K9" s="51"/>
      <c r="L9" s="52"/>
      <c r="M9" s="50"/>
      <c r="N9" s="51"/>
      <c r="O9" s="52"/>
    </row>
    <row r="10" spans="4:15" x14ac:dyDescent="0.25">
      <c r="D10" s="18" t="s">
        <v>2072</v>
      </c>
      <c r="E10" s="19"/>
      <c r="F10" s="20"/>
      <c r="G10" s="18" t="s">
        <v>2071</v>
      </c>
      <c r="H10" s="19"/>
      <c r="I10" s="20"/>
      <c r="J10" s="18" t="s">
        <v>2069</v>
      </c>
      <c r="K10" s="19"/>
      <c r="L10" s="20"/>
      <c r="M10" s="18" t="s">
        <v>2070</v>
      </c>
      <c r="N10" s="19"/>
      <c r="O10" s="20"/>
    </row>
    <row r="11" spans="4:15" x14ac:dyDescent="0.25">
      <c r="D11" s="21"/>
      <c r="E11" s="22"/>
      <c r="F11" s="23"/>
      <c r="G11" s="21"/>
      <c r="H11" s="22"/>
      <c r="I11" s="23"/>
      <c r="J11" s="21"/>
      <c r="K11" s="22"/>
      <c r="L11" s="23"/>
      <c r="M11" s="21"/>
      <c r="N11" s="22"/>
      <c r="O11" s="23"/>
    </row>
    <row r="12" spans="4:15" x14ac:dyDescent="0.25">
      <c r="D12" s="24">
        <f>KPI!E9</f>
        <v>0.29362273007042161</v>
      </c>
      <c r="E12" s="25"/>
      <c r="F12" s="26"/>
      <c r="G12" s="30">
        <f>KPI!E10</f>
        <v>51696.812493000027</v>
      </c>
      <c r="H12" s="31"/>
      <c r="I12" s="32"/>
      <c r="J12" s="36">
        <f>KPI!E11</f>
        <v>1.9897999999999956</v>
      </c>
      <c r="K12" s="37"/>
      <c r="L12" s="38"/>
      <c r="M12" s="24" t="str">
        <f>KPI!E12</f>
        <v>74.97%</v>
      </c>
      <c r="N12" s="25"/>
      <c r="O12" s="26"/>
    </row>
    <row r="13" spans="4:15" x14ac:dyDescent="0.25">
      <c r="D13" s="27"/>
      <c r="E13" s="28"/>
      <c r="F13" s="29"/>
      <c r="G13" s="33"/>
      <c r="H13" s="34"/>
      <c r="I13" s="35"/>
      <c r="J13" s="39"/>
      <c r="K13" s="40"/>
      <c r="L13" s="41"/>
      <c r="M13" s="27"/>
      <c r="N13" s="28"/>
      <c r="O13" s="29"/>
    </row>
    <row r="14" spans="4:15" x14ac:dyDescent="0.25">
      <c r="D14" s="17"/>
      <c r="E14" s="17"/>
      <c r="F14" s="17"/>
      <c r="G14" s="17"/>
      <c r="H14" s="17"/>
      <c r="I14" s="17"/>
      <c r="J14" s="17"/>
      <c r="K14" s="17"/>
      <c r="L14" s="17"/>
      <c r="M14" s="17"/>
      <c r="N14" s="17"/>
      <c r="O14" s="17"/>
    </row>
    <row r="15" spans="4:15" x14ac:dyDescent="0.25">
      <c r="D15" s="17"/>
      <c r="E15" s="17"/>
      <c r="F15" s="17"/>
      <c r="G15" s="17"/>
      <c r="H15" s="17"/>
      <c r="I15" s="17"/>
      <c r="J15" s="17"/>
      <c r="K15" s="17"/>
      <c r="L15" s="17"/>
      <c r="M15" s="17"/>
      <c r="N15" s="17"/>
      <c r="O15" s="17"/>
    </row>
    <row r="16" spans="4:15" x14ac:dyDescent="0.25">
      <c r="D16" s="17"/>
      <c r="E16" s="17"/>
      <c r="F16" s="17"/>
      <c r="G16" s="17"/>
      <c r="H16" s="17"/>
      <c r="I16" s="17"/>
      <c r="J16" s="17"/>
      <c r="K16" s="17"/>
      <c r="L16" s="17"/>
      <c r="M16" s="17"/>
      <c r="N16" s="17"/>
      <c r="O16" s="17"/>
    </row>
    <row r="17" spans="4:15" x14ac:dyDescent="0.25">
      <c r="D17" s="17"/>
      <c r="E17" s="17"/>
      <c r="F17" s="17"/>
      <c r="G17" s="17"/>
      <c r="H17" s="17"/>
      <c r="I17" s="17"/>
      <c r="J17" s="17"/>
      <c r="K17" s="17"/>
      <c r="L17" s="17"/>
      <c r="M17" s="17"/>
      <c r="N17" s="17"/>
      <c r="O17" s="17"/>
    </row>
    <row r="18" spans="4:15" x14ac:dyDescent="0.25">
      <c r="D18" s="17"/>
      <c r="E18" s="17"/>
      <c r="F18" s="17"/>
      <c r="G18" s="17"/>
      <c r="H18" s="17"/>
      <c r="I18" s="17"/>
      <c r="J18" s="17"/>
      <c r="K18" s="17"/>
      <c r="L18" s="17"/>
      <c r="M18" s="17"/>
      <c r="N18" s="17"/>
      <c r="O18" s="17"/>
    </row>
    <row r="19" spans="4:15" x14ac:dyDescent="0.25">
      <c r="D19" s="17"/>
      <c r="E19" s="17"/>
      <c r="F19" s="17"/>
      <c r="G19" s="17"/>
      <c r="H19" s="17"/>
      <c r="I19" s="17"/>
      <c r="J19" s="17"/>
      <c r="K19" s="17"/>
      <c r="L19" s="17"/>
      <c r="M19" s="17"/>
      <c r="N19" s="17"/>
      <c r="O19" s="17"/>
    </row>
    <row r="20" spans="4:15" x14ac:dyDescent="0.25">
      <c r="D20" s="17"/>
      <c r="E20" s="17"/>
      <c r="F20" s="17"/>
      <c r="G20" s="17"/>
      <c r="H20" s="17"/>
      <c r="I20" s="17"/>
      <c r="J20" s="17"/>
      <c r="K20" s="17"/>
      <c r="L20" s="17"/>
      <c r="M20" s="17"/>
      <c r="N20" s="17"/>
      <c r="O20" s="17"/>
    </row>
    <row r="21" spans="4:15" x14ac:dyDescent="0.25">
      <c r="D21" s="17"/>
      <c r="E21" s="17"/>
      <c r="F21" s="17"/>
      <c r="G21" s="17"/>
      <c r="H21" s="17"/>
      <c r="I21" s="17"/>
      <c r="J21" s="17"/>
      <c r="K21" s="17"/>
      <c r="L21" s="17"/>
      <c r="M21" s="17"/>
      <c r="N21" s="17"/>
      <c r="O21" s="17"/>
    </row>
    <row r="22" spans="4:15" x14ac:dyDescent="0.25">
      <c r="D22" s="17"/>
      <c r="E22" s="17"/>
      <c r="F22" s="17"/>
      <c r="G22" s="17"/>
      <c r="H22" s="17"/>
      <c r="I22" s="17"/>
      <c r="J22" s="17"/>
      <c r="K22" s="17"/>
      <c r="L22" s="17"/>
      <c r="M22" s="17"/>
      <c r="N22" s="17"/>
      <c r="O22" s="17"/>
    </row>
    <row r="23" spans="4:15" x14ac:dyDescent="0.25">
      <c r="D23" s="17"/>
      <c r="E23" s="17"/>
      <c r="F23" s="17"/>
      <c r="G23" s="17"/>
      <c r="H23" s="17"/>
      <c r="I23" s="17"/>
      <c r="J23" s="17"/>
      <c r="K23" s="17"/>
      <c r="L23" s="17"/>
      <c r="M23" s="17"/>
      <c r="N23" s="17"/>
      <c r="O23" s="17"/>
    </row>
    <row r="24" spans="4:15" x14ac:dyDescent="0.25">
      <c r="D24" s="17"/>
      <c r="E24" s="17"/>
      <c r="F24" s="17"/>
      <c r="G24" s="17"/>
      <c r="H24" s="17"/>
      <c r="I24" s="17"/>
      <c r="J24" s="17"/>
      <c r="K24" s="17"/>
      <c r="L24" s="17"/>
      <c r="M24" s="17"/>
      <c r="N24" s="17"/>
      <c r="O24" s="17"/>
    </row>
    <row r="25" spans="4:15" x14ac:dyDescent="0.25">
      <c r="D25" s="17"/>
      <c r="E25" s="17"/>
      <c r="F25" s="17"/>
      <c r="G25" s="17"/>
      <c r="H25" s="17"/>
      <c r="I25" s="17"/>
      <c r="J25" s="17"/>
      <c r="K25" s="17"/>
      <c r="L25" s="17"/>
      <c r="M25" s="17"/>
      <c r="N25" s="17"/>
      <c r="O25" s="17"/>
    </row>
    <row r="26" spans="4:15" x14ac:dyDescent="0.25">
      <c r="D26" s="17"/>
      <c r="E26" s="17"/>
      <c r="F26" s="17"/>
      <c r="G26" s="17"/>
      <c r="H26" s="17"/>
      <c r="I26" s="17"/>
      <c r="J26" s="17"/>
      <c r="K26" s="17"/>
      <c r="L26" s="17"/>
      <c r="M26" s="17"/>
      <c r="N26" s="17"/>
      <c r="O26" s="17"/>
    </row>
    <row r="27" spans="4:15" x14ac:dyDescent="0.25">
      <c r="D27" s="17"/>
      <c r="E27" s="17"/>
      <c r="F27" s="17"/>
      <c r="G27" s="17"/>
      <c r="H27" s="17"/>
      <c r="I27" s="17"/>
      <c r="J27" s="17"/>
      <c r="K27" s="17"/>
      <c r="L27" s="17"/>
      <c r="M27" s="17"/>
      <c r="N27" s="17"/>
      <c r="O27" s="17"/>
    </row>
    <row r="28" spans="4:15" x14ac:dyDescent="0.25">
      <c r="D28" s="17"/>
      <c r="E28" s="17"/>
      <c r="F28" s="17"/>
      <c r="G28" s="17"/>
      <c r="H28" s="17"/>
      <c r="I28" s="17"/>
      <c r="J28" s="17"/>
      <c r="K28" s="17"/>
      <c r="L28" s="17"/>
      <c r="M28" s="17"/>
      <c r="N28" s="17"/>
      <c r="O28" s="17"/>
    </row>
    <row r="29" spans="4:15" x14ac:dyDescent="0.25">
      <c r="D29" s="17"/>
      <c r="E29" s="17"/>
      <c r="F29" s="17"/>
      <c r="G29" s="17"/>
      <c r="H29" s="17"/>
      <c r="I29" s="17"/>
      <c r="J29" s="17"/>
      <c r="K29" s="17"/>
      <c r="L29" s="17"/>
      <c r="M29" s="17"/>
      <c r="N29" s="17"/>
      <c r="O29" s="17"/>
    </row>
    <row r="30" spans="4:15" x14ac:dyDescent="0.25">
      <c r="D30" s="17"/>
      <c r="E30" s="17"/>
      <c r="F30" s="17"/>
      <c r="G30" s="17"/>
      <c r="H30" s="17"/>
      <c r="I30" s="17"/>
      <c r="J30" s="17"/>
      <c r="K30" s="17"/>
      <c r="L30" s="17"/>
      <c r="M30" s="17"/>
      <c r="N30" s="17"/>
      <c r="O30" s="17"/>
    </row>
    <row r="31" spans="4:15" x14ac:dyDescent="0.25">
      <c r="D31" s="17"/>
      <c r="E31" s="17"/>
      <c r="F31" s="17"/>
      <c r="G31" s="17"/>
      <c r="H31" s="17"/>
      <c r="I31" s="17"/>
      <c r="J31" s="17"/>
      <c r="K31" s="17"/>
      <c r="L31" s="17"/>
      <c r="M31" s="17"/>
      <c r="N31" s="17"/>
      <c r="O31" s="17"/>
    </row>
    <row r="32" spans="4:15" x14ac:dyDescent="0.25">
      <c r="D32" s="17"/>
      <c r="E32" s="17"/>
      <c r="F32" s="17"/>
      <c r="G32" s="17"/>
      <c r="H32" s="17"/>
      <c r="I32" s="17"/>
      <c r="J32" s="17"/>
      <c r="K32" s="17"/>
      <c r="L32" s="17"/>
      <c r="M32" s="17"/>
      <c r="N32" s="17"/>
      <c r="O32" s="17"/>
    </row>
    <row r="33" spans="4:15" x14ac:dyDescent="0.25">
      <c r="D33" s="17"/>
      <c r="E33" s="17"/>
      <c r="F33" s="17"/>
      <c r="G33" s="17"/>
      <c r="H33" s="17"/>
      <c r="I33" s="17"/>
      <c r="J33" s="17"/>
      <c r="K33" s="17"/>
      <c r="L33" s="17"/>
      <c r="M33" s="17"/>
      <c r="N33" s="17"/>
      <c r="O33" s="17"/>
    </row>
    <row r="34" spans="4:15" x14ac:dyDescent="0.25">
      <c r="D34" s="17"/>
      <c r="E34" s="17"/>
      <c r="F34" s="17"/>
      <c r="G34" s="17"/>
      <c r="H34" s="17"/>
      <c r="I34" s="17"/>
      <c r="J34" s="17"/>
      <c r="K34" s="17"/>
      <c r="L34" s="17"/>
      <c r="M34" s="17"/>
      <c r="N34" s="17"/>
      <c r="O34" s="17"/>
    </row>
    <row r="35" spans="4:15" x14ac:dyDescent="0.25">
      <c r="D35" s="17"/>
      <c r="E35" s="17"/>
      <c r="F35" s="17"/>
      <c r="G35" s="17"/>
      <c r="H35" s="17"/>
      <c r="I35" s="17"/>
      <c r="J35" s="17"/>
      <c r="K35" s="17"/>
      <c r="L35" s="17"/>
      <c r="M35" s="17"/>
      <c r="N35" s="17"/>
      <c r="O35" s="17"/>
    </row>
    <row r="36" spans="4:15" x14ac:dyDescent="0.25">
      <c r="D36" s="17"/>
      <c r="E36" s="17"/>
      <c r="F36" s="17"/>
      <c r="G36" s="17"/>
      <c r="H36" s="17"/>
      <c r="I36" s="17"/>
      <c r="J36" s="17"/>
      <c r="K36" s="17"/>
      <c r="L36" s="17"/>
      <c r="M36" s="17"/>
      <c r="N36" s="17"/>
      <c r="O36" s="17"/>
    </row>
    <row r="37" spans="4:15" x14ac:dyDescent="0.25">
      <c r="D37" s="17"/>
      <c r="E37" s="17"/>
      <c r="F37" s="17"/>
      <c r="G37" s="17"/>
      <c r="H37" s="17"/>
      <c r="I37" s="17"/>
      <c r="J37" s="17"/>
      <c r="K37" s="17"/>
      <c r="L37" s="17"/>
      <c r="M37" s="17"/>
      <c r="N37" s="17"/>
      <c r="O37" s="17"/>
    </row>
    <row r="38" spans="4:15" x14ac:dyDescent="0.25">
      <c r="D38" s="17"/>
      <c r="E38" s="17"/>
      <c r="F38" s="17"/>
      <c r="G38" s="17"/>
      <c r="H38" s="17"/>
      <c r="I38" s="17"/>
      <c r="J38" s="17"/>
      <c r="K38" s="17"/>
      <c r="L38" s="17"/>
      <c r="M38" s="17"/>
      <c r="N38" s="17"/>
      <c r="O38" s="17"/>
    </row>
    <row r="39" spans="4:15" x14ac:dyDescent="0.25">
      <c r="D39" s="17"/>
      <c r="E39" s="17"/>
      <c r="F39" s="17"/>
      <c r="G39" s="17"/>
      <c r="H39" s="17"/>
      <c r="I39" s="17"/>
      <c r="J39" s="17"/>
      <c r="K39" s="17"/>
      <c r="L39" s="17"/>
      <c r="M39" s="17"/>
      <c r="N39" s="17"/>
      <c r="O39" s="17"/>
    </row>
  </sheetData>
  <mergeCells count="17">
    <mergeCell ref="M6:O7"/>
    <mergeCell ref="D2:O2"/>
    <mergeCell ref="D6:F7"/>
    <mergeCell ref="D8:F9"/>
    <mergeCell ref="G6:I7"/>
    <mergeCell ref="G8:I9"/>
    <mergeCell ref="J6:L7"/>
    <mergeCell ref="J8:L9"/>
    <mergeCell ref="M8:O9"/>
    <mergeCell ref="M10:O11"/>
    <mergeCell ref="M12:O13"/>
    <mergeCell ref="D10:F11"/>
    <mergeCell ref="D12:F13"/>
    <mergeCell ref="G10:I11"/>
    <mergeCell ref="G12:I13"/>
    <mergeCell ref="J10:L11"/>
    <mergeCell ref="J12:L1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earchCrop">
                <anchor moveWithCells="1" sizeWithCells="1">
                  <from>
                    <xdr:col>3</xdr:col>
                    <xdr:colOff>0</xdr:colOff>
                    <xdr:row>3</xdr:row>
                    <xdr:rowOff>0</xdr:rowOff>
                  </from>
                  <to>
                    <xdr:col>6</xdr:col>
                    <xdr:colOff>28575</xdr:colOff>
                    <xdr:row>4</xdr:row>
                    <xdr:rowOff>180975</xdr:rowOff>
                  </to>
                </anchor>
              </controlPr>
            </control>
          </mc:Choice>
        </mc:AlternateContent>
        <mc:AlternateContent xmlns:mc="http://schemas.openxmlformats.org/markup-compatibility/2006">
          <mc:Choice Requires="x14">
            <control shapeId="1026" r:id="rId4" name="Button 2">
              <controlPr defaultSize="0" print="0" autoFill="0" autoPict="0" macro="[0]!SearchRegion">
                <anchor moveWithCells="1" sizeWithCells="1">
                  <from>
                    <xdr:col>5</xdr:col>
                    <xdr:colOff>714375</xdr:colOff>
                    <xdr:row>3</xdr:row>
                    <xdr:rowOff>0</xdr:rowOff>
                  </from>
                  <to>
                    <xdr:col>9</xdr:col>
                    <xdr:colOff>9525</xdr:colOff>
                    <xdr:row>4</xdr:row>
                    <xdr:rowOff>180975</xdr:rowOff>
                  </to>
                </anchor>
              </controlPr>
            </control>
          </mc:Choice>
        </mc:AlternateContent>
        <mc:AlternateContent xmlns:mc="http://schemas.openxmlformats.org/markup-compatibility/2006">
          <mc:Choice Requires="x14">
            <control shapeId="1028" r:id="rId5" name="Button 4">
              <controlPr defaultSize="0" print="0" autoFill="0" autoPict="0" macro="[0]!SearchSeason">
                <anchor moveWithCells="1" sizeWithCells="1">
                  <from>
                    <xdr:col>9</xdr:col>
                    <xdr:colOff>0</xdr:colOff>
                    <xdr:row>3</xdr:row>
                    <xdr:rowOff>0</xdr:rowOff>
                  </from>
                  <to>
                    <xdr:col>12</xdr:col>
                    <xdr:colOff>0</xdr:colOff>
                    <xdr:row>4</xdr:row>
                    <xdr:rowOff>180975</xdr:rowOff>
                  </to>
                </anchor>
              </controlPr>
            </control>
          </mc:Choice>
        </mc:AlternateContent>
        <mc:AlternateContent xmlns:mc="http://schemas.openxmlformats.org/markup-compatibility/2006">
          <mc:Choice Requires="x14">
            <control shapeId="1029" r:id="rId6" name="Button 5">
              <controlPr defaultSize="0" print="0" autoFill="0" autoPict="0" macro="[0]!BestPerformer">
                <anchor moveWithCells="1" sizeWithCells="1">
                  <from>
                    <xdr:col>11</xdr:col>
                    <xdr:colOff>800100</xdr:colOff>
                    <xdr:row>3</xdr:row>
                    <xdr:rowOff>0</xdr:rowOff>
                  </from>
                  <to>
                    <xdr:col>15</xdr:col>
                    <xdr:colOff>0</xdr:colOff>
                    <xdr:row>4</xdr:row>
                    <xdr:rowOff>180975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agri_supplychain_cleaned</vt:lpstr>
      <vt:lpstr>KPI</vt:lpstr>
      <vt:lpstr>PT_Crop_Performance</vt:lpstr>
      <vt:lpstr>PT_Region_Performance</vt:lpstr>
      <vt:lpstr>PT_Season_Performance</vt:lpstr>
      <vt:lpstr>PT_Stage_Performance</vt:lpstr>
      <vt:lpstr>PT_Risk_Loss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Ramya M</cp:lastModifiedBy>
  <dcterms:created xsi:type="dcterms:W3CDTF">2026-09-01T04:30:44Z</dcterms:created>
  <dcterms:modified xsi:type="dcterms:W3CDTF">2026-09-10T05:58:53Z</dcterms:modified>
</cp:coreProperties>
</file>